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05" yWindow="45" windowWidth="19170" windowHeight="19410"/>
  </bookViews>
  <sheets>
    <sheet name="RAW DATA" sheetId="1" r:id="rId1"/>
    <sheet name="PRISM REPORT" sheetId="2" r:id="rId2"/>
    <sheet name="SHORT LIST" sheetId="6" r:id="rId3"/>
    <sheet name="VISA CARDS (LIBRI CSV)" sheetId="9" r:id="rId4"/>
    <sheet name="VISA CARDS (SIGN LIST)" sheetId="10" r:id="rId5"/>
    <sheet name="TOP LOCATIONS" sheetId="8" r:id="rId6"/>
    <sheet name="LOGS@PRISM" sheetId="7" r:id="rId7"/>
  </sheets>
  <definedNames>
    <definedName name="_xlnm._FilterDatabase" localSheetId="6" hidden="1">'LOGS@PRISM'!$C$3:$D$611</definedName>
    <definedName name="_xlnm._FilterDatabase" localSheetId="0" hidden="1">'RAW DATA'!$B$74</definedName>
    <definedName name="_xlnm._FilterDatabase" localSheetId="4" hidden="1">'VISA CARDS (SIGN LIST)'!$E$3:$E$499</definedName>
    <definedName name="LCTN">OFFSET('TOP LOCATIONS'!$B$3,0,0,COUNTA('TOP LOCATIONS'!$B:$B)-1)</definedName>
    <definedName name="MAX">OFFSET('TOP LOCATIONS'!$D$3,0,0,COUNTA('TOP LOCATIONS'!$D:$D)-1)</definedName>
    <definedName name="MyEDV">OFFSET('RAW DATA'!$B$4,0,0,COUNTA('RAW DATA'!$B:$B),1)</definedName>
    <definedName name="TOPS" localSheetId="5">OFFSET('TOP LOCATIONS'!$C$3,0,0,COUNTA('TOP LOCATIONS'!$C:$C)-1)</definedName>
  </definedNames>
  <calcPr calcId="145621"/>
</workbook>
</file>

<file path=xl/calcChain.xml><?xml version="1.0" encoding="utf-8"?>
<calcChain xmlns="http://schemas.openxmlformats.org/spreadsheetml/2006/main">
  <c r="E5" i="2" l="1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4" i="2"/>
  <c r="E5" i="10" l="1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258" i="10"/>
  <c r="E259" i="10"/>
  <c r="E260" i="10"/>
  <c r="E261" i="10"/>
  <c r="E262" i="10"/>
  <c r="E263" i="10"/>
  <c r="E264" i="10"/>
  <c r="E265" i="10"/>
  <c r="E266" i="10"/>
  <c r="E267" i="10"/>
  <c r="E268" i="10"/>
  <c r="E269" i="10"/>
  <c r="E270" i="10"/>
  <c r="E271" i="10"/>
  <c r="E272" i="10"/>
  <c r="E273" i="10"/>
  <c r="E274" i="10"/>
  <c r="E275" i="10"/>
  <c r="E276" i="10"/>
  <c r="E277" i="10"/>
  <c r="E278" i="10"/>
  <c r="E279" i="10"/>
  <c r="E280" i="10"/>
  <c r="E281" i="10"/>
  <c r="E282" i="10"/>
  <c r="E283" i="10"/>
  <c r="E284" i="10"/>
  <c r="E285" i="10"/>
  <c r="E286" i="10"/>
  <c r="E287" i="10"/>
  <c r="E288" i="10"/>
  <c r="E289" i="10"/>
  <c r="E290" i="10"/>
  <c r="E291" i="10"/>
  <c r="E292" i="10"/>
  <c r="E293" i="10"/>
  <c r="E294" i="10"/>
  <c r="E295" i="10"/>
  <c r="E296" i="10"/>
  <c r="E297" i="10"/>
  <c r="E298" i="10"/>
  <c r="E299" i="10"/>
  <c r="E300" i="10"/>
  <c r="E301" i="10"/>
  <c r="E302" i="10"/>
  <c r="E303" i="10"/>
  <c r="E304" i="10"/>
  <c r="E305" i="10"/>
  <c r="E306" i="10"/>
  <c r="E307" i="10"/>
  <c r="E308" i="10"/>
  <c r="E309" i="10"/>
  <c r="E310" i="10"/>
  <c r="E311" i="10"/>
  <c r="E312" i="10"/>
  <c r="E313" i="10"/>
  <c r="E314" i="10"/>
  <c r="E315" i="10"/>
  <c r="E316" i="10"/>
  <c r="E317" i="10"/>
  <c r="E318" i="10"/>
  <c r="E319" i="10"/>
  <c r="E320" i="10"/>
  <c r="E321" i="10"/>
  <c r="E322" i="10"/>
  <c r="E323" i="10"/>
  <c r="E324" i="10"/>
  <c r="E325" i="10"/>
  <c r="E326" i="10"/>
  <c r="E327" i="10"/>
  <c r="E328" i="10"/>
  <c r="E329" i="10"/>
  <c r="E330" i="10"/>
  <c r="E331" i="10"/>
  <c r="E332" i="10"/>
  <c r="E333" i="10"/>
  <c r="E334" i="10"/>
  <c r="E335" i="10"/>
  <c r="E336" i="10"/>
  <c r="E337" i="10"/>
  <c r="E338" i="10"/>
  <c r="E339" i="10"/>
  <c r="E340" i="10"/>
  <c r="E341" i="10"/>
  <c r="E342" i="10"/>
  <c r="E343" i="10"/>
  <c r="E344" i="10"/>
  <c r="E345" i="10"/>
  <c r="E346" i="10"/>
  <c r="E347" i="10"/>
  <c r="E348" i="10"/>
  <c r="E349" i="10"/>
  <c r="E350" i="10"/>
  <c r="E351" i="10"/>
  <c r="E352" i="10"/>
  <c r="E353" i="10"/>
  <c r="E354" i="10"/>
  <c r="E355" i="10"/>
  <c r="E356" i="10"/>
  <c r="E357" i="10"/>
  <c r="E358" i="10"/>
  <c r="E359" i="10"/>
  <c r="E360" i="10"/>
  <c r="E361" i="10"/>
  <c r="E362" i="10"/>
  <c r="E363" i="10"/>
  <c r="E364" i="10"/>
  <c r="E365" i="10"/>
  <c r="E366" i="10"/>
  <c r="E367" i="10"/>
  <c r="E368" i="10"/>
  <c r="E369" i="10"/>
  <c r="E370" i="10"/>
  <c r="E371" i="10"/>
  <c r="E372" i="10"/>
  <c r="E373" i="10"/>
  <c r="E374" i="10"/>
  <c r="E375" i="10"/>
  <c r="E376" i="10"/>
  <c r="E377" i="10"/>
  <c r="E378" i="10"/>
  <c r="E379" i="10"/>
  <c r="E380" i="10"/>
  <c r="E381" i="10"/>
  <c r="E382" i="10"/>
  <c r="E383" i="10"/>
  <c r="E384" i="10"/>
  <c r="E385" i="10"/>
  <c r="E386" i="10"/>
  <c r="E387" i="10"/>
  <c r="E388" i="10"/>
  <c r="E389" i="10"/>
  <c r="E390" i="10"/>
  <c r="E391" i="10"/>
  <c r="E392" i="10"/>
  <c r="E393" i="10"/>
  <c r="E394" i="10"/>
  <c r="E395" i="10"/>
  <c r="E396" i="10"/>
  <c r="E397" i="10"/>
  <c r="E398" i="10"/>
  <c r="E399" i="10"/>
  <c r="E400" i="10"/>
  <c r="E401" i="10"/>
  <c r="E402" i="10"/>
  <c r="E403" i="10"/>
  <c r="E404" i="10"/>
  <c r="E405" i="10"/>
  <c r="E406" i="10"/>
  <c r="E407" i="10"/>
  <c r="E408" i="10"/>
  <c r="E409" i="10"/>
  <c r="E410" i="10"/>
  <c r="E411" i="10"/>
  <c r="E412" i="10"/>
  <c r="E413" i="10"/>
  <c r="E414" i="10"/>
  <c r="E415" i="10"/>
  <c r="E416" i="10"/>
  <c r="E417" i="10"/>
  <c r="E418" i="10"/>
  <c r="E419" i="10"/>
  <c r="E420" i="10"/>
  <c r="E421" i="10"/>
  <c r="E422" i="10"/>
  <c r="E423" i="10"/>
  <c r="E424" i="10"/>
  <c r="E425" i="10"/>
  <c r="E426" i="10"/>
  <c r="E427" i="10"/>
  <c r="E428" i="10"/>
  <c r="E429" i="10"/>
  <c r="E430" i="10"/>
  <c r="E431" i="10"/>
  <c r="E432" i="10"/>
  <c r="E433" i="10"/>
  <c r="E434" i="10"/>
  <c r="E435" i="10"/>
  <c r="E436" i="10"/>
  <c r="E437" i="10"/>
  <c r="E438" i="10"/>
  <c r="E439" i="10"/>
  <c r="E440" i="10"/>
  <c r="E441" i="10"/>
  <c r="E442" i="10"/>
  <c r="E443" i="10"/>
  <c r="E444" i="10"/>
  <c r="E445" i="10"/>
  <c r="E446" i="10"/>
  <c r="E447" i="10"/>
  <c r="E448" i="10"/>
  <c r="E449" i="10"/>
  <c r="E450" i="10"/>
  <c r="E451" i="10"/>
  <c r="E452" i="10"/>
  <c r="E453" i="10"/>
  <c r="E454" i="10"/>
  <c r="E455" i="10"/>
  <c r="E456" i="10"/>
  <c r="E457" i="10"/>
  <c r="E458" i="10"/>
  <c r="E459" i="10"/>
  <c r="E460" i="10"/>
  <c r="E461" i="10"/>
  <c r="E462" i="10"/>
  <c r="E463" i="10"/>
  <c r="E464" i="10"/>
  <c r="E465" i="10"/>
  <c r="E466" i="10"/>
  <c r="E467" i="10"/>
  <c r="E468" i="10"/>
  <c r="E469" i="10"/>
  <c r="E470" i="10"/>
  <c r="E471" i="10"/>
  <c r="E472" i="10"/>
  <c r="E473" i="10"/>
  <c r="E474" i="10"/>
  <c r="E475" i="10"/>
  <c r="E476" i="10"/>
  <c r="E477" i="10"/>
  <c r="E478" i="10"/>
  <c r="E479" i="10"/>
  <c r="E480" i="10"/>
  <c r="E481" i="10"/>
  <c r="E482" i="10"/>
  <c r="E483" i="10"/>
  <c r="E484" i="10"/>
  <c r="E485" i="10"/>
  <c r="E486" i="10"/>
  <c r="E487" i="10"/>
  <c r="E488" i="10"/>
  <c r="E489" i="10"/>
  <c r="E490" i="10"/>
  <c r="E491" i="10"/>
  <c r="E492" i="10"/>
  <c r="E493" i="10"/>
  <c r="E494" i="10"/>
  <c r="E495" i="10"/>
  <c r="E496" i="10"/>
  <c r="E497" i="10"/>
  <c r="E498" i="10"/>
  <c r="E499" i="10"/>
  <c r="E4" i="10"/>
  <c r="B5" i="10" l="1"/>
  <c r="C5" i="10"/>
  <c r="D5" i="10"/>
  <c r="B6" i="10"/>
  <c r="C6" i="10"/>
  <c r="D6" i="10"/>
  <c r="B7" i="10"/>
  <c r="C7" i="10"/>
  <c r="D7" i="10"/>
  <c r="B8" i="10"/>
  <c r="C8" i="10"/>
  <c r="D8" i="10"/>
  <c r="B9" i="10"/>
  <c r="C9" i="10"/>
  <c r="D9" i="10"/>
  <c r="B10" i="10"/>
  <c r="C10" i="10"/>
  <c r="D10" i="10"/>
  <c r="B11" i="10"/>
  <c r="C11" i="10"/>
  <c r="D11" i="10"/>
  <c r="B12" i="10"/>
  <c r="C12" i="10"/>
  <c r="D12" i="10"/>
  <c r="B13" i="10"/>
  <c r="C13" i="10"/>
  <c r="D13" i="10"/>
  <c r="B14" i="10"/>
  <c r="C14" i="10"/>
  <c r="D14" i="10"/>
  <c r="B15" i="10"/>
  <c r="C15" i="10"/>
  <c r="D15" i="10"/>
  <c r="B16" i="10"/>
  <c r="C16" i="10"/>
  <c r="D16" i="10"/>
  <c r="B17" i="10"/>
  <c r="C17" i="10"/>
  <c r="D17" i="10"/>
  <c r="B18" i="10"/>
  <c r="C18" i="10"/>
  <c r="D18" i="10"/>
  <c r="B19" i="10"/>
  <c r="C19" i="10"/>
  <c r="D19" i="10"/>
  <c r="B20" i="10"/>
  <c r="C20" i="10"/>
  <c r="D20" i="10"/>
  <c r="B21" i="10"/>
  <c r="C21" i="10"/>
  <c r="D21" i="10"/>
  <c r="B22" i="10"/>
  <c r="C22" i="10"/>
  <c r="D22" i="10"/>
  <c r="B23" i="10"/>
  <c r="C23" i="10"/>
  <c r="D23" i="10"/>
  <c r="B24" i="10"/>
  <c r="C24" i="10"/>
  <c r="D24" i="10"/>
  <c r="B25" i="10"/>
  <c r="C25" i="10"/>
  <c r="D25" i="10"/>
  <c r="B26" i="10"/>
  <c r="C26" i="10"/>
  <c r="D26" i="10"/>
  <c r="B27" i="10"/>
  <c r="C27" i="10"/>
  <c r="D27" i="10"/>
  <c r="B28" i="10"/>
  <c r="C28" i="10"/>
  <c r="D28" i="10"/>
  <c r="B29" i="10"/>
  <c r="C29" i="10"/>
  <c r="D29" i="10"/>
  <c r="B30" i="10"/>
  <c r="C30" i="10"/>
  <c r="D30" i="10"/>
  <c r="B31" i="10"/>
  <c r="C31" i="10"/>
  <c r="D31" i="10"/>
  <c r="B32" i="10"/>
  <c r="C32" i="10"/>
  <c r="D32" i="10"/>
  <c r="B33" i="10"/>
  <c r="C33" i="10"/>
  <c r="D33" i="10"/>
  <c r="B34" i="10"/>
  <c r="C34" i="10"/>
  <c r="D34" i="10"/>
  <c r="B35" i="10"/>
  <c r="C35" i="10"/>
  <c r="D35" i="10"/>
  <c r="B36" i="10"/>
  <c r="C36" i="10"/>
  <c r="D36" i="10"/>
  <c r="B37" i="10"/>
  <c r="C37" i="10"/>
  <c r="D37" i="10"/>
  <c r="B38" i="10"/>
  <c r="C38" i="10"/>
  <c r="D38" i="10"/>
  <c r="B39" i="10"/>
  <c r="C39" i="10"/>
  <c r="D39" i="10"/>
  <c r="B40" i="10"/>
  <c r="C40" i="10"/>
  <c r="D40" i="10"/>
  <c r="B41" i="10"/>
  <c r="C41" i="10"/>
  <c r="D41" i="10"/>
  <c r="B42" i="10"/>
  <c r="C42" i="10"/>
  <c r="D42" i="10"/>
  <c r="B43" i="10"/>
  <c r="C43" i="10"/>
  <c r="D43" i="10"/>
  <c r="B44" i="10"/>
  <c r="C44" i="10"/>
  <c r="D44" i="10"/>
  <c r="B45" i="10"/>
  <c r="C45" i="10"/>
  <c r="D45" i="10"/>
  <c r="B46" i="10"/>
  <c r="C46" i="10"/>
  <c r="D46" i="10"/>
  <c r="B47" i="10"/>
  <c r="C47" i="10"/>
  <c r="D47" i="10"/>
  <c r="B48" i="10"/>
  <c r="C48" i="10"/>
  <c r="D48" i="10"/>
  <c r="B49" i="10"/>
  <c r="C49" i="10"/>
  <c r="D49" i="10"/>
  <c r="B50" i="10"/>
  <c r="C50" i="10"/>
  <c r="D50" i="10"/>
  <c r="B51" i="10"/>
  <c r="C51" i="10"/>
  <c r="D51" i="10"/>
  <c r="B52" i="10"/>
  <c r="C52" i="10"/>
  <c r="D52" i="10"/>
  <c r="B53" i="10"/>
  <c r="C53" i="10"/>
  <c r="D53" i="10"/>
  <c r="B54" i="10"/>
  <c r="C54" i="10"/>
  <c r="D54" i="10"/>
  <c r="B55" i="10"/>
  <c r="C55" i="10"/>
  <c r="D55" i="10"/>
  <c r="B56" i="10"/>
  <c r="C56" i="10"/>
  <c r="D56" i="10"/>
  <c r="B57" i="10"/>
  <c r="C57" i="10"/>
  <c r="D57" i="10"/>
  <c r="B58" i="10"/>
  <c r="C58" i="10"/>
  <c r="D58" i="10"/>
  <c r="B59" i="10"/>
  <c r="C59" i="10"/>
  <c r="D59" i="10"/>
  <c r="B60" i="10"/>
  <c r="C60" i="10"/>
  <c r="D60" i="10"/>
  <c r="B61" i="10"/>
  <c r="C61" i="10"/>
  <c r="D61" i="10"/>
  <c r="B62" i="10"/>
  <c r="C62" i="10"/>
  <c r="D62" i="10"/>
  <c r="B63" i="10"/>
  <c r="C63" i="10"/>
  <c r="D63" i="10"/>
  <c r="B64" i="10"/>
  <c r="C64" i="10"/>
  <c r="D64" i="10"/>
  <c r="B65" i="10"/>
  <c r="C65" i="10"/>
  <c r="D65" i="10"/>
  <c r="B66" i="10"/>
  <c r="C66" i="10"/>
  <c r="D66" i="10"/>
  <c r="B67" i="10"/>
  <c r="C67" i="10"/>
  <c r="D67" i="10"/>
  <c r="B68" i="10"/>
  <c r="C68" i="10"/>
  <c r="D68" i="10"/>
  <c r="B69" i="10"/>
  <c r="C69" i="10"/>
  <c r="D69" i="10"/>
  <c r="B70" i="10"/>
  <c r="C70" i="10"/>
  <c r="D70" i="10"/>
  <c r="B71" i="10"/>
  <c r="C71" i="10"/>
  <c r="D71" i="10"/>
  <c r="B72" i="10"/>
  <c r="C72" i="10"/>
  <c r="D72" i="10"/>
  <c r="B73" i="10"/>
  <c r="C73" i="10"/>
  <c r="D73" i="10"/>
  <c r="B74" i="10"/>
  <c r="C74" i="10"/>
  <c r="D74" i="10"/>
  <c r="B75" i="10"/>
  <c r="C75" i="10"/>
  <c r="D75" i="10"/>
  <c r="B76" i="10"/>
  <c r="C76" i="10"/>
  <c r="D76" i="10"/>
  <c r="B77" i="10"/>
  <c r="C77" i="10"/>
  <c r="D77" i="10"/>
  <c r="B78" i="10"/>
  <c r="C78" i="10"/>
  <c r="D78" i="10"/>
  <c r="B79" i="10"/>
  <c r="C79" i="10"/>
  <c r="D79" i="10"/>
  <c r="B80" i="10"/>
  <c r="C80" i="10"/>
  <c r="D80" i="10"/>
  <c r="B81" i="10"/>
  <c r="C81" i="10"/>
  <c r="D81" i="10"/>
  <c r="B82" i="10"/>
  <c r="C82" i="10"/>
  <c r="D82" i="10"/>
  <c r="B83" i="10"/>
  <c r="C83" i="10"/>
  <c r="D83" i="10"/>
  <c r="B84" i="10"/>
  <c r="C84" i="10"/>
  <c r="D84" i="10"/>
  <c r="B85" i="10"/>
  <c r="C85" i="10"/>
  <c r="D85" i="10"/>
  <c r="B86" i="10"/>
  <c r="C86" i="10"/>
  <c r="D86" i="10"/>
  <c r="B87" i="10"/>
  <c r="C87" i="10"/>
  <c r="D87" i="10"/>
  <c r="B88" i="10"/>
  <c r="C88" i="10"/>
  <c r="D88" i="10"/>
  <c r="B89" i="10"/>
  <c r="C89" i="10"/>
  <c r="D89" i="10"/>
  <c r="B90" i="10"/>
  <c r="C90" i="10"/>
  <c r="D90" i="10"/>
  <c r="B91" i="10"/>
  <c r="C91" i="10"/>
  <c r="D91" i="10"/>
  <c r="B92" i="10"/>
  <c r="C92" i="10"/>
  <c r="D92" i="10"/>
  <c r="B93" i="10"/>
  <c r="C93" i="10"/>
  <c r="D93" i="10"/>
  <c r="B94" i="10"/>
  <c r="C94" i="10"/>
  <c r="D94" i="10"/>
  <c r="B95" i="10"/>
  <c r="C95" i="10"/>
  <c r="D95" i="10"/>
  <c r="B96" i="10"/>
  <c r="C96" i="10"/>
  <c r="D96" i="10"/>
  <c r="B97" i="10"/>
  <c r="C97" i="10"/>
  <c r="D97" i="10"/>
  <c r="B98" i="10"/>
  <c r="C98" i="10"/>
  <c r="D98" i="10"/>
  <c r="B99" i="10"/>
  <c r="C99" i="10"/>
  <c r="D99" i="10"/>
  <c r="B100" i="10"/>
  <c r="C100" i="10"/>
  <c r="D100" i="10"/>
  <c r="B101" i="10"/>
  <c r="C101" i="10"/>
  <c r="D101" i="10"/>
  <c r="B102" i="10"/>
  <c r="C102" i="10"/>
  <c r="D102" i="10"/>
  <c r="B103" i="10"/>
  <c r="C103" i="10"/>
  <c r="D103" i="10"/>
  <c r="B104" i="10"/>
  <c r="C104" i="10"/>
  <c r="D104" i="10"/>
  <c r="B105" i="10"/>
  <c r="C105" i="10"/>
  <c r="D105" i="10"/>
  <c r="B106" i="10"/>
  <c r="C106" i="10"/>
  <c r="D106" i="10"/>
  <c r="B107" i="10"/>
  <c r="C107" i="10"/>
  <c r="D107" i="10"/>
  <c r="B108" i="10"/>
  <c r="C108" i="10"/>
  <c r="D108" i="10"/>
  <c r="B109" i="10"/>
  <c r="C109" i="10"/>
  <c r="D109" i="10"/>
  <c r="B110" i="10"/>
  <c r="C110" i="10"/>
  <c r="D110" i="10"/>
  <c r="B111" i="10"/>
  <c r="C111" i="10"/>
  <c r="D111" i="10"/>
  <c r="B112" i="10"/>
  <c r="C112" i="10"/>
  <c r="D112" i="10"/>
  <c r="B113" i="10"/>
  <c r="C113" i="10"/>
  <c r="D113" i="10"/>
  <c r="B114" i="10"/>
  <c r="C114" i="10"/>
  <c r="D114" i="10"/>
  <c r="B115" i="10"/>
  <c r="C115" i="10"/>
  <c r="D115" i="10"/>
  <c r="B116" i="10"/>
  <c r="C116" i="10"/>
  <c r="D116" i="10"/>
  <c r="B117" i="10"/>
  <c r="C117" i="10"/>
  <c r="D117" i="10"/>
  <c r="B118" i="10"/>
  <c r="C118" i="10"/>
  <c r="D118" i="10"/>
  <c r="B119" i="10"/>
  <c r="C119" i="10"/>
  <c r="D119" i="10"/>
  <c r="B120" i="10"/>
  <c r="C120" i="10"/>
  <c r="D120" i="10"/>
  <c r="B121" i="10"/>
  <c r="C121" i="10"/>
  <c r="D121" i="10"/>
  <c r="B122" i="10"/>
  <c r="C122" i="10"/>
  <c r="D122" i="10"/>
  <c r="B123" i="10"/>
  <c r="C123" i="10"/>
  <c r="D123" i="10"/>
  <c r="B124" i="10"/>
  <c r="C124" i="10"/>
  <c r="D124" i="10"/>
  <c r="B125" i="10"/>
  <c r="C125" i="10"/>
  <c r="D125" i="10"/>
  <c r="B126" i="10"/>
  <c r="C126" i="10"/>
  <c r="D126" i="10"/>
  <c r="B127" i="10"/>
  <c r="C127" i="10"/>
  <c r="D127" i="10"/>
  <c r="B128" i="10"/>
  <c r="C128" i="10"/>
  <c r="D128" i="10"/>
  <c r="B129" i="10"/>
  <c r="C129" i="10"/>
  <c r="D129" i="10"/>
  <c r="B130" i="10"/>
  <c r="C130" i="10"/>
  <c r="D130" i="10"/>
  <c r="B131" i="10"/>
  <c r="C131" i="10"/>
  <c r="D131" i="10"/>
  <c r="B132" i="10"/>
  <c r="C132" i="10"/>
  <c r="D132" i="10"/>
  <c r="B133" i="10"/>
  <c r="C133" i="10"/>
  <c r="D133" i="10"/>
  <c r="B134" i="10"/>
  <c r="C134" i="10"/>
  <c r="D134" i="10"/>
  <c r="B135" i="10"/>
  <c r="C135" i="10"/>
  <c r="D135" i="10"/>
  <c r="B136" i="10"/>
  <c r="C136" i="10"/>
  <c r="D136" i="10"/>
  <c r="B137" i="10"/>
  <c r="C137" i="10"/>
  <c r="D137" i="10"/>
  <c r="B138" i="10"/>
  <c r="C138" i="10"/>
  <c r="D138" i="10"/>
  <c r="B139" i="10"/>
  <c r="C139" i="10"/>
  <c r="D139" i="10"/>
  <c r="B140" i="10"/>
  <c r="C140" i="10"/>
  <c r="D140" i="10"/>
  <c r="B141" i="10"/>
  <c r="C141" i="10"/>
  <c r="D141" i="10"/>
  <c r="B142" i="10"/>
  <c r="C142" i="10"/>
  <c r="D142" i="10"/>
  <c r="B143" i="10"/>
  <c r="C143" i="10"/>
  <c r="D143" i="10"/>
  <c r="B144" i="10"/>
  <c r="C144" i="10"/>
  <c r="D144" i="10"/>
  <c r="B145" i="10"/>
  <c r="C145" i="10"/>
  <c r="D145" i="10"/>
  <c r="B146" i="10"/>
  <c r="C146" i="10"/>
  <c r="D146" i="10"/>
  <c r="B147" i="10"/>
  <c r="C147" i="10"/>
  <c r="D147" i="10"/>
  <c r="B148" i="10"/>
  <c r="C148" i="10"/>
  <c r="D148" i="10"/>
  <c r="B149" i="10"/>
  <c r="C149" i="10"/>
  <c r="D149" i="10"/>
  <c r="B150" i="10"/>
  <c r="C150" i="10"/>
  <c r="D150" i="10"/>
  <c r="B151" i="10"/>
  <c r="C151" i="10"/>
  <c r="D151" i="10"/>
  <c r="B152" i="10"/>
  <c r="C152" i="10"/>
  <c r="D152" i="10"/>
  <c r="B153" i="10"/>
  <c r="C153" i="10"/>
  <c r="D153" i="10"/>
  <c r="B154" i="10"/>
  <c r="C154" i="10"/>
  <c r="D154" i="10"/>
  <c r="B155" i="10"/>
  <c r="C155" i="10"/>
  <c r="D155" i="10"/>
  <c r="B156" i="10"/>
  <c r="C156" i="10"/>
  <c r="D156" i="10"/>
  <c r="B157" i="10"/>
  <c r="C157" i="10"/>
  <c r="D157" i="10"/>
  <c r="B158" i="10"/>
  <c r="C158" i="10"/>
  <c r="D158" i="10"/>
  <c r="B159" i="10"/>
  <c r="C159" i="10"/>
  <c r="D159" i="10"/>
  <c r="B160" i="10"/>
  <c r="C160" i="10"/>
  <c r="D160" i="10"/>
  <c r="B161" i="10"/>
  <c r="C161" i="10"/>
  <c r="D161" i="10"/>
  <c r="B162" i="10"/>
  <c r="C162" i="10"/>
  <c r="D162" i="10"/>
  <c r="B163" i="10"/>
  <c r="C163" i="10"/>
  <c r="D163" i="10"/>
  <c r="B164" i="10"/>
  <c r="C164" i="10"/>
  <c r="D164" i="10"/>
  <c r="B165" i="10"/>
  <c r="C165" i="10"/>
  <c r="D165" i="10"/>
  <c r="B166" i="10"/>
  <c r="C166" i="10"/>
  <c r="D166" i="10"/>
  <c r="B167" i="10"/>
  <c r="C167" i="10"/>
  <c r="D167" i="10"/>
  <c r="B168" i="10"/>
  <c r="C168" i="10"/>
  <c r="D168" i="10"/>
  <c r="B169" i="10"/>
  <c r="C169" i="10"/>
  <c r="D169" i="10"/>
  <c r="B170" i="10"/>
  <c r="C170" i="10"/>
  <c r="D170" i="10"/>
  <c r="B171" i="10"/>
  <c r="C171" i="10"/>
  <c r="D171" i="10"/>
  <c r="B172" i="10"/>
  <c r="C172" i="10"/>
  <c r="D172" i="10"/>
  <c r="B173" i="10"/>
  <c r="C173" i="10"/>
  <c r="D173" i="10"/>
  <c r="B174" i="10"/>
  <c r="C174" i="10"/>
  <c r="D174" i="10"/>
  <c r="B175" i="10"/>
  <c r="C175" i="10"/>
  <c r="D175" i="10"/>
  <c r="B176" i="10"/>
  <c r="C176" i="10"/>
  <c r="D176" i="10"/>
  <c r="B177" i="10"/>
  <c r="C177" i="10"/>
  <c r="D177" i="10"/>
  <c r="B178" i="10"/>
  <c r="C178" i="10"/>
  <c r="D178" i="10"/>
  <c r="B179" i="10"/>
  <c r="C179" i="10"/>
  <c r="D179" i="10"/>
  <c r="B180" i="10"/>
  <c r="C180" i="10"/>
  <c r="D180" i="10"/>
  <c r="B181" i="10"/>
  <c r="C181" i="10"/>
  <c r="D181" i="10"/>
  <c r="B182" i="10"/>
  <c r="C182" i="10"/>
  <c r="D182" i="10"/>
  <c r="B183" i="10"/>
  <c r="C183" i="10"/>
  <c r="D183" i="10"/>
  <c r="B184" i="10"/>
  <c r="C184" i="10"/>
  <c r="D184" i="10"/>
  <c r="B185" i="10"/>
  <c r="C185" i="10"/>
  <c r="D185" i="10"/>
  <c r="B186" i="10"/>
  <c r="C186" i="10"/>
  <c r="D186" i="10"/>
  <c r="B187" i="10"/>
  <c r="C187" i="10"/>
  <c r="D187" i="10"/>
  <c r="B188" i="10"/>
  <c r="C188" i="10"/>
  <c r="D188" i="10"/>
  <c r="B189" i="10"/>
  <c r="C189" i="10"/>
  <c r="D189" i="10"/>
  <c r="B190" i="10"/>
  <c r="C190" i="10"/>
  <c r="D190" i="10"/>
  <c r="B191" i="10"/>
  <c r="C191" i="10"/>
  <c r="D191" i="10"/>
  <c r="B192" i="10"/>
  <c r="C192" i="10"/>
  <c r="D192" i="10"/>
  <c r="B193" i="10"/>
  <c r="C193" i="10"/>
  <c r="D193" i="10"/>
  <c r="B194" i="10"/>
  <c r="C194" i="10"/>
  <c r="D194" i="10"/>
  <c r="B195" i="10"/>
  <c r="C195" i="10"/>
  <c r="D195" i="10"/>
  <c r="B196" i="10"/>
  <c r="C196" i="10"/>
  <c r="D196" i="10"/>
  <c r="B197" i="10"/>
  <c r="C197" i="10"/>
  <c r="D197" i="10"/>
  <c r="B198" i="10"/>
  <c r="C198" i="10"/>
  <c r="D198" i="10"/>
  <c r="B199" i="10"/>
  <c r="C199" i="10"/>
  <c r="D199" i="10"/>
  <c r="B200" i="10"/>
  <c r="C200" i="10"/>
  <c r="D200" i="10"/>
  <c r="B201" i="10"/>
  <c r="C201" i="10"/>
  <c r="D201" i="10"/>
  <c r="B202" i="10"/>
  <c r="C202" i="10"/>
  <c r="D202" i="10"/>
  <c r="B203" i="10"/>
  <c r="C203" i="10"/>
  <c r="D203" i="10"/>
  <c r="B204" i="10"/>
  <c r="C204" i="10"/>
  <c r="D204" i="10"/>
  <c r="B205" i="10"/>
  <c r="C205" i="10"/>
  <c r="D205" i="10"/>
  <c r="B206" i="10"/>
  <c r="C206" i="10"/>
  <c r="D206" i="10"/>
  <c r="B207" i="10"/>
  <c r="C207" i="10"/>
  <c r="D207" i="10"/>
  <c r="B208" i="10"/>
  <c r="C208" i="10"/>
  <c r="D208" i="10"/>
  <c r="B209" i="10"/>
  <c r="C209" i="10"/>
  <c r="D209" i="10"/>
  <c r="B210" i="10"/>
  <c r="C210" i="10"/>
  <c r="D210" i="10"/>
  <c r="B211" i="10"/>
  <c r="C211" i="10"/>
  <c r="D211" i="10"/>
  <c r="B212" i="10"/>
  <c r="C212" i="10"/>
  <c r="D212" i="10"/>
  <c r="B213" i="10"/>
  <c r="C213" i="10"/>
  <c r="D213" i="10"/>
  <c r="B214" i="10"/>
  <c r="C214" i="10"/>
  <c r="D214" i="10"/>
  <c r="B215" i="10"/>
  <c r="C215" i="10"/>
  <c r="D215" i="10"/>
  <c r="B216" i="10"/>
  <c r="C216" i="10"/>
  <c r="D216" i="10"/>
  <c r="B217" i="10"/>
  <c r="C217" i="10"/>
  <c r="D217" i="10"/>
  <c r="B218" i="10"/>
  <c r="C218" i="10"/>
  <c r="D218" i="10"/>
  <c r="B219" i="10"/>
  <c r="C219" i="10"/>
  <c r="D219" i="10"/>
  <c r="B220" i="10"/>
  <c r="C220" i="10"/>
  <c r="D220" i="10"/>
  <c r="B221" i="10"/>
  <c r="C221" i="10"/>
  <c r="D221" i="10"/>
  <c r="B222" i="10"/>
  <c r="C222" i="10"/>
  <c r="D222" i="10"/>
  <c r="B223" i="10"/>
  <c r="C223" i="10"/>
  <c r="D223" i="10"/>
  <c r="B224" i="10"/>
  <c r="C224" i="10"/>
  <c r="D224" i="10"/>
  <c r="B225" i="10"/>
  <c r="C225" i="10"/>
  <c r="D225" i="10"/>
  <c r="B226" i="10"/>
  <c r="C226" i="10"/>
  <c r="D226" i="10"/>
  <c r="B227" i="10"/>
  <c r="C227" i="10"/>
  <c r="D227" i="10"/>
  <c r="B228" i="10"/>
  <c r="C228" i="10"/>
  <c r="D228" i="10"/>
  <c r="B229" i="10"/>
  <c r="C229" i="10"/>
  <c r="D229" i="10"/>
  <c r="B230" i="10"/>
  <c r="C230" i="10"/>
  <c r="D230" i="10"/>
  <c r="B231" i="10"/>
  <c r="C231" i="10"/>
  <c r="D231" i="10"/>
  <c r="B232" i="10"/>
  <c r="C232" i="10"/>
  <c r="D232" i="10"/>
  <c r="B233" i="10"/>
  <c r="C233" i="10"/>
  <c r="D233" i="10"/>
  <c r="B234" i="10"/>
  <c r="C234" i="10"/>
  <c r="D234" i="10"/>
  <c r="B235" i="10"/>
  <c r="C235" i="10"/>
  <c r="D235" i="10"/>
  <c r="B236" i="10"/>
  <c r="C236" i="10"/>
  <c r="D236" i="10"/>
  <c r="B237" i="10"/>
  <c r="C237" i="10"/>
  <c r="D237" i="10"/>
  <c r="B238" i="10"/>
  <c r="C238" i="10"/>
  <c r="D238" i="10"/>
  <c r="B239" i="10"/>
  <c r="C239" i="10"/>
  <c r="D239" i="10"/>
  <c r="B240" i="10"/>
  <c r="C240" i="10"/>
  <c r="D240" i="10"/>
  <c r="B241" i="10"/>
  <c r="C241" i="10"/>
  <c r="D241" i="10"/>
  <c r="B242" i="10"/>
  <c r="C242" i="10"/>
  <c r="D242" i="10"/>
  <c r="B243" i="10"/>
  <c r="C243" i="10"/>
  <c r="D243" i="10"/>
  <c r="B244" i="10"/>
  <c r="C244" i="10"/>
  <c r="D244" i="10"/>
  <c r="B245" i="10"/>
  <c r="C245" i="10"/>
  <c r="D245" i="10"/>
  <c r="B246" i="10"/>
  <c r="C246" i="10"/>
  <c r="D246" i="10"/>
  <c r="B247" i="10"/>
  <c r="C247" i="10"/>
  <c r="D247" i="10"/>
  <c r="B248" i="10"/>
  <c r="C248" i="10"/>
  <c r="D248" i="10"/>
  <c r="B249" i="10"/>
  <c r="C249" i="10"/>
  <c r="D249" i="10"/>
  <c r="B250" i="10"/>
  <c r="C250" i="10"/>
  <c r="D250" i="10"/>
  <c r="B251" i="10"/>
  <c r="C251" i="10"/>
  <c r="D251" i="10"/>
  <c r="B252" i="10"/>
  <c r="C252" i="10"/>
  <c r="D252" i="10"/>
  <c r="B253" i="10"/>
  <c r="C253" i="10"/>
  <c r="D253" i="10"/>
  <c r="B254" i="10"/>
  <c r="C254" i="10"/>
  <c r="D254" i="10"/>
  <c r="B255" i="10"/>
  <c r="C255" i="10"/>
  <c r="D255" i="10"/>
  <c r="B256" i="10"/>
  <c r="C256" i="10"/>
  <c r="D256" i="10"/>
  <c r="B257" i="10"/>
  <c r="C257" i="10"/>
  <c r="D257" i="10"/>
  <c r="B258" i="10"/>
  <c r="C258" i="10"/>
  <c r="D258" i="10"/>
  <c r="B259" i="10"/>
  <c r="C259" i="10"/>
  <c r="D259" i="10"/>
  <c r="B260" i="10"/>
  <c r="C260" i="10"/>
  <c r="D260" i="10"/>
  <c r="B261" i="10"/>
  <c r="C261" i="10"/>
  <c r="D261" i="10"/>
  <c r="B262" i="10"/>
  <c r="C262" i="10"/>
  <c r="D262" i="10"/>
  <c r="B263" i="10"/>
  <c r="C263" i="10"/>
  <c r="D263" i="10"/>
  <c r="B264" i="10"/>
  <c r="C264" i="10"/>
  <c r="D264" i="10"/>
  <c r="B265" i="10"/>
  <c r="C265" i="10"/>
  <c r="D265" i="10"/>
  <c r="B266" i="10"/>
  <c r="C266" i="10"/>
  <c r="D266" i="10"/>
  <c r="B267" i="10"/>
  <c r="C267" i="10"/>
  <c r="D267" i="10"/>
  <c r="B268" i="10"/>
  <c r="C268" i="10"/>
  <c r="D268" i="10"/>
  <c r="B269" i="10"/>
  <c r="C269" i="10"/>
  <c r="D269" i="10"/>
  <c r="B270" i="10"/>
  <c r="C270" i="10"/>
  <c r="D270" i="10"/>
  <c r="B271" i="10"/>
  <c r="C271" i="10"/>
  <c r="D271" i="10"/>
  <c r="B272" i="10"/>
  <c r="C272" i="10"/>
  <c r="D272" i="10"/>
  <c r="B273" i="10"/>
  <c r="C273" i="10"/>
  <c r="D273" i="10"/>
  <c r="B274" i="10"/>
  <c r="C274" i="10"/>
  <c r="D274" i="10"/>
  <c r="B275" i="10"/>
  <c r="C275" i="10"/>
  <c r="D275" i="10"/>
  <c r="B276" i="10"/>
  <c r="C276" i="10"/>
  <c r="D276" i="10"/>
  <c r="B277" i="10"/>
  <c r="C277" i="10"/>
  <c r="D277" i="10"/>
  <c r="B278" i="10"/>
  <c r="C278" i="10"/>
  <c r="D278" i="10"/>
  <c r="B279" i="10"/>
  <c r="C279" i="10"/>
  <c r="D279" i="10"/>
  <c r="B280" i="10"/>
  <c r="C280" i="10"/>
  <c r="D280" i="10"/>
  <c r="B281" i="10"/>
  <c r="C281" i="10"/>
  <c r="D281" i="10"/>
  <c r="B282" i="10"/>
  <c r="C282" i="10"/>
  <c r="D282" i="10"/>
  <c r="B283" i="10"/>
  <c r="C283" i="10"/>
  <c r="D283" i="10"/>
  <c r="B284" i="10"/>
  <c r="C284" i="10"/>
  <c r="D284" i="10"/>
  <c r="B285" i="10"/>
  <c r="C285" i="10"/>
  <c r="D285" i="10"/>
  <c r="B286" i="10"/>
  <c r="C286" i="10"/>
  <c r="D286" i="10"/>
  <c r="B287" i="10"/>
  <c r="C287" i="10"/>
  <c r="D287" i="10"/>
  <c r="B288" i="10"/>
  <c r="C288" i="10"/>
  <c r="D288" i="10"/>
  <c r="B289" i="10"/>
  <c r="C289" i="10"/>
  <c r="D289" i="10"/>
  <c r="B290" i="10"/>
  <c r="C290" i="10"/>
  <c r="D290" i="10"/>
  <c r="B291" i="10"/>
  <c r="C291" i="10"/>
  <c r="D291" i="10"/>
  <c r="B292" i="10"/>
  <c r="C292" i="10"/>
  <c r="D292" i="10"/>
  <c r="B293" i="10"/>
  <c r="C293" i="10"/>
  <c r="D293" i="10"/>
  <c r="B294" i="10"/>
  <c r="C294" i="10"/>
  <c r="D294" i="10"/>
  <c r="B295" i="10"/>
  <c r="C295" i="10"/>
  <c r="D295" i="10"/>
  <c r="B296" i="10"/>
  <c r="C296" i="10"/>
  <c r="D296" i="10"/>
  <c r="B297" i="10"/>
  <c r="C297" i="10"/>
  <c r="D297" i="10"/>
  <c r="B298" i="10"/>
  <c r="C298" i="10"/>
  <c r="D298" i="10"/>
  <c r="B299" i="10"/>
  <c r="C299" i="10"/>
  <c r="D299" i="10"/>
  <c r="B300" i="10"/>
  <c r="C300" i="10"/>
  <c r="D300" i="10"/>
  <c r="B301" i="10"/>
  <c r="C301" i="10"/>
  <c r="D301" i="10"/>
  <c r="B302" i="10"/>
  <c r="C302" i="10"/>
  <c r="D302" i="10"/>
  <c r="B303" i="10"/>
  <c r="C303" i="10"/>
  <c r="D303" i="10"/>
  <c r="B304" i="10"/>
  <c r="C304" i="10"/>
  <c r="D304" i="10"/>
  <c r="B305" i="10"/>
  <c r="C305" i="10"/>
  <c r="D305" i="10"/>
  <c r="B306" i="10"/>
  <c r="C306" i="10"/>
  <c r="D306" i="10"/>
  <c r="B307" i="10"/>
  <c r="C307" i="10"/>
  <c r="D307" i="10"/>
  <c r="B308" i="10"/>
  <c r="C308" i="10"/>
  <c r="D308" i="10"/>
  <c r="B309" i="10"/>
  <c r="C309" i="10"/>
  <c r="D309" i="10"/>
  <c r="B310" i="10"/>
  <c r="C310" i="10"/>
  <c r="D310" i="10"/>
  <c r="B311" i="10"/>
  <c r="C311" i="10"/>
  <c r="D311" i="10"/>
  <c r="B312" i="10"/>
  <c r="C312" i="10"/>
  <c r="D312" i="10"/>
  <c r="B313" i="10"/>
  <c r="C313" i="10"/>
  <c r="D313" i="10"/>
  <c r="B314" i="10"/>
  <c r="C314" i="10"/>
  <c r="D314" i="10"/>
  <c r="B315" i="10"/>
  <c r="C315" i="10"/>
  <c r="D315" i="10"/>
  <c r="B316" i="10"/>
  <c r="C316" i="10"/>
  <c r="D316" i="10"/>
  <c r="B317" i="10"/>
  <c r="C317" i="10"/>
  <c r="D317" i="10"/>
  <c r="B318" i="10"/>
  <c r="C318" i="10"/>
  <c r="D318" i="10"/>
  <c r="B319" i="10"/>
  <c r="C319" i="10"/>
  <c r="D319" i="10"/>
  <c r="B320" i="10"/>
  <c r="C320" i="10"/>
  <c r="D320" i="10"/>
  <c r="B321" i="10"/>
  <c r="C321" i="10"/>
  <c r="D321" i="10"/>
  <c r="B322" i="10"/>
  <c r="C322" i="10"/>
  <c r="D322" i="10"/>
  <c r="B323" i="10"/>
  <c r="C323" i="10"/>
  <c r="D323" i="10"/>
  <c r="B324" i="10"/>
  <c r="C324" i="10"/>
  <c r="D324" i="10"/>
  <c r="B325" i="10"/>
  <c r="C325" i="10"/>
  <c r="D325" i="10"/>
  <c r="B326" i="10"/>
  <c r="C326" i="10"/>
  <c r="D326" i="10"/>
  <c r="B327" i="10"/>
  <c r="C327" i="10"/>
  <c r="D327" i="10"/>
  <c r="B328" i="10"/>
  <c r="C328" i="10"/>
  <c r="D328" i="10"/>
  <c r="B329" i="10"/>
  <c r="C329" i="10"/>
  <c r="D329" i="10"/>
  <c r="B330" i="10"/>
  <c r="C330" i="10"/>
  <c r="D330" i="10"/>
  <c r="B331" i="10"/>
  <c r="C331" i="10"/>
  <c r="D331" i="10"/>
  <c r="B332" i="10"/>
  <c r="C332" i="10"/>
  <c r="D332" i="10"/>
  <c r="B333" i="10"/>
  <c r="C333" i="10"/>
  <c r="D333" i="10"/>
  <c r="B334" i="10"/>
  <c r="C334" i="10"/>
  <c r="D334" i="10"/>
  <c r="B335" i="10"/>
  <c r="C335" i="10"/>
  <c r="D335" i="10"/>
  <c r="B336" i="10"/>
  <c r="C336" i="10"/>
  <c r="D336" i="10"/>
  <c r="B337" i="10"/>
  <c r="C337" i="10"/>
  <c r="D337" i="10"/>
  <c r="B338" i="10"/>
  <c r="C338" i="10"/>
  <c r="D338" i="10"/>
  <c r="B339" i="10"/>
  <c r="C339" i="10"/>
  <c r="D339" i="10"/>
  <c r="B340" i="10"/>
  <c r="C340" i="10"/>
  <c r="D340" i="10"/>
  <c r="B341" i="10"/>
  <c r="C341" i="10"/>
  <c r="D341" i="10"/>
  <c r="B342" i="10"/>
  <c r="C342" i="10"/>
  <c r="D342" i="10"/>
  <c r="B343" i="10"/>
  <c r="C343" i="10"/>
  <c r="D343" i="10"/>
  <c r="B344" i="10"/>
  <c r="C344" i="10"/>
  <c r="D344" i="10"/>
  <c r="B345" i="10"/>
  <c r="C345" i="10"/>
  <c r="D345" i="10"/>
  <c r="B346" i="10"/>
  <c r="C346" i="10"/>
  <c r="D346" i="10"/>
  <c r="B347" i="10"/>
  <c r="C347" i="10"/>
  <c r="D347" i="10"/>
  <c r="B348" i="10"/>
  <c r="C348" i="10"/>
  <c r="D348" i="10"/>
  <c r="B349" i="10"/>
  <c r="C349" i="10"/>
  <c r="D349" i="10"/>
  <c r="B350" i="10"/>
  <c r="C350" i="10"/>
  <c r="D350" i="10"/>
  <c r="B351" i="10"/>
  <c r="C351" i="10"/>
  <c r="D351" i="10"/>
  <c r="B352" i="10"/>
  <c r="C352" i="10"/>
  <c r="D352" i="10"/>
  <c r="B353" i="10"/>
  <c r="C353" i="10"/>
  <c r="D353" i="10"/>
  <c r="B354" i="10"/>
  <c r="C354" i="10"/>
  <c r="D354" i="10"/>
  <c r="B355" i="10"/>
  <c r="C355" i="10"/>
  <c r="D355" i="10"/>
  <c r="B356" i="10"/>
  <c r="C356" i="10"/>
  <c r="D356" i="10"/>
  <c r="B357" i="10"/>
  <c r="C357" i="10"/>
  <c r="D357" i="10"/>
  <c r="B358" i="10"/>
  <c r="C358" i="10"/>
  <c r="D358" i="10"/>
  <c r="B359" i="10"/>
  <c r="C359" i="10"/>
  <c r="D359" i="10"/>
  <c r="B360" i="10"/>
  <c r="C360" i="10"/>
  <c r="D360" i="10"/>
  <c r="B361" i="10"/>
  <c r="C361" i="10"/>
  <c r="D361" i="10"/>
  <c r="B362" i="10"/>
  <c r="C362" i="10"/>
  <c r="D362" i="10"/>
  <c r="B363" i="10"/>
  <c r="C363" i="10"/>
  <c r="D363" i="10"/>
  <c r="B364" i="10"/>
  <c r="C364" i="10"/>
  <c r="D364" i="10"/>
  <c r="B365" i="10"/>
  <c r="C365" i="10"/>
  <c r="D365" i="10"/>
  <c r="B366" i="10"/>
  <c r="C366" i="10"/>
  <c r="D366" i="10"/>
  <c r="B367" i="10"/>
  <c r="C367" i="10"/>
  <c r="D367" i="10"/>
  <c r="B368" i="10"/>
  <c r="C368" i="10"/>
  <c r="D368" i="10"/>
  <c r="B369" i="10"/>
  <c r="C369" i="10"/>
  <c r="D369" i="10"/>
  <c r="B370" i="10"/>
  <c r="C370" i="10"/>
  <c r="D370" i="10"/>
  <c r="B371" i="10"/>
  <c r="C371" i="10"/>
  <c r="D371" i="10"/>
  <c r="B372" i="10"/>
  <c r="C372" i="10"/>
  <c r="D372" i="10"/>
  <c r="B373" i="10"/>
  <c r="C373" i="10"/>
  <c r="D373" i="10"/>
  <c r="B374" i="10"/>
  <c r="C374" i="10"/>
  <c r="D374" i="10"/>
  <c r="B375" i="10"/>
  <c r="C375" i="10"/>
  <c r="D375" i="10"/>
  <c r="B376" i="10"/>
  <c r="C376" i="10"/>
  <c r="D376" i="10"/>
  <c r="B377" i="10"/>
  <c r="C377" i="10"/>
  <c r="D377" i="10"/>
  <c r="B378" i="10"/>
  <c r="C378" i="10"/>
  <c r="D378" i="10"/>
  <c r="B379" i="10"/>
  <c r="C379" i="10"/>
  <c r="D379" i="10"/>
  <c r="B380" i="10"/>
  <c r="C380" i="10"/>
  <c r="D380" i="10"/>
  <c r="B381" i="10"/>
  <c r="C381" i="10"/>
  <c r="D381" i="10"/>
  <c r="B382" i="10"/>
  <c r="C382" i="10"/>
  <c r="D382" i="10"/>
  <c r="B383" i="10"/>
  <c r="C383" i="10"/>
  <c r="D383" i="10"/>
  <c r="B384" i="10"/>
  <c r="C384" i="10"/>
  <c r="D384" i="10"/>
  <c r="B385" i="10"/>
  <c r="C385" i="10"/>
  <c r="D385" i="10"/>
  <c r="B386" i="10"/>
  <c r="C386" i="10"/>
  <c r="D386" i="10"/>
  <c r="B387" i="10"/>
  <c r="C387" i="10"/>
  <c r="D387" i="10"/>
  <c r="B388" i="10"/>
  <c r="C388" i="10"/>
  <c r="D388" i="10"/>
  <c r="B389" i="10"/>
  <c r="C389" i="10"/>
  <c r="D389" i="10"/>
  <c r="B390" i="10"/>
  <c r="C390" i="10"/>
  <c r="D390" i="10"/>
  <c r="B391" i="10"/>
  <c r="C391" i="10"/>
  <c r="D391" i="10"/>
  <c r="B392" i="10"/>
  <c r="C392" i="10"/>
  <c r="D392" i="10"/>
  <c r="B393" i="10"/>
  <c r="C393" i="10"/>
  <c r="D393" i="10"/>
  <c r="B394" i="10"/>
  <c r="C394" i="10"/>
  <c r="D394" i="10"/>
  <c r="B395" i="10"/>
  <c r="C395" i="10"/>
  <c r="D395" i="10"/>
  <c r="B396" i="10"/>
  <c r="C396" i="10"/>
  <c r="D396" i="10"/>
  <c r="B397" i="10"/>
  <c r="C397" i="10"/>
  <c r="D397" i="10"/>
  <c r="B398" i="10"/>
  <c r="C398" i="10"/>
  <c r="D398" i="10"/>
  <c r="B399" i="10"/>
  <c r="C399" i="10"/>
  <c r="D399" i="10"/>
  <c r="B400" i="10"/>
  <c r="C400" i="10"/>
  <c r="D400" i="10"/>
  <c r="B401" i="10"/>
  <c r="C401" i="10"/>
  <c r="D401" i="10"/>
  <c r="B402" i="10"/>
  <c r="C402" i="10"/>
  <c r="D402" i="10"/>
  <c r="B403" i="10"/>
  <c r="C403" i="10"/>
  <c r="D403" i="10"/>
  <c r="B404" i="10"/>
  <c r="C404" i="10"/>
  <c r="D404" i="10"/>
  <c r="B405" i="10"/>
  <c r="C405" i="10"/>
  <c r="D405" i="10"/>
  <c r="B406" i="10"/>
  <c r="C406" i="10"/>
  <c r="D406" i="10"/>
  <c r="B407" i="10"/>
  <c r="C407" i="10"/>
  <c r="D407" i="10"/>
  <c r="B408" i="10"/>
  <c r="C408" i="10"/>
  <c r="D408" i="10"/>
  <c r="B409" i="10"/>
  <c r="C409" i="10"/>
  <c r="D409" i="10"/>
  <c r="B410" i="10"/>
  <c r="C410" i="10"/>
  <c r="D410" i="10"/>
  <c r="B411" i="10"/>
  <c r="C411" i="10"/>
  <c r="D411" i="10"/>
  <c r="B412" i="10"/>
  <c r="C412" i="10"/>
  <c r="D412" i="10"/>
  <c r="B413" i="10"/>
  <c r="C413" i="10"/>
  <c r="D413" i="10"/>
  <c r="B414" i="10"/>
  <c r="C414" i="10"/>
  <c r="D414" i="10"/>
  <c r="B415" i="10"/>
  <c r="C415" i="10"/>
  <c r="D415" i="10"/>
  <c r="B416" i="10"/>
  <c r="C416" i="10"/>
  <c r="D416" i="10"/>
  <c r="B417" i="10"/>
  <c r="C417" i="10"/>
  <c r="D417" i="10"/>
  <c r="B418" i="10"/>
  <c r="C418" i="10"/>
  <c r="D418" i="10"/>
  <c r="B419" i="10"/>
  <c r="C419" i="10"/>
  <c r="D419" i="10"/>
  <c r="B420" i="10"/>
  <c r="C420" i="10"/>
  <c r="D420" i="10"/>
  <c r="B421" i="10"/>
  <c r="C421" i="10"/>
  <c r="D421" i="10"/>
  <c r="B422" i="10"/>
  <c r="C422" i="10"/>
  <c r="D422" i="10"/>
  <c r="B423" i="10"/>
  <c r="C423" i="10"/>
  <c r="D423" i="10"/>
  <c r="B424" i="10"/>
  <c r="C424" i="10"/>
  <c r="D424" i="10"/>
  <c r="B425" i="10"/>
  <c r="C425" i="10"/>
  <c r="D425" i="10"/>
  <c r="B426" i="10"/>
  <c r="C426" i="10"/>
  <c r="D426" i="10"/>
  <c r="B427" i="10"/>
  <c r="C427" i="10"/>
  <c r="D427" i="10"/>
  <c r="B428" i="10"/>
  <c r="C428" i="10"/>
  <c r="D428" i="10"/>
  <c r="B429" i="10"/>
  <c r="C429" i="10"/>
  <c r="D429" i="10"/>
  <c r="B430" i="10"/>
  <c r="C430" i="10"/>
  <c r="D430" i="10"/>
  <c r="B431" i="10"/>
  <c r="C431" i="10"/>
  <c r="D431" i="10"/>
  <c r="B432" i="10"/>
  <c r="C432" i="10"/>
  <c r="D432" i="10"/>
  <c r="B433" i="10"/>
  <c r="C433" i="10"/>
  <c r="D433" i="10"/>
  <c r="B434" i="10"/>
  <c r="C434" i="10"/>
  <c r="D434" i="10"/>
  <c r="B435" i="10"/>
  <c r="C435" i="10"/>
  <c r="D435" i="10"/>
  <c r="B436" i="10"/>
  <c r="C436" i="10"/>
  <c r="D436" i="10"/>
  <c r="B437" i="10"/>
  <c r="C437" i="10"/>
  <c r="D437" i="10"/>
  <c r="B438" i="10"/>
  <c r="C438" i="10"/>
  <c r="D438" i="10"/>
  <c r="B439" i="10"/>
  <c r="C439" i="10"/>
  <c r="D439" i="10"/>
  <c r="B440" i="10"/>
  <c r="C440" i="10"/>
  <c r="D440" i="10"/>
  <c r="B441" i="10"/>
  <c r="C441" i="10"/>
  <c r="D441" i="10"/>
  <c r="B442" i="10"/>
  <c r="C442" i="10"/>
  <c r="D442" i="10"/>
  <c r="B443" i="10"/>
  <c r="C443" i="10"/>
  <c r="D443" i="10"/>
  <c r="B444" i="10"/>
  <c r="C444" i="10"/>
  <c r="D444" i="10"/>
  <c r="B445" i="10"/>
  <c r="C445" i="10"/>
  <c r="D445" i="10"/>
  <c r="B446" i="10"/>
  <c r="C446" i="10"/>
  <c r="D446" i="10"/>
  <c r="B447" i="10"/>
  <c r="C447" i="10"/>
  <c r="D447" i="10"/>
  <c r="B448" i="10"/>
  <c r="C448" i="10"/>
  <c r="D448" i="10"/>
  <c r="B449" i="10"/>
  <c r="C449" i="10"/>
  <c r="D449" i="10"/>
  <c r="B450" i="10"/>
  <c r="C450" i="10"/>
  <c r="D450" i="10"/>
  <c r="B451" i="10"/>
  <c r="C451" i="10"/>
  <c r="D451" i="10"/>
  <c r="B452" i="10"/>
  <c r="C452" i="10"/>
  <c r="D452" i="10"/>
  <c r="B453" i="10"/>
  <c r="C453" i="10"/>
  <c r="D453" i="10"/>
  <c r="B454" i="10"/>
  <c r="C454" i="10"/>
  <c r="D454" i="10"/>
  <c r="B455" i="10"/>
  <c r="C455" i="10"/>
  <c r="D455" i="10"/>
  <c r="B456" i="10"/>
  <c r="C456" i="10"/>
  <c r="D456" i="10"/>
  <c r="B457" i="10"/>
  <c r="C457" i="10"/>
  <c r="D457" i="10"/>
  <c r="B458" i="10"/>
  <c r="C458" i="10"/>
  <c r="D458" i="10"/>
  <c r="B459" i="10"/>
  <c r="C459" i="10"/>
  <c r="D459" i="10"/>
  <c r="B460" i="10"/>
  <c r="C460" i="10"/>
  <c r="D460" i="10"/>
  <c r="B461" i="10"/>
  <c r="C461" i="10"/>
  <c r="D461" i="10"/>
  <c r="B462" i="10"/>
  <c r="C462" i="10"/>
  <c r="D462" i="10"/>
  <c r="B463" i="10"/>
  <c r="C463" i="10"/>
  <c r="D463" i="10"/>
  <c r="B464" i="10"/>
  <c r="C464" i="10"/>
  <c r="D464" i="10"/>
  <c r="B465" i="10"/>
  <c r="C465" i="10"/>
  <c r="D465" i="10"/>
  <c r="B466" i="10"/>
  <c r="C466" i="10"/>
  <c r="D466" i="10"/>
  <c r="B467" i="10"/>
  <c r="C467" i="10"/>
  <c r="D467" i="10"/>
  <c r="B468" i="10"/>
  <c r="C468" i="10"/>
  <c r="D468" i="10"/>
  <c r="B469" i="10"/>
  <c r="C469" i="10"/>
  <c r="D469" i="10"/>
  <c r="B470" i="10"/>
  <c r="C470" i="10"/>
  <c r="D470" i="10"/>
  <c r="B471" i="10"/>
  <c r="C471" i="10"/>
  <c r="D471" i="10"/>
  <c r="B472" i="10"/>
  <c r="C472" i="10"/>
  <c r="D472" i="10"/>
  <c r="B473" i="10"/>
  <c r="C473" i="10"/>
  <c r="D473" i="10"/>
  <c r="B474" i="10"/>
  <c r="C474" i="10"/>
  <c r="D474" i="10"/>
  <c r="B475" i="10"/>
  <c r="C475" i="10"/>
  <c r="D475" i="10"/>
  <c r="B476" i="10"/>
  <c r="C476" i="10"/>
  <c r="D476" i="10"/>
  <c r="B477" i="10"/>
  <c r="C477" i="10"/>
  <c r="D477" i="10"/>
  <c r="B478" i="10"/>
  <c r="C478" i="10"/>
  <c r="D478" i="10"/>
  <c r="B479" i="10"/>
  <c r="C479" i="10"/>
  <c r="D479" i="10"/>
  <c r="B480" i="10"/>
  <c r="C480" i="10"/>
  <c r="D480" i="10"/>
  <c r="B481" i="10"/>
  <c r="C481" i="10"/>
  <c r="D481" i="10"/>
  <c r="B482" i="10"/>
  <c r="C482" i="10"/>
  <c r="D482" i="10"/>
  <c r="B483" i="10"/>
  <c r="C483" i="10"/>
  <c r="D483" i="10"/>
  <c r="B484" i="10"/>
  <c r="C484" i="10"/>
  <c r="D484" i="10"/>
  <c r="B485" i="10"/>
  <c r="C485" i="10"/>
  <c r="D485" i="10"/>
  <c r="B486" i="10"/>
  <c r="C486" i="10"/>
  <c r="D486" i="10"/>
  <c r="B487" i="10"/>
  <c r="C487" i="10"/>
  <c r="D487" i="10"/>
  <c r="B488" i="10"/>
  <c r="C488" i="10"/>
  <c r="D488" i="10"/>
  <c r="B489" i="10"/>
  <c r="C489" i="10"/>
  <c r="D489" i="10"/>
  <c r="B490" i="10"/>
  <c r="C490" i="10"/>
  <c r="D490" i="10"/>
  <c r="B491" i="10"/>
  <c r="C491" i="10"/>
  <c r="D491" i="10"/>
  <c r="B492" i="10"/>
  <c r="C492" i="10"/>
  <c r="D492" i="10"/>
  <c r="B493" i="10"/>
  <c r="C493" i="10"/>
  <c r="D493" i="10"/>
  <c r="B494" i="10"/>
  <c r="C494" i="10"/>
  <c r="D494" i="10"/>
  <c r="B495" i="10"/>
  <c r="C495" i="10"/>
  <c r="D495" i="10"/>
  <c r="B496" i="10"/>
  <c r="C496" i="10"/>
  <c r="D496" i="10"/>
  <c r="B497" i="10"/>
  <c r="C497" i="10"/>
  <c r="D497" i="10"/>
  <c r="B498" i="10"/>
  <c r="C498" i="10"/>
  <c r="D498" i="10"/>
  <c r="B499" i="10"/>
  <c r="C499" i="10"/>
  <c r="D499" i="10"/>
  <c r="C4" i="10" l="1"/>
  <c r="D4" i="10"/>
  <c r="B4" i="10"/>
  <c r="B2" i="10"/>
  <c r="B5" i="9" l="1"/>
  <c r="C5" i="9"/>
  <c r="D5" i="9"/>
  <c r="E5" i="9"/>
  <c r="F5" i="9"/>
  <c r="G5" i="9"/>
  <c r="I5" i="9"/>
  <c r="B6" i="9"/>
  <c r="C6" i="9"/>
  <c r="D6" i="9"/>
  <c r="E6" i="9"/>
  <c r="F6" i="9"/>
  <c r="G6" i="9"/>
  <c r="I6" i="9"/>
  <c r="B7" i="9"/>
  <c r="C7" i="9"/>
  <c r="D7" i="9"/>
  <c r="E7" i="9"/>
  <c r="F7" i="9"/>
  <c r="G7" i="9"/>
  <c r="I7" i="9"/>
  <c r="B8" i="9"/>
  <c r="C8" i="9"/>
  <c r="D8" i="9"/>
  <c r="E8" i="9"/>
  <c r="F8" i="9"/>
  <c r="G8" i="9"/>
  <c r="I8" i="9"/>
  <c r="B9" i="9"/>
  <c r="C9" i="9"/>
  <c r="D9" i="9"/>
  <c r="E9" i="9"/>
  <c r="F9" i="9"/>
  <c r="G9" i="9"/>
  <c r="I9" i="9"/>
  <c r="B10" i="9"/>
  <c r="C10" i="9"/>
  <c r="D10" i="9"/>
  <c r="E10" i="9"/>
  <c r="F10" i="9"/>
  <c r="G10" i="9"/>
  <c r="I10" i="9"/>
  <c r="B11" i="9"/>
  <c r="C11" i="9"/>
  <c r="D11" i="9"/>
  <c r="E11" i="9"/>
  <c r="F11" i="9"/>
  <c r="G11" i="9"/>
  <c r="I11" i="9"/>
  <c r="B12" i="9"/>
  <c r="C12" i="9"/>
  <c r="D12" i="9"/>
  <c r="E12" i="9"/>
  <c r="F12" i="9"/>
  <c r="G12" i="9"/>
  <c r="I12" i="9"/>
  <c r="B13" i="9"/>
  <c r="C13" i="9"/>
  <c r="D13" i="9"/>
  <c r="E13" i="9"/>
  <c r="F13" i="9"/>
  <c r="G13" i="9"/>
  <c r="I13" i="9"/>
  <c r="B14" i="9"/>
  <c r="C14" i="9"/>
  <c r="D14" i="9"/>
  <c r="E14" i="9"/>
  <c r="F14" i="9"/>
  <c r="G14" i="9"/>
  <c r="I14" i="9"/>
  <c r="B15" i="9"/>
  <c r="C15" i="9"/>
  <c r="D15" i="9"/>
  <c r="E15" i="9"/>
  <c r="F15" i="9"/>
  <c r="G15" i="9"/>
  <c r="I15" i="9"/>
  <c r="B16" i="9"/>
  <c r="C16" i="9"/>
  <c r="D16" i="9"/>
  <c r="E16" i="9"/>
  <c r="F16" i="9"/>
  <c r="G16" i="9"/>
  <c r="I16" i="9"/>
  <c r="B17" i="9"/>
  <c r="C17" i="9"/>
  <c r="D17" i="9"/>
  <c r="E17" i="9"/>
  <c r="F17" i="9"/>
  <c r="G17" i="9"/>
  <c r="I17" i="9"/>
  <c r="B18" i="9"/>
  <c r="C18" i="9"/>
  <c r="D18" i="9"/>
  <c r="E18" i="9"/>
  <c r="F18" i="9"/>
  <c r="G18" i="9"/>
  <c r="I18" i="9"/>
  <c r="B19" i="9"/>
  <c r="C19" i="9"/>
  <c r="D19" i="9"/>
  <c r="E19" i="9"/>
  <c r="F19" i="9"/>
  <c r="G19" i="9"/>
  <c r="I19" i="9"/>
  <c r="B20" i="9"/>
  <c r="C20" i="9"/>
  <c r="D20" i="9"/>
  <c r="E20" i="9"/>
  <c r="F20" i="9"/>
  <c r="G20" i="9"/>
  <c r="I20" i="9"/>
  <c r="B21" i="9"/>
  <c r="C21" i="9"/>
  <c r="D21" i="9"/>
  <c r="E21" i="9"/>
  <c r="F21" i="9"/>
  <c r="G21" i="9"/>
  <c r="I21" i="9"/>
  <c r="B22" i="9"/>
  <c r="C22" i="9"/>
  <c r="D22" i="9"/>
  <c r="E22" i="9"/>
  <c r="F22" i="9"/>
  <c r="G22" i="9"/>
  <c r="I22" i="9"/>
  <c r="B23" i="9"/>
  <c r="C23" i="9"/>
  <c r="D23" i="9"/>
  <c r="E23" i="9"/>
  <c r="F23" i="9"/>
  <c r="G23" i="9"/>
  <c r="I23" i="9"/>
  <c r="B24" i="9"/>
  <c r="C24" i="9"/>
  <c r="D24" i="9"/>
  <c r="E24" i="9"/>
  <c r="F24" i="9"/>
  <c r="G24" i="9"/>
  <c r="I24" i="9"/>
  <c r="B25" i="9"/>
  <c r="C25" i="9"/>
  <c r="D25" i="9"/>
  <c r="E25" i="9"/>
  <c r="F25" i="9"/>
  <c r="G25" i="9"/>
  <c r="I25" i="9"/>
  <c r="B26" i="9"/>
  <c r="C26" i="9"/>
  <c r="D26" i="9"/>
  <c r="E26" i="9"/>
  <c r="F26" i="9"/>
  <c r="G26" i="9"/>
  <c r="I26" i="9"/>
  <c r="B27" i="9"/>
  <c r="C27" i="9"/>
  <c r="D27" i="9"/>
  <c r="E27" i="9"/>
  <c r="F27" i="9"/>
  <c r="G27" i="9"/>
  <c r="I27" i="9"/>
  <c r="B28" i="9"/>
  <c r="C28" i="9"/>
  <c r="D28" i="9"/>
  <c r="E28" i="9"/>
  <c r="F28" i="9"/>
  <c r="G28" i="9"/>
  <c r="I28" i="9"/>
  <c r="B29" i="9"/>
  <c r="C29" i="9"/>
  <c r="D29" i="9"/>
  <c r="E29" i="9"/>
  <c r="F29" i="9"/>
  <c r="G29" i="9"/>
  <c r="I29" i="9"/>
  <c r="B30" i="9"/>
  <c r="C30" i="9"/>
  <c r="D30" i="9"/>
  <c r="E30" i="9"/>
  <c r="F30" i="9"/>
  <c r="G30" i="9"/>
  <c r="I30" i="9"/>
  <c r="B31" i="9"/>
  <c r="C31" i="9"/>
  <c r="D31" i="9"/>
  <c r="E31" i="9"/>
  <c r="F31" i="9"/>
  <c r="G31" i="9"/>
  <c r="I31" i="9"/>
  <c r="B32" i="9"/>
  <c r="C32" i="9"/>
  <c r="D32" i="9"/>
  <c r="E32" i="9"/>
  <c r="F32" i="9"/>
  <c r="G32" i="9"/>
  <c r="I32" i="9"/>
  <c r="B33" i="9"/>
  <c r="C33" i="9"/>
  <c r="D33" i="9"/>
  <c r="E33" i="9"/>
  <c r="F33" i="9"/>
  <c r="G33" i="9"/>
  <c r="I33" i="9"/>
  <c r="B34" i="9"/>
  <c r="C34" i="9"/>
  <c r="D34" i="9"/>
  <c r="E34" i="9"/>
  <c r="F34" i="9"/>
  <c r="G34" i="9"/>
  <c r="I34" i="9"/>
  <c r="B35" i="9"/>
  <c r="C35" i="9"/>
  <c r="D35" i="9"/>
  <c r="E35" i="9"/>
  <c r="F35" i="9"/>
  <c r="G35" i="9"/>
  <c r="I35" i="9"/>
  <c r="B36" i="9"/>
  <c r="C36" i="9"/>
  <c r="D36" i="9"/>
  <c r="E36" i="9"/>
  <c r="F36" i="9"/>
  <c r="G36" i="9"/>
  <c r="I36" i="9"/>
  <c r="B37" i="9"/>
  <c r="C37" i="9"/>
  <c r="D37" i="9"/>
  <c r="E37" i="9"/>
  <c r="F37" i="9"/>
  <c r="G37" i="9"/>
  <c r="I37" i="9"/>
  <c r="B38" i="9"/>
  <c r="C38" i="9"/>
  <c r="D38" i="9"/>
  <c r="E38" i="9"/>
  <c r="F38" i="9"/>
  <c r="G38" i="9"/>
  <c r="I38" i="9"/>
  <c r="B39" i="9"/>
  <c r="C39" i="9"/>
  <c r="D39" i="9"/>
  <c r="E39" i="9"/>
  <c r="F39" i="9"/>
  <c r="G39" i="9"/>
  <c r="I39" i="9"/>
  <c r="B40" i="9"/>
  <c r="C40" i="9"/>
  <c r="D40" i="9"/>
  <c r="E40" i="9"/>
  <c r="F40" i="9"/>
  <c r="G40" i="9"/>
  <c r="I40" i="9"/>
  <c r="B41" i="9"/>
  <c r="C41" i="9"/>
  <c r="D41" i="9"/>
  <c r="E41" i="9"/>
  <c r="F41" i="9"/>
  <c r="G41" i="9"/>
  <c r="I41" i="9"/>
  <c r="B42" i="9"/>
  <c r="C42" i="9"/>
  <c r="D42" i="9"/>
  <c r="E42" i="9"/>
  <c r="F42" i="9"/>
  <c r="G42" i="9"/>
  <c r="I42" i="9"/>
  <c r="B43" i="9"/>
  <c r="C43" i="9"/>
  <c r="D43" i="9"/>
  <c r="E43" i="9"/>
  <c r="F43" i="9"/>
  <c r="G43" i="9"/>
  <c r="I43" i="9"/>
  <c r="B44" i="9"/>
  <c r="C44" i="9"/>
  <c r="D44" i="9"/>
  <c r="E44" i="9"/>
  <c r="F44" i="9"/>
  <c r="G44" i="9"/>
  <c r="I44" i="9"/>
  <c r="B45" i="9"/>
  <c r="C45" i="9"/>
  <c r="D45" i="9"/>
  <c r="E45" i="9"/>
  <c r="F45" i="9"/>
  <c r="G45" i="9"/>
  <c r="I45" i="9"/>
  <c r="B46" i="9"/>
  <c r="C46" i="9"/>
  <c r="D46" i="9"/>
  <c r="E46" i="9"/>
  <c r="F46" i="9"/>
  <c r="G46" i="9"/>
  <c r="I46" i="9"/>
  <c r="B47" i="9"/>
  <c r="C47" i="9"/>
  <c r="D47" i="9"/>
  <c r="E47" i="9"/>
  <c r="F47" i="9"/>
  <c r="G47" i="9"/>
  <c r="I47" i="9"/>
  <c r="B48" i="9"/>
  <c r="C48" i="9"/>
  <c r="D48" i="9"/>
  <c r="E48" i="9"/>
  <c r="F48" i="9"/>
  <c r="G48" i="9"/>
  <c r="I48" i="9"/>
  <c r="B49" i="9"/>
  <c r="C49" i="9"/>
  <c r="D49" i="9"/>
  <c r="E49" i="9"/>
  <c r="F49" i="9"/>
  <c r="G49" i="9"/>
  <c r="I49" i="9"/>
  <c r="B50" i="9"/>
  <c r="C50" i="9"/>
  <c r="D50" i="9"/>
  <c r="E50" i="9"/>
  <c r="F50" i="9"/>
  <c r="G50" i="9"/>
  <c r="I50" i="9"/>
  <c r="B51" i="9"/>
  <c r="C51" i="9"/>
  <c r="D51" i="9"/>
  <c r="E51" i="9"/>
  <c r="F51" i="9"/>
  <c r="G51" i="9"/>
  <c r="I51" i="9"/>
  <c r="B52" i="9"/>
  <c r="C52" i="9"/>
  <c r="D52" i="9"/>
  <c r="E52" i="9"/>
  <c r="F52" i="9"/>
  <c r="G52" i="9"/>
  <c r="I52" i="9"/>
  <c r="B53" i="9"/>
  <c r="C53" i="9"/>
  <c r="D53" i="9"/>
  <c r="E53" i="9"/>
  <c r="F53" i="9"/>
  <c r="G53" i="9"/>
  <c r="I53" i="9"/>
  <c r="B54" i="9"/>
  <c r="C54" i="9"/>
  <c r="D54" i="9"/>
  <c r="E54" i="9"/>
  <c r="F54" i="9"/>
  <c r="G54" i="9"/>
  <c r="I54" i="9"/>
  <c r="B55" i="9"/>
  <c r="C55" i="9"/>
  <c r="D55" i="9"/>
  <c r="E55" i="9"/>
  <c r="F55" i="9"/>
  <c r="G55" i="9"/>
  <c r="I55" i="9"/>
  <c r="B56" i="9"/>
  <c r="C56" i="9"/>
  <c r="D56" i="9"/>
  <c r="E56" i="9"/>
  <c r="F56" i="9"/>
  <c r="G56" i="9"/>
  <c r="I56" i="9"/>
  <c r="B57" i="9"/>
  <c r="C57" i="9"/>
  <c r="D57" i="9"/>
  <c r="E57" i="9"/>
  <c r="F57" i="9"/>
  <c r="G57" i="9"/>
  <c r="I57" i="9"/>
  <c r="B58" i="9"/>
  <c r="C58" i="9"/>
  <c r="D58" i="9"/>
  <c r="E58" i="9"/>
  <c r="F58" i="9"/>
  <c r="G58" i="9"/>
  <c r="I58" i="9"/>
  <c r="B59" i="9"/>
  <c r="C59" i="9"/>
  <c r="D59" i="9"/>
  <c r="E59" i="9"/>
  <c r="F59" i="9"/>
  <c r="G59" i="9"/>
  <c r="I59" i="9"/>
  <c r="B60" i="9"/>
  <c r="C60" i="9"/>
  <c r="D60" i="9"/>
  <c r="E60" i="9"/>
  <c r="F60" i="9"/>
  <c r="G60" i="9"/>
  <c r="I60" i="9"/>
  <c r="B61" i="9"/>
  <c r="C61" i="9"/>
  <c r="D61" i="9"/>
  <c r="E61" i="9"/>
  <c r="F61" i="9"/>
  <c r="G61" i="9"/>
  <c r="I61" i="9"/>
  <c r="B62" i="9"/>
  <c r="C62" i="9"/>
  <c r="D62" i="9"/>
  <c r="E62" i="9"/>
  <c r="F62" i="9"/>
  <c r="G62" i="9"/>
  <c r="I62" i="9"/>
  <c r="B63" i="9"/>
  <c r="C63" i="9"/>
  <c r="D63" i="9"/>
  <c r="E63" i="9"/>
  <c r="F63" i="9"/>
  <c r="G63" i="9"/>
  <c r="I63" i="9"/>
  <c r="B64" i="9"/>
  <c r="C64" i="9"/>
  <c r="D64" i="9"/>
  <c r="E64" i="9"/>
  <c r="F64" i="9"/>
  <c r="G64" i="9"/>
  <c r="I64" i="9"/>
  <c r="B65" i="9"/>
  <c r="C65" i="9"/>
  <c r="D65" i="9"/>
  <c r="E65" i="9"/>
  <c r="F65" i="9"/>
  <c r="G65" i="9"/>
  <c r="I65" i="9"/>
  <c r="B66" i="9"/>
  <c r="C66" i="9"/>
  <c r="D66" i="9"/>
  <c r="E66" i="9"/>
  <c r="F66" i="9"/>
  <c r="G66" i="9"/>
  <c r="I66" i="9"/>
  <c r="B67" i="9"/>
  <c r="C67" i="9"/>
  <c r="D67" i="9"/>
  <c r="E67" i="9"/>
  <c r="F67" i="9"/>
  <c r="G67" i="9"/>
  <c r="I67" i="9"/>
  <c r="B68" i="9"/>
  <c r="C68" i="9"/>
  <c r="D68" i="9"/>
  <c r="E68" i="9"/>
  <c r="F68" i="9"/>
  <c r="G68" i="9"/>
  <c r="I68" i="9"/>
  <c r="B69" i="9"/>
  <c r="C69" i="9"/>
  <c r="D69" i="9"/>
  <c r="E69" i="9"/>
  <c r="F69" i="9"/>
  <c r="G69" i="9"/>
  <c r="I69" i="9"/>
  <c r="B70" i="9"/>
  <c r="C70" i="9"/>
  <c r="D70" i="9"/>
  <c r="E70" i="9"/>
  <c r="F70" i="9"/>
  <c r="G70" i="9"/>
  <c r="I70" i="9"/>
  <c r="B71" i="9"/>
  <c r="C71" i="9"/>
  <c r="D71" i="9"/>
  <c r="E71" i="9"/>
  <c r="F71" i="9"/>
  <c r="G71" i="9"/>
  <c r="I71" i="9"/>
  <c r="B72" i="9"/>
  <c r="C72" i="9"/>
  <c r="D72" i="9"/>
  <c r="E72" i="9"/>
  <c r="F72" i="9"/>
  <c r="G72" i="9"/>
  <c r="I72" i="9"/>
  <c r="B73" i="9"/>
  <c r="C73" i="9"/>
  <c r="D73" i="9"/>
  <c r="E73" i="9"/>
  <c r="F73" i="9"/>
  <c r="G73" i="9"/>
  <c r="I73" i="9"/>
  <c r="B74" i="9"/>
  <c r="C74" i="9"/>
  <c r="D74" i="9"/>
  <c r="E74" i="9"/>
  <c r="F74" i="9"/>
  <c r="G74" i="9"/>
  <c r="I74" i="9"/>
  <c r="B75" i="9"/>
  <c r="C75" i="9"/>
  <c r="D75" i="9"/>
  <c r="E75" i="9"/>
  <c r="F75" i="9"/>
  <c r="G75" i="9"/>
  <c r="I75" i="9"/>
  <c r="B76" i="9"/>
  <c r="C76" i="9"/>
  <c r="D76" i="9"/>
  <c r="E76" i="9"/>
  <c r="F76" i="9"/>
  <c r="G76" i="9"/>
  <c r="I76" i="9"/>
  <c r="B77" i="9"/>
  <c r="C77" i="9"/>
  <c r="D77" i="9"/>
  <c r="E77" i="9"/>
  <c r="F77" i="9"/>
  <c r="G77" i="9"/>
  <c r="I77" i="9"/>
  <c r="B78" i="9"/>
  <c r="C78" i="9"/>
  <c r="D78" i="9"/>
  <c r="E78" i="9"/>
  <c r="F78" i="9"/>
  <c r="G78" i="9"/>
  <c r="I78" i="9"/>
  <c r="B79" i="9"/>
  <c r="C79" i="9"/>
  <c r="D79" i="9"/>
  <c r="E79" i="9"/>
  <c r="F79" i="9"/>
  <c r="G79" i="9"/>
  <c r="I79" i="9"/>
  <c r="B80" i="9"/>
  <c r="C80" i="9"/>
  <c r="D80" i="9"/>
  <c r="E80" i="9"/>
  <c r="F80" i="9"/>
  <c r="G80" i="9"/>
  <c r="I80" i="9"/>
  <c r="B81" i="9"/>
  <c r="C81" i="9"/>
  <c r="D81" i="9"/>
  <c r="E81" i="9"/>
  <c r="F81" i="9"/>
  <c r="G81" i="9"/>
  <c r="I81" i="9"/>
  <c r="B82" i="9"/>
  <c r="C82" i="9"/>
  <c r="D82" i="9"/>
  <c r="E82" i="9"/>
  <c r="F82" i="9"/>
  <c r="G82" i="9"/>
  <c r="I82" i="9"/>
  <c r="B83" i="9"/>
  <c r="C83" i="9"/>
  <c r="D83" i="9"/>
  <c r="E83" i="9"/>
  <c r="F83" i="9"/>
  <c r="G83" i="9"/>
  <c r="I83" i="9"/>
  <c r="B84" i="9"/>
  <c r="C84" i="9"/>
  <c r="D84" i="9"/>
  <c r="E84" i="9"/>
  <c r="F84" i="9"/>
  <c r="G84" i="9"/>
  <c r="I84" i="9"/>
  <c r="B85" i="9"/>
  <c r="C85" i="9"/>
  <c r="D85" i="9"/>
  <c r="E85" i="9"/>
  <c r="F85" i="9"/>
  <c r="G85" i="9"/>
  <c r="I85" i="9"/>
  <c r="B86" i="9"/>
  <c r="C86" i="9"/>
  <c r="D86" i="9"/>
  <c r="E86" i="9"/>
  <c r="F86" i="9"/>
  <c r="G86" i="9"/>
  <c r="I86" i="9"/>
  <c r="B87" i="9"/>
  <c r="C87" i="9"/>
  <c r="D87" i="9"/>
  <c r="E87" i="9"/>
  <c r="F87" i="9"/>
  <c r="G87" i="9"/>
  <c r="I87" i="9"/>
  <c r="B88" i="9"/>
  <c r="C88" i="9"/>
  <c r="D88" i="9"/>
  <c r="E88" i="9"/>
  <c r="F88" i="9"/>
  <c r="G88" i="9"/>
  <c r="I88" i="9"/>
  <c r="B89" i="9"/>
  <c r="C89" i="9"/>
  <c r="D89" i="9"/>
  <c r="E89" i="9"/>
  <c r="F89" i="9"/>
  <c r="G89" i="9"/>
  <c r="I89" i="9"/>
  <c r="B90" i="9"/>
  <c r="C90" i="9"/>
  <c r="D90" i="9"/>
  <c r="E90" i="9"/>
  <c r="F90" i="9"/>
  <c r="G90" i="9"/>
  <c r="I90" i="9"/>
  <c r="B91" i="9"/>
  <c r="C91" i="9"/>
  <c r="D91" i="9"/>
  <c r="E91" i="9"/>
  <c r="F91" i="9"/>
  <c r="G91" i="9"/>
  <c r="I91" i="9"/>
  <c r="B92" i="9"/>
  <c r="C92" i="9"/>
  <c r="D92" i="9"/>
  <c r="E92" i="9"/>
  <c r="F92" i="9"/>
  <c r="G92" i="9"/>
  <c r="I92" i="9"/>
  <c r="B93" i="9"/>
  <c r="C93" i="9"/>
  <c r="D93" i="9"/>
  <c r="E93" i="9"/>
  <c r="F93" i="9"/>
  <c r="G93" i="9"/>
  <c r="I93" i="9"/>
  <c r="B94" i="9"/>
  <c r="C94" i="9"/>
  <c r="D94" i="9"/>
  <c r="E94" i="9"/>
  <c r="F94" i="9"/>
  <c r="G94" i="9"/>
  <c r="I94" i="9"/>
  <c r="B95" i="9"/>
  <c r="C95" i="9"/>
  <c r="D95" i="9"/>
  <c r="E95" i="9"/>
  <c r="F95" i="9"/>
  <c r="G95" i="9"/>
  <c r="I95" i="9"/>
  <c r="B96" i="9"/>
  <c r="C96" i="9"/>
  <c r="D96" i="9"/>
  <c r="E96" i="9"/>
  <c r="F96" i="9"/>
  <c r="G96" i="9"/>
  <c r="I96" i="9"/>
  <c r="B97" i="9"/>
  <c r="C97" i="9"/>
  <c r="D97" i="9"/>
  <c r="E97" i="9"/>
  <c r="F97" i="9"/>
  <c r="G97" i="9"/>
  <c r="I97" i="9"/>
  <c r="B98" i="9"/>
  <c r="C98" i="9"/>
  <c r="D98" i="9"/>
  <c r="E98" i="9"/>
  <c r="F98" i="9"/>
  <c r="G98" i="9"/>
  <c r="I98" i="9"/>
  <c r="B99" i="9"/>
  <c r="C99" i="9"/>
  <c r="D99" i="9"/>
  <c r="E99" i="9"/>
  <c r="F99" i="9"/>
  <c r="G99" i="9"/>
  <c r="I99" i="9"/>
  <c r="B100" i="9"/>
  <c r="C100" i="9"/>
  <c r="D100" i="9"/>
  <c r="E100" i="9"/>
  <c r="F100" i="9"/>
  <c r="G100" i="9"/>
  <c r="I100" i="9"/>
  <c r="B101" i="9"/>
  <c r="C101" i="9"/>
  <c r="D101" i="9"/>
  <c r="E101" i="9"/>
  <c r="F101" i="9"/>
  <c r="G101" i="9"/>
  <c r="I101" i="9"/>
  <c r="B102" i="9"/>
  <c r="C102" i="9"/>
  <c r="D102" i="9"/>
  <c r="E102" i="9"/>
  <c r="F102" i="9"/>
  <c r="G102" i="9"/>
  <c r="I102" i="9"/>
  <c r="B103" i="9"/>
  <c r="C103" i="9"/>
  <c r="D103" i="9"/>
  <c r="E103" i="9"/>
  <c r="F103" i="9"/>
  <c r="G103" i="9"/>
  <c r="I103" i="9"/>
  <c r="B104" i="9"/>
  <c r="C104" i="9"/>
  <c r="D104" i="9"/>
  <c r="E104" i="9"/>
  <c r="F104" i="9"/>
  <c r="G104" i="9"/>
  <c r="I104" i="9"/>
  <c r="B105" i="9"/>
  <c r="C105" i="9"/>
  <c r="D105" i="9"/>
  <c r="E105" i="9"/>
  <c r="F105" i="9"/>
  <c r="G105" i="9"/>
  <c r="I105" i="9"/>
  <c r="B106" i="9"/>
  <c r="C106" i="9"/>
  <c r="D106" i="9"/>
  <c r="E106" i="9"/>
  <c r="F106" i="9"/>
  <c r="G106" i="9"/>
  <c r="I106" i="9"/>
  <c r="B107" i="9"/>
  <c r="C107" i="9"/>
  <c r="D107" i="9"/>
  <c r="E107" i="9"/>
  <c r="F107" i="9"/>
  <c r="G107" i="9"/>
  <c r="I107" i="9"/>
  <c r="B108" i="9"/>
  <c r="C108" i="9"/>
  <c r="D108" i="9"/>
  <c r="E108" i="9"/>
  <c r="F108" i="9"/>
  <c r="G108" i="9"/>
  <c r="I108" i="9"/>
  <c r="B109" i="9"/>
  <c r="C109" i="9"/>
  <c r="D109" i="9"/>
  <c r="E109" i="9"/>
  <c r="F109" i="9"/>
  <c r="G109" i="9"/>
  <c r="I109" i="9"/>
  <c r="B110" i="9"/>
  <c r="C110" i="9"/>
  <c r="D110" i="9"/>
  <c r="E110" i="9"/>
  <c r="F110" i="9"/>
  <c r="G110" i="9"/>
  <c r="I110" i="9"/>
  <c r="B111" i="9"/>
  <c r="C111" i="9"/>
  <c r="D111" i="9"/>
  <c r="E111" i="9"/>
  <c r="F111" i="9"/>
  <c r="G111" i="9"/>
  <c r="I111" i="9"/>
  <c r="B112" i="9"/>
  <c r="C112" i="9"/>
  <c r="D112" i="9"/>
  <c r="E112" i="9"/>
  <c r="F112" i="9"/>
  <c r="G112" i="9"/>
  <c r="I112" i="9"/>
  <c r="B113" i="9"/>
  <c r="C113" i="9"/>
  <c r="D113" i="9"/>
  <c r="E113" i="9"/>
  <c r="F113" i="9"/>
  <c r="G113" i="9"/>
  <c r="I113" i="9"/>
  <c r="B114" i="9"/>
  <c r="C114" i="9"/>
  <c r="D114" i="9"/>
  <c r="E114" i="9"/>
  <c r="F114" i="9"/>
  <c r="G114" i="9"/>
  <c r="I114" i="9"/>
  <c r="B115" i="9"/>
  <c r="C115" i="9"/>
  <c r="D115" i="9"/>
  <c r="E115" i="9"/>
  <c r="F115" i="9"/>
  <c r="G115" i="9"/>
  <c r="I115" i="9"/>
  <c r="B116" i="9"/>
  <c r="C116" i="9"/>
  <c r="D116" i="9"/>
  <c r="E116" i="9"/>
  <c r="F116" i="9"/>
  <c r="G116" i="9"/>
  <c r="I116" i="9"/>
  <c r="B117" i="9"/>
  <c r="C117" i="9"/>
  <c r="D117" i="9"/>
  <c r="E117" i="9"/>
  <c r="F117" i="9"/>
  <c r="G117" i="9"/>
  <c r="I117" i="9"/>
  <c r="B118" i="9"/>
  <c r="C118" i="9"/>
  <c r="D118" i="9"/>
  <c r="E118" i="9"/>
  <c r="F118" i="9"/>
  <c r="G118" i="9"/>
  <c r="I118" i="9"/>
  <c r="B119" i="9"/>
  <c r="C119" i="9"/>
  <c r="D119" i="9"/>
  <c r="E119" i="9"/>
  <c r="F119" i="9"/>
  <c r="G119" i="9"/>
  <c r="I119" i="9"/>
  <c r="B120" i="9"/>
  <c r="C120" i="9"/>
  <c r="D120" i="9"/>
  <c r="E120" i="9"/>
  <c r="F120" i="9"/>
  <c r="G120" i="9"/>
  <c r="I120" i="9"/>
  <c r="B121" i="9"/>
  <c r="C121" i="9"/>
  <c r="D121" i="9"/>
  <c r="E121" i="9"/>
  <c r="F121" i="9"/>
  <c r="G121" i="9"/>
  <c r="I121" i="9"/>
  <c r="B122" i="9"/>
  <c r="C122" i="9"/>
  <c r="D122" i="9"/>
  <c r="E122" i="9"/>
  <c r="F122" i="9"/>
  <c r="G122" i="9"/>
  <c r="I122" i="9"/>
  <c r="B123" i="9"/>
  <c r="C123" i="9"/>
  <c r="D123" i="9"/>
  <c r="E123" i="9"/>
  <c r="F123" i="9"/>
  <c r="G123" i="9"/>
  <c r="I123" i="9"/>
  <c r="B124" i="9"/>
  <c r="C124" i="9"/>
  <c r="D124" i="9"/>
  <c r="E124" i="9"/>
  <c r="F124" i="9"/>
  <c r="G124" i="9"/>
  <c r="I124" i="9"/>
  <c r="B125" i="9"/>
  <c r="C125" i="9"/>
  <c r="D125" i="9"/>
  <c r="E125" i="9"/>
  <c r="F125" i="9"/>
  <c r="G125" i="9"/>
  <c r="I125" i="9"/>
  <c r="B126" i="9"/>
  <c r="C126" i="9"/>
  <c r="D126" i="9"/>
  <c r="E126" i="9"/>
  <c r="F126" i="9"/>
  <c r="G126" i="9"/>
  <c r="I126" i="9"/>
  <c r="B127" i="9"/>
  <c r="C127" i="9"/>
  <c r="D127" i="9"/>
  <c r="E127" i="9"/>
  <c r="F127" i="9"/>
  <c r="G127" i="9"/>
  <c r="I127" i="9"/>
  <c r="B128" i="9"/>
  <c r="C128" i="9"/>
  <c r="D128" i="9"/>
  <c r="E128" i="9"/>
  <c r="F128" i="9"/>
  <c r="G128" i="9"/>
  <c r="I128" i="9"/>
  <c r="B129" i="9"/>
  <c r="C129" i="9"/>
  <c r="D129" i="9"/>
  <c r="E129" i="9"/>
  <c r="F129" i="9"/>
  <c r="G129" i="9"/>
  <c r="I129" i="9"/>
  <c r="B130" i="9"/>
  <c r="C130" i="9"/>
  <c r="D130" i="9"/>
  <c r="E130" i="9"/>
  <c r="F130" i="9"/>
  <c r="G130" i="9"/>
  <c r="I130" i="9"/>
  <c r="B131" i="9"/>
  <c r="C131" i="9"/>
  <c r="D131" i="9"/>
  <c r="E131" i="9"/>
  <c r="F131" i="9"/>
  <c r="G131" i="9"/>
  <c r="I131" i="9"/>
  <c r="B132" i="9"/>
  <c r="C132" i="9"/>
  <c r="D132" i="9"/>
  <c r="E132" i="9"/>
  <c r="F132" i="9"/>
  <c r="G132" i="9"/>
  <c r="I132" i="9"/>
  <c r="B133" i="9"/>
  <c r="C133" i="9"/>
  <c r="D133" i="9"/>
  <c r="E133" i="9"/>
  <c r="F133" i="9"/>
  <c r="G133" i="9"/>
  <c r="I133" i="9"/>
  <c r="B134" i="9"/>
  <c r="C134" i="9"/>
  <c r="D134" i="9"/>
  <c r="E134" i="9"/>
  <c r="F134" i="9"/>
  <c r="G134" i="9"/>
  <c r="I134" i="9"/>
  <c r="B135" i="9"/>
  <c r="C135" i="9"/>
  <c r="D135" i="9"/>
  <c r="E135" i="9"/>
  <c r="F135" i="9"/>
  <c r="G135" i="9"/>
  <c r="I135" i="9"/>
  <c r="B136" i="9"/>
  <c r="C136" i="9"/>
  <c r="D136" i="9"/>
  <c r="E136" i="9"/>
  <c r="F136" i="9"/>
  <c r="G136" i="9"/>
  <c r="I136" i="9"/>
  <c r="B137" i="9"/>
  <c r="C137" i="9"/>
  <c r="D137" i="9"/>
  <c r="E137" i="9"/>
  <c r="F137" i="9"/>
  <c r="G137" i="9"/>
  <c r="I137" i="9"/>
  <c r="B138" i="9"/>
  <c r="C138" i="9"/>
  <c r="D138" i="9"/>
  <c r="E138" i="9"/>
  <c r="F138" i="9"/>
  <c r="G138" i="9"/>
  <c r="I138" i="9"/>
  <c r="B139" i="9"/>
  <c r="C139" i="9"/>
  <c r="D139" i="9"/>
  <c r="E139" i="9"/>
  <c r="F139" i="9"/>
  <c r="G139" i="9"/>
  <c r="I139" i="9"/>
  <c r="B140" i="9"/>
  <c r="C140" i="9"/>
  <c r="D140" i="9"/>
  <c r="E140" i="9"/>
  <c r="F140" i="9"/>
  <c r="G140" i="9"/>
  <c r="I140" i="9"/>
  <c r="B141" i="9"/>
  <c r="C141" i="9"/>
  <c r="D141" i="9"/>
  <c r="E141" i="9"/>
  <c r="F141" i="9"/>
  <c r="G141" i="9"/>
  <c r="I141" i="9"/>
  <c r="B142" i="9"/>
  <c r="C142" i="9"/>
  <c r="D142" i="9"/>
  <c r="E142" i="9"/>
  <c r="F142" i="9"/>
  <c r="G142" i="9"/>
  <c r="I142" i="9"/>
  <c r="B143" i="9"/>
  <c r="C143" i="9"/>
  <c r="D143" i="9"/>
  <c r="E143" i="9"/>
  <c r="F143" i="9"/>
  <c r="G143" i="9"/>
  <c r="I143" i="9"/>
  <c r="B144" i="9"/>
  <c r="C144" i="9"/>
  <c r="D144" i="9"/>
  <c r="E144" i="9"/>
  <c r="F144" i="9"/>
  <c r="G144" i="9"/>
  <c r="I144" i="9"/>
  <c r="B145" i="9"/>
  <c r="C145" i="9"/>
  <c r="D145" i="9"/>
  <c r="E145" i="9"/>
  <c r="F145" i="9"/>
  <c r="G145" i="9"/>
  <c r="I145" i="9"/>
  <c r="B146" i="9"/>
  <c r="C146" i="9"/>
  <c r="D146" i="9"/>
  <c r="E146" i="9"/>
  <c r="F146" i="9"/>
  <c r="G146" i="9"/>
  <c r="I146" i="9"/>
  <c r="B147" i="9"/>
  <c r="C147" i="9"/>
  <c r="D147" i="9"/>
  <c r="E147" i="9"/>
  <c r="F147" i="9"/>
  <c r="G147" i="9"/>
  <c r="I147" i="9"/>
  <c r="B148" i="9"/>
  <c r="C148" i="9"/>
  <c r="D148" i="9"/>
  <c r="E148" i="9"/>
  <c r="F148" i="9"/>
  <c r="G148" i="9"/>
  <c r="I148" i="9"/>
  <c r="B149" i="9"/>
  <c r="C149" i="9"/>
  <c r="D149" i="9"/>
  <c r="E149" i="9"/>
  <c r="F149" i="9"/>
  <c r="G149" i="9"/>
  <c r="I149" i="9"/>
  <c r="B150" i="9"/>
  <c r="C150" i="9"/>
  <c r="D150" i="9"/>
  <c r="E150" i="9"/>
  <c r="F150" i="9"/>
  <c r="G150" i="9"/>
  <c r="I150" i="9"/>
  <c r="B151" i="9"/>
  <c r="C151" i="9"/>
  <c r="D151" i="9"/>
  <c r="E151" i="9"/>
  <c r="F151" i="9"/>
  <c r="G151" i="9"/>
  <c r="I151" i="9"/>
  <c r="B152" i="9"/>
  <c r="C152" i="9"/>
  <c r="D152" i="9"/>
  <c r="E152" i="9"/>
  <c r="F152" i="9"/>
  <c r="G152" i="9"/>
  <c r="I152" i="9"/>
  <c r="B153" i="9"/>
  <c r="C153" i="9"/>
  <c r="D153" i="9"/>
  <c r="E153" i="9"/>
  <c r="F153" i="9"/>
  <c r="G153" i="9"/>
  <c r="I153" i="9"/>
  <c r="B154" i="9"/>
  <c r="C154" i="9"/>
  <c r="D154" i="9"/>
  <c r="E154" i="9"/>
  <c r="F154" i="9"/>
  <c r="G154" i="9"/>
  <c r="I154" i="9"/>
  <c r="B155" i="9"/>
  <c r="C155" i="9"/>
  <c r="D155" i="9"/>
  <c r="E155" i="9"/>
  <c r="F155" i="9"/>
  <c r="G155" i="9"/>
  <c r="I155" i="9"/>
  <c r="B156" i="9"/>
  <c r="C156" i="9"/>
  <c r="D156" i="9"/>
  <c r="E156" i="9"/>
  <c r="F156" i="9"/>
  <c r="G156" i="9"/>
  <c r="I156" i="9"/>
  <c r="B157" i="9"/>
  <c r="C157" i="9"/>
  <c r="D157" i="9"/>
  <c r="E157" i="9"/>
  <c r="F157" i="9"/>
  <c r="G157" i="9"/>
  <c r="I157" i="9"/>
  <c r="B158" i="9"/>
  <c r="C158" i="9"/>
  <c r="D158" i="9"/>
  <c r="E158" i="9"/>
  <c r="F158" i="9"/>
  <c r="G158" i="9"/>
  <c r="I158" i="9"/>
  <c r="B159" i="9"/>
  <c r="C159" i="9"/>
  <c r="D159" i="9"/>
  <c r="E159" i="9"/>
  <c r="F159" i="9"/>
  <c r="G159" i="9"/>
  <c r="I159" i="9"/>
  <c r="B160" i="9"/>
  <c r="C160" i="9"/>
  <c r="D160" i="9"/>
  <c r="E160" i="9"/>
  <c r="F160" i="9"/>
  <c r="G160" i="9"/>
  <c r="I160" i="9"/>
  <c r="B161" i="9"/>
  <c r="C161" i="9"/>
  <c r="D161" i="9"/>
  <c r="E161" i="9"/>
  <c r="F161" i="9"/>
  <c r="G161" i="9"/>
  <c r="I161" i="9"/>
  <c r="B162" i="9"/>
  <c r="C162" i="9"/>
  <c r="D162" i="9"/>
  <c r="E162" i="9"/>
  <c r="F162" i="9"/>
  <c r="G162" i="9"/>
  <c r="I162" i="9"/>
  <c r="B163" i="9"/>
  <c r="C163" i="9"/>
  <c r="D163" i="9"/>
  <c r="E163" i="9"/>
  <c r="F163" i="9"/>
  <c r="G163" i="9"/>
  <c r="I163" i="9"/>
  <c r="B164" i="9"/>
  <c r="C164" i="9"/>
  <c r="D164" i="9"/>
  <c r="E164" i="9"/>
  <c r="F164" i="9"/>
  <c r="G164" i="9"/>
  <c r="I164" i="9"/>
  <c r="B165" i="9"/>
  <c r="C165" i="9"/>
  <c r="D165" i="9"/>
  <c r="E165" i="9"/>
  <c r="F165" i="9"/>
  <c r="G165" i="9"/>
  <c r="I165" i="9"/>
  <c r="B166" i="9"/>
  <c r="C166" i="9"/>
  <c r="D166" i="9"/>
  <c r="E166" i="9"/>
  <c r="F166" i="9"/>
  <c r="G166" i="9"/>
  <c r="I166" i="9"/>
  <c r="B167" i="9"/>
  <c r="C167" i="9"/>
  <c r="D167" i="9"/>
  <c r="E167" i="9"/>
  <c r="F167" i="9"/>
  <c r="G167" i="9"/>
  <c r="I167" i="9"/>
  <c r="B168" i="9"/>
  <c r="C168" i="9"/>
  <c r="D168" i="9"/>
  <c r="E168" i="9"/>
  <c r="F168" i="9"/>
  <c r="G168" i="9"/>
  <c r="I168" i="9"/>
  <c r="B169" i="9"/>
  <c r="C169" i="9"/>
  <c r="D169" i="9"/>
  <c r="E169" i="9"/>
  <c r="F169" i="9"/>
  <c r="G169" i="9"/>
  <c r="I169" i="9"/>
  <c r="B170" i="9"/>
  <c r="C170" i="9"/>
  <c r="D170" i="9"/>
  <c r="E170" i="9"/>
  <c r="F170" i="9"/>
  <c r="G170" i="9"/>
  <c r="I170" i="9"/>
  <c r="B171" i="9"/>
  <c r="C171" i="9"/>
  <c r="D171" i="9"/>
  <c r="E171" i="9"/>
  <c r="F171" i="9"/>
  <c r="G171" i="9"/>
  <c r="I171" i="9"/>
  <c r="B172" i="9"/>
  <c r="C172" i="9"/>
  <c r="D172" i="9"/>
  <c r="E172" i="9"/>
  <c r="F172" i="9"/>
  <c r="G172" i="9"/>
  <c r="I172" i="9"/>
  <c r="B173" i="9"/>
  <c r="C173" i="9"/>
  <c r="D173" i="9"/>
  <c r="E173" i="9"/>
  <c r="F173" i="9"/>
  <c r="G173" i="9"/>
  <c r="I173" i="9"/>
  <c r="B174" i="9"/>
  <c r="C174" i="9"/>
  <c r="D174" i="9"/>
  <c r="E174" i="9"/>
  <c r="F174" i="9"/>
  <c r="G174" i="9"/>
  <c r="I174" i="9"/>
  <c r="B175" i="9"/>
  <c r="C175" i="9"/>
  <c r="D175" i="9"/>
  <c r="E175" i="9"/>
  <c r="F175" i="9"/>
  <c r="G175" i="9"/>
  <c r="I175" i="9"/>
  <c r="B176" i="9"/>
  <c r="C176" i="9"/>
  <c r="D176" i="9"/>
  <c r="E176" i="9"/>
  <c r="F176" i="9"/>
  <c r="G176" i="9"/>
  <c r="I176" i="9"/>
  <c r="B177" i="9"/>
  <c r="C177" i="9"/>
  <c r="D177" i="9"/>
  <c r="E177" i="9"/>
  <c r="F177" i="9"/>
  <c r="G177" i="9"/>
  <c r="I177" i="9"/>
  <c r="B178" i="9"/>
  <c r="C178" i="9"/>
  <c r="D178" i="9"/>
  <c r="E178" i="9"/>
  <c r="F178" i="9"/>
  <c r="G178" i="9"/>
  <c r="I178" i="9"/>
  <c r="B179" i="9"/>
  <c r="C179" i="9"/>
  <c r="D179" i="9"/>
  <c r="E179" i="9"/>
  <c r="F179" i="9"/>
  <c r="G179" i="9"/>
  <c r="I179" i="9"/>
  <c r="B180" i="9"/>
  <c r="C180" i="9"/>
  <c r="D180" i="9"/>
  <c r="E180" i="9"/>
  <c r="F180" i="9"/>
  <c r="G180" i="9"/>
  <c r="I180" i="9"/>
  <c r="B181" i="9"/>
  <c r="C181" i="9"/>
  <c r="D181" i="9"/>
  <c r="E181" i="9"/>
  <c r="F181" i="9"/>
  <c r="G181" i="9"/>
  <c r="I181" i="9"/>
  <c r="B182" i="9"/>
  <c r="C182" i="9"/>
  <c r="D182" i="9"/>
  <c r="E182" i="9"/>
  <c r="F182" i="9"/>
  <c r="G182" i="9"/>
  <c r="I182" i="9"/>
  <c r="B183" i="9"/>
  <c r="C183" i="9"/>
  <c r="D183" i="9"/>
  <c r="E183" i="9"/>
  <c r="F183" i="9"/>
  <c r="G183" i="9"/>
  <c r="I183" i="9"/>
  <c r="B184" i="9"/>
  <c r="C184" i="9"/>
  <c r="D184" i="9"/>
  <c r="E184" i="9"/>
  <c r="F184" i="9"/>
  <c r="G184" i="9"/>
  <c r="I184" i="9"/>
  <c r="B185" i="9"/>
  <c r="C185" i="9"/>
  <c r="D185" i="9"/>
  <c r="E185" i="9"/>
  <c r="F185" i="9"/>
  <c r="G185" i="9"/>
  <c r="I185" i="9"/>
  <c r="B186" i="9"/>
  <c r="C186" i="9"/>
  <c r="D186" i="9"/>
  <c r="E186" i="9"/>
  <c r="F186" i="9"/>
  <c r="G186" i="9"/>
  <c r="I186" i="9"/>
  <c r="B187" i="9"/>
  <c r="C187" i="9"/>
  <c r="D187" i="9"/>
  <c r="E187" i="9"/>
  <c r="F187" i="9"/>
  <c r="G187" i="9"/>
  <c r="I187" i="9"/>
  <c r="B188" i="9"/>
  <c r="C188" i="9"/>
  <c r="D188" i="9"/>
  <c r="E188" i="9"/>
  <c r="F188" i="9"/>
  <c r="G188" i="9"/>
  <c r="I188" i="9"/>
  <c r="B189" i="9"/>
  <c r="C189" i="9"/>
  <c r="D189" i="9"/>
  <c r="E189" i="9"/>
  <c r="F189" i="9"/>
  <c r="G189" i="9"/>
  <c r="I189" i="9"/>
  <c r="B190" i="9"/>
  <c r="C190" i="9"/>
  <c r="D190" i="9"/>
  <c r="E190" i="9"/>
  <c r="F190" i="9"/>
  <c r="G190" i="9"/>
  <c r="I190" i="9"/>
  <c r="B191" i="9"/>
  <c r="C191" i="9"/>
  <c r="D191" i="9"/>
  <c r="E191" i="9"/>
  <c r="F191" i="9"/>
  <c r="G191" i="9"/>
  <c r="I191" i="9"/>
  <c r="B192" i="9"/>
  <c r="C192" i="9"/>
  <c r="D192" i="9"/>
  <c r="E192" i="9"/>
  <c r="F192" i="9"/>
  <c r="G192" i="9"/>
  <c r="I192" i="9"/>
  <c r="B193" i="9"/>
  <c r="C193" i="9"/>
  <c r="D193" i="9"/>
  <c r="E193" i="9"/>
  <c r="F193" i="9"/>
  <c r="G193" i="9"/>
  <c r="I193" i="9"/>
  <c r="B194" i="9"/>
  <c r="C194" i="9"/>
  <c r="D194" i="9"/>
  <c r="E194" i="9"/>
  <c r="F194" i="9"/>
  <c r="G194" i="9"/>
  <c r="I194" i="9"/>
  <c r="B195" i="9"/>
  <c r="C195" i="9"/>
  <c r="D195" i="9"/>
  <c r="E195" i="9"/>
  <c r="F195" i="9"/>
  <c r="G195" i="9"/>
  <c r="I195" i="9"/>
  <c r="B196" i="9"/>
  <c r="C196" i="9"/>
  <c r="D196" i="9"/>
  <c r="E196" i="9"/>
  <c r="F196" i="9"/>
  <c r="G196" i="9"/>
  <c r="I196" i="9"/>
  <c r="B197" i="9"/>
  <c r="C197" i="9"/>
  <c r="D197" i="9"/>
  <c r="E197" i="9"/>
  <c r="F197" i="9"/>
  <c r="G197" i="9"/>
  <c r="I197" i="9"/>
  <c r="B198" i="9"/>
  <c r="C198" i="9"/>
  <c r="D198" i="9"/>
  <c r="E198" i="9"/>
  <c r="F198" i="9"/>
  <c r="G198" i="9"/>
  <c r="I198" i="9"/>
  <c r="B199" i="9"/>
  <c r="C199" i="9"/>
  <c r="D199" i="9"/>
  <c r="E199" i="9"/>
  <c r="F199" i="9"/>
  <c r="G199" i="9"/>
  <c r="I199" i="9"/>
  <c r="B200" i="9"/>
  <c r="C200" i="9"/>
  <c r="D200" i="9"/>
  <c r="E200" i="9"/>
  <c r="F200" i="9"/>
  <c r="G200" i="9"/>
  <c r="I200" i="9"/>
  <c r="B201" i="9"/>
  <c r="C201" i="9"/>
  <c r="D201" i="9"/>
  <c r="E201" i="9"/>
  <c r="F201" i="9"/>
  <c r="G201" i="9"/>
  <c r="I201" i="9"/>
  <c r="B202" i="9"/>
  <c r="C202" i="9"/>
  <c r="D202" i="9"/>
  <c r="E202" i="9"/>
  <c r="F202" i="9"/>
  <c r="G202" i="9"/>
  <c r="I202" i="9"/>
  <c r="B203" i="9"/>
  <c r="C203" i="9"/>
  <c r="D203" i="9"/>
  <c r="E203" i="9"/>
  <c r="F203" i="9"/>
  <c r="G203" i="9"/>
  <c r="I203" i="9"/>
  <c r="B204" i="9"/>
  <c r="C204" i="9"/>
  <c r="D204" i="9"/>
  <c r="E204" i="9"/>
  <c r="F204" i="9"/>
  <c r="G204" i="9"/>
  <c r="I204" i="9"/>
  <c r="B205" i="9"/>
  <c r="C205" i="9"/>
  <c r="D205" i="9"/>
  <c r="E205" i="9"/>
  <c r="F205" i="9"/>
  <c r="G205" i="9"/>
  <c r="I205" i="9"/>
  <c r="B206" i="9"/>
  <c r="C206" i="9"/>
  <c r="D206" i="9"/>
  <c r="E206" i="9"/>
  <c r="F206" i="9"/>
  <c r="G206" i="9"/>
  <c r="I206" i="9"/>
  <c r="B207" i="9"/>
  <c r="C207" i="9"/>
  <c r="D207" i="9"/>
  <c r="E207" i="9"/>
  <c r="F207" i="9"/>
  <c r="G207" i="9"/>
  <c r="I207" i="9"/>
  <c r="B208" i="9"/>
  <c r="C208" i="9"/>
  <c r="D208" i="9"/>
  <c r="E208" i="9"/>
  <c r="F208" i="9"/>
  <c r="G208" i="9"/>
  <c r="I208" i="9"/>
  <c r="B209" i="9"/>
  <c r="C209" i="9"/>
  <c r="D209" i="9"/>
  <c r="E209" i="9"/>
  <c r="F209" i="9"/>
  <c r="G209" i="9"/>
  <c r="I209" i="9"/>
  <c r="B210" i="9"/>
  <c r="C210" i="9"/>
  <c r="D210" i="9"/>
  <c r="E210" i="9"/>
  <c r="F210" i="9"/>
  <c r="G210" i="9"/>
  <c r="I210" i="9"/>
  <c r="B211" i="9"/>
  <c r="C211" i="9"/>
  <c r="D211" i="9"/>
  <c r="E211" i="9"/>
  <c r="F211" i="9"/>
  <c r="G211" i="9"/>
  <c r="I211" i="9"/>
  <c r="B212" i="9"/>
  <c r="C212" i="9"/>
  <c r="D212" i="9"/>
  <c r="E212" i="9"/>
  <c r="F212" i="9"/>
  <c r="G212" i="9"/>
  <c r="I212" i="9"/>
  <c r="B213" i="9"/>
  <c r="C213" i="9"/>
  <c r="D213" i="9"/>
  <c r="E213" i="9"/>
  <c r="F213" i="9"/>
  <c r="G213" i="9"/>
  <c r="I213" i="9"/>
  <c r="B214" i="9"/>
  <c r="C214" i="9"/>
  <c r="D214" i="9"/>
  <c r="E214" i="9"/>
  <c r="F214" i="9"/>
  <c r="G214" i="9"/>
  <c r="I214" i="9"/>
  <c r="B215" i="9"/>
  <c r="C215" i="9"/>
  <c r="D215" i="9"/>
  <c r="E215" i="9"/>
  <c r="F215" i="9"/>
  <c r="G215" i="9"/>
  <c r="I215" i="9"/>
  <c r="B216" i="9"/>
  <c r="C216" i="9"/>
  <c r="D216" i="9"/>
  <c r="E216" i="9"/>
  <c r="F216" i="9"/>
  <c r="G216" i="9"/>
  <c r="I216" i="9"/>
  <c r="B217" i="9"/>
  <c r="C217" i="9"/>
  <c r="D217" i="9"/>
  <c r="E217" i="9"/>
  <c r="F217" i="9"/>
  <c r="G217" i="9"/>
  <c r="I217" i="9"/>
  <c r="B218" i="9"/>
  <c r="C218" i="9"/>
  <c r="D218" i="9"/>
  <c r="E218" i="9"/>
  <c r="F218" i="9"/>
  <c r="G218" i="9"/>
  <c r="I218" i="9"/>
  <c r="B219" i="9"/>
  <c r="C219" i="9"/>
  <c r="D219" i="9"/>
  <c r="E219" i="9"/>
  <c r="F219" i="9"/>
  <c r="G219" i="9"/>
  <c r="I219" i="9"/>
  <c r="B220" i="9"/>
  <c r="C220" i="9"/>
  <c r="D220" i="9"/>
  <c r="E220" i="9"/>
  <c r="F220" i="9"/>
  <c r="G220" i="9"/>
  <c r="I220" i="9"/>
  <c r="B221" i="9"/>
  <c r="C221" i="9"/>
  <c r="D221" i="9"/>
  <c r="E221" i="9"/>
  <c r="F221" i="9"/>
  <c r="G221" i="9"/>
  <c r="I221" i="9"/>
  <c r="B222" i="9"/>
  <c r="C222" i="9"/>
  <c r="D222" i="9"/>
  <c r="E222" i="9"/>
  <c r="F222" i="9"/>
  <c r="G222" i="9"/>
  <c r="I222" i="9"/>
  <c r="B223" i="9"/>
  <c r="C223" i="9"/>
  <c r="D223" i="9"/>
  <c r="E223" i="9"/>
  <c r="F223" i="9"/>
  <c r="G223" i="9"/>
  <c r="I223" i="9"/>
  <c r="B224" i="9"/>
  <c r="C224" i="9"/>
  <c r="D224" i="9"/>
  <c r="E224" i="9"/>
  <c r="F224" i="9"/>
  <c r="G224" i="9"/>
  <c r="I224" i="9"/>
  <c r="B225" i="9"/>
  <c r="C225" i="9"/>
  <c r="D225" i="9"/>
  <c r="E225" i="9"/>
  <c r="F225" i="9"/>
  <c r="G225" i="9"/>
  <c r="I225" i="9"/>
  <c r="B226" i="9"/>
  <c r="C226" i="9"/>
  <c r="D226" i="9"/>
  <c r="E226" i="9"/>
  <c r="F226" i="9"/>
  <c r="G226" i="9"/>
  <c r="I226" i="9"/>
  <c r="B227" i="9"/>
  <c r="C227" i="9"/>
  <c r="D227" i="9"/>
  <c r="E227" i="9"/>
  <c r="F227" i="9"/>
  <c r="G227" i="9"/>
  <c r="I227" i="9"/>
  <c r="B228" i="9"/>
  <c r="C228" i="9"/>
  <c r="D228" i="9"/>
  <c r="E228" i="9"/>
  <c r="F228" i="9"/>
  <c r="G228" i="9"/>
  <c r="I228" i="9"/>
  <c r="B229" i="9"/>
  <c r="C229" i="9"/>
  <c r="D229" i="9"/>
  <c r="E229" i="9"/>
  <c r="F229" i="9"/>
  <c r="G229" i="9"/>
  <c r="I229" i="9"/>
  <c r="B230" i="9"/>
  <c r="C230" i="9"/>
  <c r="D230" i="9"/>
  <c r="E230" i="9"/>
  <c r="F230" i="9"/>
  <c r="G230" i="9"/>
  <c r="I230" i="9"/>
  <c r="B231" i="9"/>
  <c r="C231" i="9"/>
  <c r="D231" i="9"/>
  <c r="E231" i="9"/>
  <c r="F231" i="9"/>
  <c r="G231" i="9"/>
  <c r="I231" i="9"/>
  <c r="B232" i="9"/>
  <c r="C232" i="9"/>
  <c r="D232" i="9"/>
  <c r="E232" i="9"/>
  <c r="F232" i="9"/>
  <c r="G232" i="9"/>
  <c r="I232" i="9"/>
  <c r="B233" i="9"/>
  <c r="C233" i="9"/>
  <c r="D233" i="9"/>
  <c r="E233" i="9"/>
  <c r="F233" i="9"/>
  <c r="G233" i="9"/>
  <c r="I233" i="9"/>
  <c r="B234" i="9"/>
  <c r="C234" i="9"/>
  <c r="D234" i="9"/>
  <c r="E234" i="9"/>
  <c r="F234" i="9"/>
  <c r="G234" i="9"/>
  <c r="I234" i="9"/>
  <c r="B235" i="9"/>
  <c r="C235" i="9"/>
  <c r="D235" i="9"/>
  <c r="E235" i="9"/>
  <c r="F235" i="9"/>
  <c r="G235" i="9"/>
  <c r="I235" i="9"/>
  <c r="B236" i="9"/>
  <c r="C236" i="9"/>
  <c r="D236" i="9"/>
  <c r="E236" i="9"/>
  <c r="F236" i="9"/>
  <c r="G236" i="9"/>
  <c r="I236" i="9"/>
  <c r="B237" i="9"/>
  <c r="C237" i="9"/>
  <c r="D237" i="9"/>
  <c r="E237" i="9"/>
  <c r="F237" i="9"/>
  <c r="G237" i="9"/>
  <c r="I237" i="9"/>
  <c r="B238" i="9"/>
  <c r="C238" i="9"/>
  <c r="D238" i="9"/>
  <c r="E238" i="9"/>
  <c r="F238" i="9"/>
  <c r="G238" i="9"/>
  <c r="I238" i="9"/>
  <c r="B239" i="9"/>
  <c r="C239" i="9"/>
  <c r="D239" i="9"/>
  <c r="E239" i="9"/>
  <c r="F239" i="9"/>
  <c r="G239" i="9"/>
  <c r="I239" i="9"/>
  <c r="B240" i="9"/>
  <c r="C240" i="9"/>
  <c r="D240" i="9"/>
  <c r="E240" i="9"/>
  <c r="F240" i="9"/>
  <c r="G240" i="9"/>
  <c r="I240" i="9"/>
  <c r="B241" i="9"/>
  <c r="C241" i="9"/>
  <c r="D241" i="9"/>
  <c r="E241" i="9"/>
  <c r="F241" i="9"/>
  <c r="G241" i="9"/>
  <c r="I241" i="9"/>
  <c r="B242" i="9"/>
  <c r="C242" i="9"/>
  <c r="D242" i="9"/>
  <c r="E242" i="9"/>
  <c r="F242" i="9"/>
  <c r="G242" i="9"/>
  <c r="I242" i="9"/>
  <c r="B243" i="9"/>
  <c r="C243" i="9"/>
  <c r="D243" i="9"/>
  <c r="E243" i="9"/>
  <c r="F243" i="9"/>
  <c r="G243" i="9"/>
  <c r="I243" i="9"/>
  <c r="B244" i="9"/>
  <c r="C244" i="9"/>
  <c r="D244" i="9"/>
  <c r="E244" i="9"/>
  <c r="F244" i="9"/>
  <c r="G244" i="9"/>
  <c r="I244" i="9"/>
  <c r="B245" i="9"/>
  <c r="C245" i="9"/>
  <c r="D245" i="9"/>
  <c r="E245" i="9"/>
  <c r="F245" i="9"/>
  <c r="G245" i="9"/>
  <c r="I245" i="9"/>
  <c r="B246" i="9"/>
  <c r="C246" i="9"/>
  <c r="D246" i="9"/>
  <c r="E246" i="9"/>
  <c r="F246" i="9"/>
  <c r="G246" i="9"/>
  <c r="I246" i="9"/>
  <c r="B247" i="9"/>
  <c r="C247" i="9"/>
  <c r="D247" i="9"/>
  <c r="E247" i="9"/>
  <c r="F247" i="9"/>
  <c r="G247" i="9"/>
  <c r="I247" i="9"/>
  <c r="B248" i="9"/>
  <c r="C248" i="9"/>
  <c r="D248" i="9"/>
  <c r="E248" i="9"/>
  <c r="F248" i="9"/>
  <c r="G248" i="9"/>
  <c r="I248" i="9"/>
  <c r="B249" i="9"/>
  <c r="C249" i="9"/>
  <c r="D249" i="9"/>
  <c r="E249" i="9"/>
  <c r="F249" i="9"/>
  <c r="G249" i="9"/>
  <c r="I249" i="9"/>
  <c r="B250" i="9"/>
  <c r="C250" i="9"/>
  <c r="D250" i="9"/>
  <c r="E250" i="9"/>
  <c r="F250" i="9"/>
  <c r="G250" i="9"/>
  <c r="I250" i="9"/>
  <c r="B251" i="9"/>
  <c r="C251" i="9"/>
  <c r="D251" i="9"/>
  <c r="E251" i="9"/>
  <c r="F251" i="9"/>
  <c r="G251" i="9"/>
  <c r="I251" i="9"/>
  <c r="B252" i="9"/>
  <c r="C252" i="9"/>
  <c r="D252" i="9"/>
  <c r="E252" i="9"/>
  <c r="F252" i="9"/>
  <c r="G252" i="9"/>
  <c r="I252" i="9"/>
  <c r="B253" i="9"/>
  <c r="C253" i="9"/>
  <c r="D253" i="9"/>
  <c r="E253" i="9"/>
  <c r="F253" i="9"/>
  <c r="G253" i="9"/>
  <c r="I253" i="9"/>
  <c r="B254" i="9"/>
  <c r="C254" i="9"/>
  <c r="D254" i="9"/>
  <c r="E254" i="9"/>
  <c r="F254" i="9"/>
  <c r="G254" i="9"/>
  <c r="I254" i="9"/>
  <c r="B255" i="9"/>
  <c r="C255" i="9"/>
  <c r="D255" i="9"/>
  <c r="E255" i="9"/>
  <c r="F255" i="9"/>
  <c r="G255" i="9"/>
  <c r="I255" i="9"/>
  <c r="B256" i="9"/>
  <c r="C256" i="9"/>
  <c r="D256" i="9"/>
  <c r="E256" i="9"/>
  <c r="F256" i="9"/>
  <c r="G256" i="9"/>
  <c r="I256" i="9"/>
  <c r="B257" i="9"/>
  <c r="C257" i="9"/>
  <c r="D257" i="9"/>
  <c r="E257" i="9"/>
  <c r="F257" i="9"/>
  <c r="G257" i="9"/>
  <c r="I257" i="9"/>
  <c r="B258" i="9"/>
  <c r="C258" i="9"/>
  <c r="D258" i="9"/>
  <c r="E258" i="9"/>
  <c r="F258" i="9"/>
  <c r="G258" i="9"/>
  <c r="I258" i="9"/>
  <c r="B259" i="9"/>
  <c r="C259" i="9"/>
  <c r="D259" i="9"/>
  <c r="E259" i="9"/>
  <c r="F259" i="9"/>
  <c r="G259" i="9"/>
  <c r="I259" i="9"/>
  <c r="B260" i="9"/>
  <c r="C260" i="9"/>
  <c r="D260" i="9"/>
  <c r="E260" i="9"/>
  <c r="F260" i="9"/>
  <c r="G260" i="9"/>
  <c r="I260" i="9"/>
  <c r="B261" i="9"/>
  <c r="C261" i="9"/>
  <c r="D261" i="9"/>
  <c r="E261" i="9"/>
  <c r="F261" i="9"/>
  <c r="G261" i="9"/>
  <c r="I261" i="9"/>
  <c r="B262" i="9"/>
  <c r="C262" i="9"/>
  <c r="D262" i="9"/>
  <c r="E262" i="9"/>
  <c r="F262" i="9"/>
  <c r="G262" i="9"/>
  <c r="I262" i="9"/>
  <c r="B263" i="9"/>
  <c r="C263" i="9"/>
  <c r="D263" i="9"/>
  <c r="E263" i="9"/>
  <c r="F263" i="9"/>
  <c r="G263" i="9"/>
  <c r="I263" i="9"/>
  <c r="B264" i="9"/>
  <c r="C264" i="9"/>
  <c r="D264" i="9"/>
  <c r="E264" i="9"/>
  <c r="F264" i="9"/>
  <c r="G264" i="9"/>
  <c r="I264" i="9"/>
  <c r="B265" i="9"/>
  <c r="C265" i="9"/>
  <c r="D265" i="9"/>
  <c r="E265" i="9"/>
  <c r="F265" i="9"/>
  <c r="G265" i="9"/>
  <c r="I265" i="9"/>
  <c r="B266" i="9"/>
  <c r="C266" i="9"/>
  <c r="D266" i="9"/>
  <c r="E266" i="9"/>
  <c r="F266" i="9"/>
  <c r="G266" i="9"/>
  <c r="I266" i="9"/>
  <c r="B267" i="9"/>
  <c r="C267" i="9"/>
  <c r="D267" i="9"/>
  <c r="E267" i="9"/>
  <c r="F267" i="9"/>
  <c r="G267" i="9"/>
  <c r="I267" i="9"/>
  <c r="B268" i="9"/>
  <c r="C268" i="9"/>
  <c r="D268" i="9"/>
  <c r="E268" i="9"/>
  <c r="F268" i="9"/>
  <c r="G268" i="9"/>
  <c r="I268" i="9"/>
  <c r="B269" i="9"/>
  <c r="C269" i="9"/>
  <c r="D269" i="9"/>
  <c r="E269" i="9"/>
  <c r="F269" i="9"/>
  <c r="G269" i="9"/>
  <c r="I269" i="9"/>
  <c r="B270" i="9"/>
  <c r="C270" i="9"/>
  <c r="D270" i="9"/>
  <c r="E270" i="9"/>
  <c r="F270" i="9"/>
  <c r="G270" i="9"/>
  <c r="I270" i="9"/>
  <c r="B271" i="9"/>
  <c r="C271" i="9"/>
  <c r="D271" i="9"/>
  <c r="E271" i="9"/>
  <c r="F271" i="9"/>
  <c r="G271" i="9"/>
  <c r="I271" i="9"/>
  <c r="B272" i="9"/>
  <c r="C272" i="9"/>
  <c r="D272" i="9"/>
  <c r="E272" i="9"/>
  <c r="F272" i="9"/>
  <c r="G272" i="9"/>
  <c r="I272" i="9"/>
  <c r="B273" i="9"/>
  <c r="C273" i="9"/>
  <c r="D273" i="9"/>
  <c r="E273" i="9"/>
  <c r="F273" i="9"/>
  <c r="G273" i="9"/>
  <c r="I273" i="9"/>
  <c r="B274" i="9"/>
  <c r="C274" i="9"/>
  <c r="D274" i="9"/>
  <c r="E274" i="9"/>
  <c r="F274" i="9"/>
  <c r="G274" i="9"/>
  <c r="I274" i="9"/>
  <c r="B275" i="9"/>
  <c r="C275" i="9"/>
  <c r="D275" i="9"/>
  <c r="E275" i="9"/>
  <c r="F275" i="9"/>
  <c r="G275" i="9"/>
  <c r="I275" i="9"/>
  <c r="B276" i="9"/>
  <c r="C276" i="9"/>
  <c r="D276" i="9"/>
  <c r="E276" i="9"/>
  <c r="F276" i="9"/>
  <c r="G276" i="9"/>
  <c r="I276" i="9"/>
  <c r="B277" i="9"/>
  <c r="C277" i="9"/>
  <c r="D277" i="9"/>
  <c r="E277" i="9"/>
  <c r="F277" i="9"/>
  <c r="G277" i="9"/>
  <c r="I277" i="9"/>
  <c r="B278" i="9"/>
  <c r="C278" i="9"/>
  <c r="D278" i="9"/>
  <c r="E278" i="9"/>
  <c r="F278" i="9"/>
  <c r="G278" i="9"/>
  <c r="I278" i="9"/>
  <c r="B279" i="9"/>
  <c r="C279" i="9"/>
  <c r="D279" i="9"/>
  <c r="E279" i="9"/>
  <c r="F279" i="9"/>
  <c r="G279" i="9"/>
  <c r="I279" i="9"/>
  <c r="B280" i="9"/>
  <c r="C280" i="9"/>
  <c r="D280" i="9"/>
  <c r="E280" i="9"/>
  <c r="F280" i="9"/>
  <c r="G280" i="9"/>
  <c r="I280" i="9"/>
  <c r="B281" i="9"/>
  <c r="C281" i="9"/>
  <c r="D281" i="9"/>
  <c r="E281" i="9"/>
  <c r="F281" i="9"/>
  <c r="G281" i="9"/>
  <c r="I281" i="9"/>
  <c r="B282" i="9"/>
  <c r="C282" i="9"/>
  <c r="D282" i="9"/>
  <c r="E282" i="9"/>
  <c r="F282" i="9"/>
  <c r="G282" i="9"/>
  <c r="I282" i="9"/>
  <c r="B283" i="9"/>
  <c r="C283" i="9"/>
  <c r="D283" i="9"/>
  <c r="E283" i="9"/>
  <c r="F283" i="9"/>
  <c r="G283" i="9"/>
  <c r="I283" i="9"/>
  <c r="B284" i="9"/>
  <c r="C284" i="9"/>
  <c r="D284" i="9"/>
  <c r="E284" i="9"/>
  <c r="F284" i="9"/>
  <c r="G284" i="9"/>
  <c r="I284" i="9"/>
  <c r="B285" i="9"/>
  <c r="C285" i="9"/>
  <c r="D285" i="9"/>
  <c r="E285" i="9"/>
  <c r="F285" i="9"/>
  <c r="G285" i="9"/>
  <c r="I285" i="9"/>
  <c r="B286" i="9"/>
  <c r="C286" i="9"/>
  <c r="D286" i="9"/>
  <c r="E286" i="9"/>
  <c r="F286" i="9"/>
  <c r="G286" i="9"/>
  <c r="I286" i="9"/>
  <c r="B287" i="9"/>
  <c r="C287" i="9"/>
  <c r="D287" i="9"/>
  <c r="E287" i="9"/>
  <c r="F287" i="9"/>
  <c r="G287" i="9"/>
  <c r="I287" i="9"/>
  <c r="B288" i="9"/>
  <c r="C288" i="9"/>
  <c r="D288" i="9"/>
  <c r="E288" i="9"/>
  <c r="F288" i="9"/>
  <c r="G288" i="9"/>
  <c r="I288" i="9"/>
  <c r="B289" i="9"/>
  <c r="C289" i="9"/>
  <c r="D289" i="9"/>
  <c r="E289" i="9"/>
  <c r="F289" i="9"/>
  <c r="G289" i="9"/>
  <c r="I289" i="9"/>
  <c r="B290" i="9"/>
  <c r="C290" i="9"/>
  <c r="D290" i="9"/>
  <c r="E290" i="9"/>
  <c r="F290" i="9"/>
  <c r="G290" i="9"/>
  <c r="I290" i="9"/>
  <c r="B291" i="9"/>
  <c r="C291" i="9"/>
  <c r="D291" i="9"/>
  <c r="E291" i="9"/>
  <c r="F291" i="9"/>
  <c r="G291" i="9"/>
  <c r="I291" i="9"/>
  <c r="B292" i="9"/>
  <c r="C292" i="9"/>
  <c r="D292" i="9"/>
  <c r="E292" i="9"/>
  <c r="F292" i="9"/>
  <c r="G292" i="9"/>
  <c r="I292" i="9"/>
  <c r="B293" i="9"/>
  <c r="C293" i="9"/>
  <c r="D293" i="9"/>
  <c r="E293" i="9"/>
  <c r="F293" i="9"/>
  <c r="G293" i="9"/>
  <c r="I293" i="9"/>
  <c r="B294" i="9"/>
  <c r="C294" i="9"/>
  <c r="D294" i="9"/>
  <c r="E294" i="9"/>
  <c r="F294" i="9"/>
  <c r="G294" i="9"/>
  <c r="I294" i="9"/>
  <c r="B295" i="9"/>
  <c r="C295" i="9"/>
  <c r="D295" i="9"/>
  <c r="E295" i="9"/>
  <c r="F295" i="9"/>
  <c r="G295" i="9"/>
  <c r="I295" i="9"/>
  <c r="B296" i="9"/>
  <c r="C296" i="9"/>
  <c r="D296" i="9"/>
  <c r="E296" i="9"/>
  <c r="F296" i="9"/>
  <c r="G296" i="9"/>
  <c r="I296" i="9"/>
  <c r="B297" i="9"/>
  <c r="C297" i="9"/>
  <c r="D297" i="9"/>
  <c r="E297" i="9"/>
  <c r="F297" i="9"/>
  <c r="G297" i="9"/>
  <c r="I297" i="9"/>
  <c r="B298" i="9"/>
  <c r="C298" i="9"/>
  <c r="D298" i="9"/>
  <c r="E298" i="9"/>
  <c r="F298" i="9"/>
  <c r="G298" i="9"/>
  <c r="I298" i="9"/>
  <c r="B299" i="9"/>
  <c r="C299" i="9"/>
  <c r="D299" i="9"/>
  <c r="E299" i="9"/>
  <c r="F299" i="9"/>
  <c r="G299" i="9"/>
  <c r="I299" i="9"/>
  <c r="B300" i="9"/>
  <c r="C300" i="9"/>
  <c r="D300" i="9"/>
  <c r="E300" i="9"/>
  <c r="F300" i="9"/>
  <c r="G300" i="9"/>
  <c r="I300" i="9"/>
  <c r="B301" i="9"/>
  <c r="C301" i="9"/>
  <c r="D301" i="9"/>
  <c r="E301" i="9"/>
  <c r="F301" i="9"/>
  <c r="G301" i="9"/>
  <c r="I301" i="9"/>
  <c r="B302" i="9"/>
  <c r="C302" i="9"/>
  <c r="D302" i="9"/>
  <c r="E302" i="9"/>
  <c r="F302" i="9"/>
  <c r="G302" i="9"/>
  <c r="I302" i="9"/>
  <c r="B303" i="9"/>
  <c r="C303" i="9"/>
  <c r="D303" i="9"/>
  <c r="E303" i="9"/>
  <c r="F303" i="9"/>
  <c r="G303" i="9"/>
  <c r="I303" i="9"/>
  <c r="B304" i="9"/>
  <c r="C304" i="9"/>
  <c r="D304" i="9"/>
  <c r="E304" i="9"/>
  <c r="F304" i="9"/>
  <c r="G304" i="9"/>
  <c r="I304" i="9"/>
  <c r="B305" i="9"/>
  <c r="C305" i="9"/>
  <c r="D305" i="9"/>
  <c r="E305" i="9"/>
  <c r="F305" i="9"/>
  <c r="G305" i="9"/>
  <c r="I305" i="9"/>
  <c r="B306" i="9"/>
  <c r="C306" i="9"/>
  <c r="D306" i="9"/>
  <c r="E306" i="9"/>
  <c r="F306" i="9"/>
  <c r="G306" i="9"/>
  <c r="I306" i="9"/>
  <c r="B307" i="9"/>
  <c r="C307" i="9"/>
  <c r="D307" i="9"/>
  <c r="E307" i="9"/>
  <c r="F307" i="9"/>
  <c r="G307" i="9"/>
  <c r="I307" i="9"/>
  <c r="B308" i="9"/>
  <c r="C308" i="9"/>
  <c r="D308" i="9"/>
  <c r="E308" i="9"/>
  <c r="F308" i="9"/>
  <c r="G308" i="9"/>
  <c r="I308" i="9"/>
  <c r="B309" i="9"/>
  <c r="C309" i="9"/>
  <c r="D309" i="9"/>
  <c r="E309" i="9"/>
  <c r="F309" i="9"/>
  <c r="G309" i="9"/>
  <c r="I309" i="9"/>
  <c r="B310" i="9"/>
  <c r="C310" i="9"/>
  <c r="D310" i="9"/>
  <c r="E310" i="9"/>
  <c r="F310" i="9"/>
  <c r="G310" i="9"/>
  <c r="I310" i="9"/>
  <c r="B311" i="9"/>
  <c r="C311" i="9"/>
  <c r="D311" i="9"/>
  <c r="E311" i="9"/>
  <c r="F311" i="9"/>
  <c r="G311" i="9"/>
  <c r="I311" i="9"/>
  <c r="B312" i="9"/>
  <c r="C312" i="9"/>
  <c r="D312" i="9"/>
  <c r="E312" i="9"/>
  <c r="F312" i="9"/>
  <c r="G312" i="9"/>
  <c r="I312" i="9"/>
  <c r="B313" i="9"/>
  <c r="C313" i="9"/>
  <c r="D313" i="9"/>
  <c r="E313" i="9"/>
  <c r="F313" i="9"/>
  <c r="G313" i="9"/>
  <c r="I313" i="9"/>
  <c r="B314" i="9"/>
  <c r="C314" i="9"/>
  <c r="D314" i="9"/>
  <c r="E314" i="9"/>
  <c r="F314" i="9"/>
  <c r="G314" i="9"/>
  <c r="I314" i="9"/>
  <c r="B315" i="9"/>
  <c r="C315" i="9"/>
  <c r="D315" i="9"/>
  <c r="E315" i="9"/>
  <c r="F315" i="9"/>
  <c r="G315" i="9"/>
  <c r="I315" i="9"/>
  <c r="B316" i="9"/>
  <c r="C316" i="9"/>
  <c r="D316" i="9"/>
  <c r="E316" i="9"/>
  <c r="F316" i="9"/>
  <c r="G316" i="9"/>
  <c r="I316" i="9"/>
  <c r="B317" i="9"/>
  <c r="C317" i="9"/>
  <c r="D317" i="9"/>
  <c r="E317" i="9"/>
  <c r="F317" i="9"/>
  <c r="G317" i="9"/>
  <c r="I317" i="9"/>
  <c r="B318" i="9"/>
  <c r="C318" i="9"/>
  <c r="D318" i="9"/>
  <c r="E318" i="9"/>
  <c r="F318" i="9"/>
  <c r="G318" i="9"/>
  <c r="I318" i="9"/>
  <c r="B319" i="9"/>
  <c r="C319" i="9"/>
  <c r="D319" i="9"/>
  <c r="E319" i="9"/>
  <c r="F319" i="9"/>
  <c r="G319" i="9"/>
  <c r="I319" i="9"/>
  <c r="B320" i="9"/>
  <c r="C320" i="9"/>
  <c r="D320" i="9"/>
  <c r="E320" i="9"/>
  <c r="F320" i="9"/>
  <c r="G320" i="9"/>
  <c r="I320" i="9"/>
  <c r="B321" i="9"/>
  <c r="C321" i="9"/>
  <c r="D321" i="9"/>
  <c r="E321" i="9"/>
  <c r="F321" i="9"/>
  <c r="G321" i="9"/>
  <c r="I321" i="9"/>
  <c r="B322" i="9"/>
  <c r="C322" i="9"/>
  <c r="D322" i="9"/>
  <c r="E322" i="9"/>
  <c r="F322" i="9"/>
  <c r="G322" i="9"/>
  <c r="I322" i="9"/>
  <c r="B323" i="9"/>
  <c r="C323" i="9"/>
  <c r="D323" i="9"/>
  <c r="E323" i="9"/>
  <c r="F323" i="9"/>
  <c r="G323" i="9"/>
  <c r="I323" i="9"/>
  <c r="B324" i="9"/>
  <c r="C324" i="9"/>
  <c r="D324" i="9"/>
  <c r="E324" i="9"/>
  <c r="F324" i="9"/>
  <c r="G324" i="9"/>
  <c r="I324" i="9"/>
  <c r="B325" i="9"/>
  <c r="C325" i="9"/>
  <c r="D325" i="9"/>
  <c r="E325" i="9"/>
  <c r="F325" i="9"/>
  <c r="G325" i="9"/>
  <c r="I325" i="9"/>
  <c r="B326" i="9"/>
  <c r="C326" i="9"/>
  <c r="D326" i="9"/>
  <c r="E326" i="9"/>
  <c r="F326" i="9"/>
  <c r="G326" i="9"/>
  <c r="I326" i="9"/>
  <c r="B327" i="9"/>
  <c r="C327" i="9"/>
  <c r="D327" i="9"/>
  <c r="E327" i="9"/>
  <c r="F327" i="9"/>
  <c r="G327" i="9"/>
  <c r="I327" i="9"/>
  <c r="B328" i="9"/>
  <c r="C328" i="9"/>
  <c r="D328" i="9"/>
  <c r="E328" i="9"/>
  <c r="F328" i="9"/>
  <c r="G328" i="9"/>
  <c r="I328" i="9"/>
  <c r="B329" i="9"/>
  <c r="C329" i="9"/>
  <c r="D329" i="9"/>
  <c r="E329" i="9"/>
  <c r="F329" i="9"/>
  <c r="G329" i="9"/>
  <c r="I329" i="9"/>
  <c r="B330" i="9"/>
  <c r="C330" i="9"/>
  <c r="D330" i="9"/>
  <c r="E330" i="9"/>
  <c r="F330" i="9"/>
  <c r="G330" i="9"/>
  <c r="I330" i="9"/>
  <c r="B331" i="9"/>
  <c r="C331" i="9"/>
  <c r="D331" i="9"/>
  <c r="E331" i="9"/>
  <c r="F331" i="9"/>
  <c r="G331" i="9"/>
  <c r="I331" i="9"/>
  <c r="B332" i="9"/>
  <c r="C332" i="9"/>
  <c r="D332" i="9"/>
  <c r="E332" i="9"/>
  <c r="F332" i="9"/>
  <c r="G332" i="9"/>
  <c r="I332" i="9"/>
  <c r="B333" i="9"/>
  <c r="C333" i="9"/>
  <c r="D333" i="9"/>
  <c r="E333" i="9"/>
  <c r="F333" i="9"/>
  <c r="G333" i="9"/>
  <c r="I333" i="9"/>
  <c r="B334" i="9"/>
  <c r="C334" i="9"/>
  <c r="D334" i="9"/>
  <c r="E334" i="9"/>
  <c r="F334" i="9"/>
  <c r="G334" i="9"/>
  <c r="I334" i="9"/>
  <c r="B335" i="9"/>
  <c r="C335" i="9"/>
  <c r="D335" i="9"/>
  <c r="E335" i="9"/>
  <c r="F335" i="9"/>
  <c r="G335" i="9"/>
  <c r="I335" i="9"/>
  <c r="B336" i="9"/>
  <c r="C336" i="9"/>
  <c r="D336" i="9"/>
  <c r="E336" i="9"/>
  <c r="F336" i="9"/>
  <c r="G336" i="9"/>
  <c r="I336" i="9"/>
  <c r="B337" i="9"/>
  <c r="C337" i="9"/>
  <c r="D337" i="9"/>
  <c r="E337" i="9"/>
  <c r="F337" i="9"/>
  <c r="G337" i="9"/>
  <c r="I337" i="9"/>
  <c r="B338" i="9"/>
  <c r="C338" i="9"/>
  <c r="D338" i="9"/>
  <c r="E338" i="9"/>
  <c r="F338" i="9"/>
  <c r="G338" i="9"/>
  <c r="I338" i="9"/>
  <c r="B339" i="9"/>
  <c r="C339" i="9"/>
  <c r="D339" i="9"/>
  <c r="E339" i="9"/>
  <c r="F339" i="9"/>
  <c r="G339" i="9"/>
  <c r="I339" i="9"/>
  <c r="B340" i="9"/>
  <c r="C340" i="9"/>
  <c r="D340" i="9"/>
  <c r="E340" i="9"/>
  <c r="F340" i="9"/>
  <c r="G340" i="9"/>
  <c r="I340" i="9"/>
  <c r="B341" i="9"/>
  <c r="C341" i="9"/>
  <c r="D341" i="9"/>
  <c r="E341" i="9"/>
  <c r="F341" i="9"/>
  <c r="G341" i="9"/>
  <c r="I341" i="9"/>
  <c r="B342" i="9"/>
  <c r="C342" i="9"/>
  <c r="D342" i="9"/>
  <c r="E342" i="9"/>
  <c r="F342" i="9"/>
  <c r="G342" i="9"/>
  <c r="I342" i="9"/>
  <c r="B343" i="9"/>
  <c r="C343" i="9"/>
  <c r="D343" i="9"/>
  <c r="E343" i="9"/>
  <c r="F343" i="9"/>
  <c r="G343" i="9"/>
  <c r="I343" i="9"/>
  <c r="B344" i="9"/>
  <c r="C344" i="9"/>
  <c r="D344" i="9"/>
  <c r="E344" i="9"/>
  <c r="F344" i="9"/>
  <c r="G344" i="9"/>
  <c r="I344" i="9"/>
  <c r="B345" i="9"/>
  <c r="C345" i="9"/>
  <c r="D345" i="9"/>
  <c r="E345" i="9"/>
  <c r="F345" i="9"/>
  <c r="G345" i="9"/>
  <c r="I345" i="9"/>
  <c r="B346" i="9"/>
  <c r="C346" i="9"/>
  <c r="D346" i="9"/>
  <c r="E346" i="9"/>
  <c r="F346" i="9"/>
  <c r="G346" i="9"/>
  <c r="I346" i="9"/>
  <c r="B347" i="9"/>
  <c r="C347" i="9"/>
  <c r="D347" i="9"/>
  <c r="E347" i="9"/>
  <c r="F347" i="9"/>
  <c r="G347" i="9"/>
  <c r="I347" i="9"/>
  <c r="B348" i="9"/>
  <c r="C348" i="9"/>
  <c r="D348" i="9"/>
  <c r="E348" i="9"/>
  <c r="F348" i="9"/>
  <c r="G348" i="9"/>
  <c r="I348" i="9"/>
  <c r="B349" i="9"/>
  <c r="C349" i="9"/>
  <c r="D349" i="9"/>
  <c r="E349" i="9"/>
  <c r="F349" i="9"/>
  <c r="G349" i="9"/>
  <c r="I349" i="9"/>
  <c r="B350" i="9"/>
  <c r="C350" i="9"/>
  <c r="D350" i="9"/>
  <c r="E350" i="9"/>
  <c r="F350" i="9"/>
  <c r="G350" i="9"/>
  <c r="I350" i="9"/>
  <c r="B351" i="9"/>
  <c r="C351" i="9"/>
  <c r="D351" i="9"/>
  <c r="E351" i="9"/>
  <c r="F351" i="9"/>
  <c r="G351" i="9"/>
  <c r="I351" i="9"/>
  <c r="B352" i="9"/>
  <c r="C352" i="9"/>
  <c r="D352" i="9"/>
  <c r="E352" i="9"/>
  <c r="F352" i="9"/>
  <c r="G352" i="9"/>
  <c r="I352" i="9"/>
  <c r="B353" i="9"/>
  <c r="C353" i="9"/>
  <c r="D353" i="9"/>
  <c r="E353" i="9"/>
  <c r="F353" i="9"/>
  <c r="G353" i="9"/>
  <c r="I353" i="9"/>
  <c r="B354" i="9"/>
  <c r="C354" i="9"/>
  <c r="D354" i="9"/>
  <c r="E354" i="9"/>
  <c r="F354" i="9"/>
  <c r="G354" i="9"/>
  <c r="I354" i="9"/>
  <c r="B355" i="9"/>
  <c r="C355" i="9"/>
  <c r="D355" i="9"/>
  <c r="E355" i="9"/>
  <c r="F355" i="9"/>
  <c r="G355" i="9"/>
  <c r="I355" i="9"/>
  <c r="B356" i="9"/>
  <c r="C356" i="9"/>
  <c r="D356" i="9"/>
  <c r="E356" i="9"/>
  <c r="F356" i="9"/>
  <c r="G356" i="9"/>
  <c r="I356" i="9"/>
  <c r="B357" i="9"/>
  <c r="C357" i="9"/>
  <c r="D357" i="9"/>
  <c r="E357" i="9"/>
  <c r="F357" i="9"/>
  <c r="G357" i="9"/>
  <c r="I357" i="9"/>
  <c r="B358" i="9"/>
  <c r="C358" i="9"/>
  <c r="D358" i="9"/>
  <c r="E358" i="9"/>
  <c r="F358" i="9"/>
  <c r="G358" i="9"/>
  <c r="I358" i="9"/>
  <c r="B359" i="9"/>
  <c r="C359" i="9"/>
  <c r="D359" i="9"/>
  <c r="E359" i="9"/>
  <c r="F359" i="9"/>
  <c r="G359" i="9"/>
  <c r="I359" i="9"/>
  <c r="B360" i="9"/>
  <c r="C360" i="9"/>
  <c r="D360" i="9"/>
  <c r="E360" i="9"/>
  <c r="F360" i="9"/>
  <c r="G360" i="9"/>
  <c r="I360" i="9"/>
  <c r="B361" i="9"/>
  <c r="C361" i="9"/>
  <c r="D361" i="9"/>
  <c r="E361" i="9"/>
  <c r="F361" i="9"/>
  <c r="G361" i="9"/>
  <c r="I361" i="9"/>
  <c r="B362" i="9"/>
  <c r="C362" i="9"/>
  <c r="D362" i="9"/>
  <c r="E362" i="9"/>
  <c r="F362" i="9"/>
  <c r="G362" i="9"/>
  <c r="I362" i="9"/>
  <c r="B363" i="9"/>
  <c r="C363" i="9"/>
  <c r="D363" i="9"/>
  <c r="E363" i="9"/>
  <c r="F363" i="9"/>
  <c r="G363" i="9"/>
  <c r="I363" i="9"/>
  <c r="B364" i="9"/>
  <c r="C364" i="9"/>
  <c r="D364" i="9"/>
  <c r="E364" i="9"/>
  <c r="F364" i="9"/>
  <c r="G364" i="9"/>
  <c r="I364" i="9"/>
  <c r="B365" i="9"/>
  <c r="C365" i="9"/>
  <c r="D365" i="9"/>
  <c r="E365" i="9"/>
  <c r="F365" i="9"/>
  <c r="G365" i="9"/>
  <c r="I365" i="9"/>
  <c r="B366" i="9"/>
  <c r="C366" i="9"/>
  <c r="D366" i="9"/>
  <c r="E366" i="9"/>
  <c r="F366" i="9"/>
  <c r="G366" i="9"/>
  <c r="I366" i="9"/>
  <c r="B367" i="9"/>
  <c r="C367" i="9"/>
  <c r="D367" i="9"/>
  <c r="E367" i="9"/>
  <c r="F367" i="9"/>
  <c r="G367" i="9"/>
  <c r="I367" i="9"/>
  <c r="B368" i="9"/>
  <c r="C368" i="9"/>
  <c r="D368" i="9"/>
  <c r="E368" i="9"/>
  <c r="F368" i="9"/>
  <c r="G368" i="9"/>
  <c r="I368" i="9"/>
  <c r="B369" i="9"/>
  <c r="C369" i="9"/>
  <c r="D369" i="9"/>
  <c r="E369" i="9"/>
  <c r="F369" i="9"/>
  <c r="G369" i="9"/>
  <c r="I369" i="9"/>
  <c r="B370" i="9"/>
  <c r="C370" i="9"/>
  <c r="D370" i="9"/>
  <c r="E370" i="9"/>
  <c r="F370" i="9"/>
  <c r="G370" i="9"/>
  <c r="I370" i="9"/>
  <c r="B371" i="9"/>
  <c r="C371" i="9"/>
  <c r="D371" i="9"/>
  <c r="E371" i="9"/>
  <c r="F371" i="9"/>
  <c r="G371" i="9"/>
  <c r="I371" i="9"/>
  <c r="B372" i="9"/>
  <c r="C372" i="9"/>
  <c r="D372" i="9"/>
  <c r="E372" i="9"/>
  <c r="F372" i="9"/>
  <c r="G372" i="9"/>
  <c r="I372" i="9"/>
  <c r="B373" i="9"/>
  <c r="C373" i="9"/>
  <c r="D373" i="9"/>
  <c r="E373" i="9"/>
  <c r="F373" i="9"/>
  <c r="G373" i="9"/>
  <c r="I373" i="9"/>
  <c r="B374" i="9"/>
  <c r="C374" i="9"/>
  <c r="D374" i="9"/>
  <c r="E374" i="9"/>
  <c r="F374" i="9"/>
  <c r="G374" i="9"/>
  <c r="I374" i="9"/>
  <c r="B375" i="9"/>
  <c r="C375" i="9"/>
  <c r="D375" i="9"/>
  <c r="E375" i="9"/>
  <c r="F375" i="9"/>
  <c r="G375" i="9"/>
  <c r="I375" i="9"/>
  <c r="B376" i="9"/>
  <c r="C376" i="9"/>
  <c r="D376" i="9"/>
  <c r="E376" i="9"/>
  <c r="F376" i="9"/>
  <c r="G376" i="9"/>
  <c r="I376" i="9"/>
  <c r="B377" i="9"/>
  <c r="C377" i="9"/>
  <c r="D377" i="9"/>
  <c r="E377" i="9"/>
  <c r="F377" i="9"/>
  <c r="G377" i="9"/>
  <c r="I377" i="9"/>
  <c r="B378" i="9"/>
  <c r="C378" i="9"/>
  <c r="D378" i="9"/>
  <c r="E378" i="9"/>
  <c r="F378" i="9"/>
  <c r="G378" i="9"/>
  <c r="I378" i="9"/>
  <c r="B379" i="9"/>
  <c r="C379" i="9"/>
  <c r="D379" i="9"/>
  <c r="E379" i="9"/>
  <c r="F379" i="9"/>
  <c r="G379" i="9"/>
  <c r="I379" i="9"/>
  <c r="B380" i="9"/>
  <c r="C380" i="9"/>
  <c r="D380" i="9"/>
  <c r="E380" i="9"/>
  <c r="F380" i="9"/>
  <c r="G380" i="9"/>
  <c r="I380" i="9"/>
  <c r="B381" i="9"/>
  <c r="C381" i="9"/>
  <c r="D381" i="9"/>
  <c r="E381" i="9"/>
  <c r="F381" i="9"/>
  <c r="G381" i="9"/>
  <c r="I381" i="9"/>
  <c r="B382" i="9"/>
  <c r="C382" i="9"/>
  <c r="D382" i="9"/>
  <c r="E382" i="9"/>
  <c r="F382" i="9"/>
  <c r="G382" i="9"/>
  <c r="I382" i="9"/>
  <c r="B383" i="9"/>
  <c r="C383" i="9"/>
  <c r="D383" i="9"/>
  <c r="E383" i="9"/>
  <c r="F383" i="9"/>
  <c r="G383" i="9"/>
  <c r="I383" i="9"/>
  <c r="B384" i="9"/>
  <c r="C384" i="9"/>
  <c r="D384" i="9"/>
  <c r="E384" i="9"/>
  <c r="F384" i="9"/>
  <c r="G384" i="9"/>
  <c r="I384" i="9"/>
  <c r="B385" i="9"/>
  <c r="C385" i="9"/>
  <c r="D385" i="9"/>
  <c r="E385" i="9"/>
  <c r="F385" i="9"/>
  <c r="G385" i="9"/>
  <c r="I385" i="9"/>
  <c r="B386" i="9"/>
  <c r="C386" i="9"/>
  <c r="D386" i="9"/>
  <c r="E386" i="9"/>
  <c r="F386" i="9"/>
  <c r="G386" i="9"/>
  <c r="I386" i="9"/>
  <c r="B387" i="9"/>
  <c r="C387" i="9"/>
  <c r="D387" i="9"/>
  <c r="E387" i="9"/>
  <c r="F387" i="9"/>
  <c r="G387" i="9"/>
  <c r="I387" i="9"/>
  <c r="B388" i="9"/>
  <c r="C388" i="9"/>
  <c r="D388" i="9"/>
  <c r="E388" i="9"/>
  <c r="F388" i="9"/>
  <c r="G388" i="9"/>
  <c r="I388" i="9"/>
  <c r="B389" i="9"/>
  <c r="C389" i="9"/>
  <c r="D389" i="9"/>
  <c r="E389" i="9"/>
  <c r="F389" i="9"/>
  <c r="G389" i="9"/>
  <c r="I389" i="9"/>
  <c r="B390" i="9"/>
  <c r="C390" i="9"/>
  <c r="D390" i="9"/>
  <c r="E390" i="9"/>
  <c r="F390" i="9"/>
  <c r="G390" i="9"/>
  <c r="I390" i="9"/>
  <c r="B391" i="9"/>
  <c r="C391" i="9"/>
  <c r="D391" i="9"/>
  <c r="E391" i="9"/>
  <c r="F391" i="9"/>
  <c r="G391" i="9"/>
  <c r="I391" i="9"/>
  <c r="B392" i="9"/>
  <c r="C392" i="9"/>
  <c r="D392" i="9"/>
  <c r="E392" i="9"/>
  <c r="F392" i="9"/>
  <c r="G392" i="9"/>
  <c r="I392" i="9"/>
  <c r="B393" i="9"/>
  <c r="C393" i="9"/>
  <c r="D393" i="9"/>
  <c r="E393" i="9"/>
  <c r="F393" i="9"/>
  <c r="G393" i="9"/>
  <c r="I393" i="9"/>
  <c r="B394" i="9"/>
  <c r="C394" i="9"/>
  <c r="D394" i="9"/>
  <c r="E394" i="9"/>
  <c r="F394" i="9"/>
  <c r="G394" i="9"/>
  <c r="I394" i="9"/>
  <c r="B395" i="9"/>
  <c r="C395" i="9"/>
  <c r="D395" i="9"/>
  <c r="E395" i="9"/>
  <c r="F395" i="9"/>
  <c r="G395" i="9"/>
  <c r="I395" i="9"/>
  <c r="B396" i="9"/>
  <c r="C396" i="9"/>
  <c r="D396" i="9"/>
  <c r="E396" i="9"/>
  <c r="F396" i="9"/>
  <c r="G396" i="9"/>
  <c r="I396" i="9"/>
  <c r="B397" i="9"/>
  <c r="C397" i="9"/>
  <c r="D397" i="9"/>
  <c r="E397" i="9"/>
  <c r="F397" i="9"/>
  <c r="G397" i="9"/>
  <c r="I397" i="9"/>
  <c r="B398" i="9"/>
  <c r="C398" i="9"/>
  <c r="D398" i="9"/>
  <c r="E398" i="9"/>
  <c r="F398" i="9"/>
  <c r="G398" i="9"/>
  <c r="I398" i="9"/>
  <c r="B399" i="9"/>
  <c r="C399" i="9"/>
  <c r="D399" i="9"/>
  <c r="E399" i="9"/>
  <c r="F399" i="9"/>
  <c r="G399" i="9"/>
  <c r="I399" i="9"/>
  <c r="B400" i="9"/>
  <c r="C400" i="9"/>
  <c r="D400" i="9"/>
  <c r="E400" i="9"/>
  <c r="F400" i="9"/>
  <c r="G400" i="9"/>
  <c r="I400" i="9"/>
  <c r="B401" i="9"/>
  <c r="C401" i="9"/>
  <c r="D401" i="9"/>
  <c r="E401" i="9"/>
  <c r="F401" i="9"/>
  <c r="G401" i="9"/>
  <c r="I401" i="9"/>
  <c r="B402" i="9"/>
  <c r="C402" i="9"/>
  <c r="D402" i="9"/>
  <c r="E402" i="9"/>
  <c r="F402" i="9"/>
  <c r="G402" i="9"/>
  <c r="I402" i="9"/>
  <c r="B403" i="9"/>
  <c r="C403" i="9"/>
  <c r="D403" i="9"/>
  <c r="E403" i="9"/>
  <c r="F403" i="9"/>
  <c r="G403" i="9"/>
  <c r="I403" i="9"/>
  <c r="B404" i="9"/>
  <c r="C404" i="9"/>
  <c r="D404" i="9"/>
  <c r="E404" i="9"/>
  <c r="F404" i="9"/>
  <c r="G404" i="9"/>
  <c r="I404" i="9"/>
  <c r="B405" i="9"/>
  <c r="C405" i="9"/>
  <c r="D405" i="9"/>
  <c r="E405" i="9"/>
  <c r="F405" i="9"/>
  <c r="G405" i="9"/>
  <c r="I405" i="9"/>
  <c r="B406" i="9"/>
  <c r="C406" i="9"/>
  <c r="D406" i="9"/>
  <c r="E406" i="9"/>
  <c r="F406" i="9"/>
  <c r="G406" i="9"/>
  <c r="I406" i="9"/>
  <c r="B407" i="9"/>
  <c r="C407" i="9"/>
  <c r="D407" i="9"/>
  <c r="E407" i="9"/>
  <c r="F407" i="9"/>
  <c r="G407" i="9"/>
  <c r="I407" i="9"/>
  <c r="B408" i="9"/>
  <c r="C408" i="9"/>
  <c r="D408" i="9"/>
  <c r="E408" i="9"/>
  <c r="F408" i="9"/>
  <c r="G408" i="9"/>
  <c r="I408" i="9"/>
  <c r="B409" i="9"/>
  <c r="C409" i="9"/>
  <c r="D409" i="9"/>
  <c r="E409" i="9"/>
  <c r="F409" i="9"/>
  <c r="G409" i="9"/>
  <c r="I409" i="9"/>
  <c r="B410" i="9"/>
  <c r="C410" i="9"/>
  <c r="D410" i="9"/>
  <c r="E410" i="9"/>
  <c r="F410" i="9"/>
  <c r="G410" i="9"/>
  <c r="I410" i="9"/>
  <c r="B411" i="9"/>
  <c r="C411" i="9"/>
  <c r="D411" i="9"/>
  <c r="E411" i="9"/>
  <c r="F411" i="9"/>
  <c r="G411" i="9"/>
  <c r="I411" i="9"/>
  <c r="B412" i="9"/>
  <c r="C412" i="9"/>
  <c r="D412" i="9"/>
  <c r="E412" i="9"/>
  <c r="F412" i="9"/>
  <c r="G412" i="9"/>
  <c r="I412" i="9"/>
  <c r="B413" i="9"/>
  <c r="C413" i="9"/>
  <c r="D413" i="9"/>
  <c r="E413" i="9"/>
  <c r="F413" i="9"/>
  <c r="G413" i="9"/>
  <c r="I413" i="9"/>
  <c r="B414" i="9"/>
  <c r="C414" i="9"/>
  <c r="D414" i="9"/>
  <c r="E414" i="9"/>
  <c r="F414" i="9"/>
  <c r="G414" i="9"/>
  <c r="I414" i="9"/>
  <c r="B415" i="9"/>
  <c r="C415" i="9"/>
  <c r="D415" i="9"/>
  <c r="E415" i="9"/>
  <c r="F415" i="9"/>
  <c r="G415" i="9"/>
  <c r="I415" i="9"/>
  <c r="B416" i="9"/>
  <c r="C416" i="9"/>
  <c r="D416" i="9"/>
  <c r="E416" i="9"/>
  <c r="F416" i="9"/>
  <c r="G416" i="9"/>
  <c r="I416" i="9"/>
  <c r="B417" i="9"/>
  <c r="C417" i="9"/>
  <c r="D417" i="9"/>
  <c r="E417" i="9"/>
  <c r="F417" i="9"/>
  <c r="G417" i="9"/>
  <c r="I417" i="9"/>
  <c r="B418" i="9"/>
  <c r="C418" i="9"/>
  <c r="D418" i="9"/>
  <c r="E418" i="9"/>
  <c r="F418" i="9"/>
  <c r="G418" i="9"/>
  <c r="I418" i="9"/>
  <c r="B419" i="9"/>
  <c r="C419" i="9"/>
  <c r="D419" i="9"/>
  <c r="E419" i="9"/>
  <c r="F419" i="9"/>
  <c r="G419" i="9"/>
  <c r="I419" i="9"/>
  <c r="B420" i="9"/>
  <c r="C420" i="9"/>
  <c r="D420" i="9"/>
  <c r="E420" i="9"/>
  <c r="F420" i="9"/>
  <c r="G420" i="9"/>
  <c r="I420" i="9"/>
  <c r="B421" i="9"/>
  <c r="C421" i="9"/>
  <c r="D421" i="9"/>
  <c r="E421" i="9"/>
  <c r="F421" i="9"/>
  <c r="G421" i="9"/>
  <c r="I421" i="9"/>
  <c r="B422" i="9"/>
  <c r="C422" i="9"/>
  <c r="D422" i="9"/>
  <c r="E422" i="9"/>
  <c r="F422" i="9"/>
  <c r="G422" i="9"/>
  <c r="I422" i="9"/>
  <c r="B423" i="9"/>
  <c r="C423" i="9"/>
  <c r="D423" i="9"/>
  <c r="E423" i="9"/>
  <c r="F423" i="9"/>
  <c r="G423" i="9"/>
  <c r="I423" i="9"/>
  <c r="B424" i="9"/>
  <c r="C424" i="9"/>
  <c r="D424" i="9"/>
  <c r="E424" i="9"/>
  <c r="F424" i="9"/>
  <c r="G424" i="9"/>
  <c r="I424" i="9"/>
  <c r="B425" i="9"/>
  <c r="C425" i="9"/>
  <c r="D425" i="9"/>
  <c r="E425" i="9"/>
  <c r="F425" i="9"/>
  <c r="G425" i="9"/>
  <c r="I425" i="9"/>
  <c r="B426" i="9"/>
  <c r="C426" i="9"/>
  <c r="D426" i="9"/>
  <c r="E426" i="9"/>
  <c r="F426" i="9"/>
  <c r="G426" i="9"/>
  <c r="I426" i="9"/>
  <c r="B427" i="9"/>
  <c r="C427" i="9"/>
  <c r="D427" i="9"/>
  <c r="E427" i="9"/>
  <c r="F427" i="9"/>
  <c r="G427" i="9"/>
  <c r="I427" i="9"/>
  <c r="B428" i="9"/>
  <c r="C428" i="9"/>
  <c r="D428" i="9"/>
  <c r="E428" i="9"/>
  <c r="F428" i="9"/>
  <c r="G428" i="9"/>
  <c r="I428" i="9"/>
  <c r="B429" i="9"/>
  <c r="C429" i="9"/>
  <c r="D429" i="9"/>
  <c r="E429" i="9"/>
  <c r="F429" i="9"/>
  <c r="G429" i="9"/>
  <c r="I429" i="9"/>
  <c r="B430" i="9"/>
  <c r="C430" i="9"/>
  <c r="D430" i="9"/>
  <c r="E430" i="9"/>
  <c r="F430" i="9"/>
  <c r="G430" i="9"/>
  <c r="I430" i="9"/>
  <c r="B431" i="9"/>
  <c r="C431" i="9"/>
  <c r="D431" i="9"/>
  <c r="E431" i="9"/>
  <c r="F431" i="9"/>
  <c r="G431" i="9"/>
  <c r="I431" i="9"/>
  <c r="B432" i="9"/>
  <c r="C432" i="9"/>
  <c r="D432" i="9"/>
  <c r="E432" i="9"/>
  <c r="F432" i="9"/>
  <c r="G432" i="9"/>
  <c r="I432" i="9"/>
  <c r="B433" i="9"/>
  <c r="C433" i="9"/>
  <c r="D433" i="9"/>
  <c r="E433" i="9"/>
  <c r="F433" i="9"/>
  <c r="G433" i="9"/>
  <c r="I433" i="9"/>
  <c r="B434" i="9"/>
  <c r="C434" i="9"/>
  <c r="D434" i="9"/>
  <c r="E434" i="9"/>
  <c r="F434" i="9"/>
  <c r="G434" i="9"/>
  <c r="I434" i="9"/>
  <c r="B435" i="9"/>
  <c r="C435" i="9"/>
  <c r="D435" i="9"/>
  <c r="E435" i="9"/>
  <c r="F435" i="9"/>
  <c r="G435" i="9"/>
  <c r="I435" i="9"/>
  <c r="B436" i="9"/>
  <c r="C436" i="9"/>
  <c r="D436" i="9"/>
  <c r="E436" i="9"/>
  <c r="F436" i="9"/>
  <c r="G436" i="9"/>
  <c r="I436" i="9"/>
  <c r="B437" i="9"/>
  <c r="C437" i="9"/>
  <c r="D437" i="9"/>
  <c r="E437" i="9"/>
  <c r="F437" i="9"/>
  <c r="G437" i="9"/>
  <c r="I437" i="9"/>
  <c r="B438" i="9"/>
  <c r="C438" i="9"/>
  <c r="D438" i="9"/>
  <c r="E438" i="9"/>
  <c r="F438" i="9"/>
  <c r="G438" i="9"/>
  <c r="I438" i="9"/>
  <c r="B439" i="9"/>
  <c r="C439" i="9"/>
  <c r="D439" i="9"/>
  <c r="E439" i="9"/>
  <c r="F439" i="9"/>
  <c r="G439" i="9"/>
  <c r="I439" i="9"/>
  <c r="B440" i="9"/>
  <c r="C440" i="9"/>
  <c r="D440" i="9"/>
  <c r="E440" i="9"/>
  <c r="F440" i="9"/>
  <c r="G440" i="9"/>
  <c r="I440" i="9"/>
  <c r="B441" i="9"/>
  <c r="C441" i="9"/>
  <c r="D441" i="9"/>
  <c r="E441" i="9"/>
  <c r="F441" i="9"/>
  <c r="G441" i="9"/>
  <c r="I441" i="9"/>
  <c r="B442" i="9"/>
  <c r="C442" i="9"/>
  <c r="D442" i="9"/>
  <c r="E442" i="9"/>
  <c r="F442" i="9"/>
  <c r="G442" i="9"/>
  <c r="I442" i="9"/>
  <c r="B443" i="9"/>
  <c r="C443" i="9"/>
  <c r="D443" i="9"/>
  <c r="E443" i="9"/>
  <c r="F443" i="9"/>
  <c r="G443" i="9"/>
  <c r="I443" i="9"/>
  <c r="B444" i="9"/>
  <c r="C444" i="9"/>
  <c r="D444" i="9"/>
  <c r="E444" i="9"/>
  <c r="F444" i="9"/>
  <c r="G444" i="9"/>
  <c r="I444" i="9"/>
  <c r="B445" i="9"/>
  <c r="C445" i="9"/>
  <c r="D445" i="9"/>
  <c r="E445" i="9"/>
  <c r="F445" i="9"/>
  <c r="G445" i="9"/>
  <c r="I445" i="9"/>
  <c r="B446" i="9"/>
  <c r="C446" i="9"/>
  <c r="D446" i="9"/>
  <c r="E446" i="9"/>
  <c r="F446" i="9"/>
  <c r="G446" i="9"/>
  <c r="I446" i="9"/>
  <c r="B447" i="9"/>
  <c r="C447" i="9"/>
  <c r="D447" i="9"/>
  <c r="E447" i="9"/>
  <c r="F447" i="9"/>
  <c r="G447" i="9"/>
  <c r="I447" i="9"/>
  <c r="B448" i="9"/>
  <c r="C448" i="9"/>
  <c r="D448" i="9"/>
  <c r="E448" i="9"/>
  <c r="F448" i="9"/>
  <c r="G448" i="9"/>
  <c r="I448" i="9"/>
  <c r="B449" i="9"/>
  <c r="C449" i="9"/>
  <c r="D449" i="9"/>
  <c r="E449" i="9"/>
  <c r="F449" i="9"/>
  <c r="G449" i="9"/>
  <c r="I449" i="9"/>
  <c r="B450" i="9"/>
  <c r="C450" i="9"/>
  <c r="D450" i="9"/>
  <c r="E450" i="9"/>
  <c r="F450" i="9"/>
  <c r="G450" i="9"/>
  <c r="I450" i="9"/>
  <c r="B451" i="9"/>
  <c r="C451" i="9"/>
  <c r="D451" i="9"/>
  <c r="E451" i="9"/>
  <c r="F451" i="9"/>
  <c r="G451" i="9"/>
  <c r="I451" i="9"/>
  <c r="B452" i="9"/>
  <c r="C452" i="9"/>
  <c r="D452" i="9"/>
  <c r="E452" i="9"/>
  <c r="F452" i="9"/>
  <c r="G452" i="9"/>
  <c r="I452" i="9"/>
  <c r="B453" i="9"/>
  <c r="C453" i="9"/>
  <c r="D453" i="9"/>
  <c r="E453" i="9"/>
  <c r="F453" i="9"/>
  <c r="G453" i="9"/>
  <c r="I453" i="9"/>
  <c r="B454" i="9"/>
  <c r="C454" i="9"/>
  <c r="D454" i="9"/>
  <c r="E454" i="9"/>
  <c r="F454" i="9"/>
  <c r="G454" i="9"/>
  <c r="I454" i="9"/>
  <c r="B455" i="9"/>
  <c r="C455" i="9"/>
  <c r="D455" i="9"/>
  <c r="E455" i="9"/>
  <c r="F455" i="9"/>
  <c r="G455" i="9"/>
  <c r="I455" i="9"/>
  <c r="B456" i="9"/>
  <c r="C456" i="9"/>
  <c r="D456" i="9"/>
  <c r="E456" i="9"/>
  <c r="F456" i="9"/>
  <c r="G456" i="9"/>
  <c r="I456" i="9"/>
  <c r="B457" i="9"/>
  <c r="C457" i="9"/>
  <c r="D457" i="9"/>
  <c r="E457" i="9"/>
  <c r="F457" i="9"/>
  <c r="G457" i="9"/>
  <c r="I457" i="9"/>
  <c r="B458" i="9"/>
  <c r="C458" i="9"/>
  <c r="D458" i="9"/>
  <c r="E458" i="9"/>
  <c r="F458" i="9"/>
  <c r="G458" i="9"/>
  <c r="I458" i="9"/>
  <c r="B459" i="9"/>
  <c r="C459" i="9"/>
  <c r="D459" i="9"/>
  <c r="E459" i="9"/>
  <c r="F459" i="9"/>
  <c r="G459" i="9"/>
  <c r="I459" i="9"/>
  <c r="B460" i="9"/>
  <c r="C460" i="9"/>
  <c r="D460" i="9"/>
  <c r="E460" i="9"/>
  <c r="F460" i="9"/>
  <c r="G460" i="9"/>
  <c r="I460" i="9"/>
  <c r="B461" i="9"/>
  <c r="C461" i="9"/>
  <c r="D461" i="9"/>
  <c r="E461" i="9"/>
  <c r="F461" i="9"/>
  <c r="G461" i="9"/>
  <c r="I461" i="9"/>
  <c r="B462" i="9"/>
  <c r="C462" i="9"/>
  <c r="D462" i="9"/>
  <c r="E462" i="9"/>
  <c r="F462" i="9"/>
  <c r="G462" i="9"/>
  <c r="I462" i="9"/>
  <c r="B463" i="9"/>
  <c r="C463" i="9"/>
  <c r="D463" i="9"/>
  <c r="E463" i="9"/>
  <c r="F463" i="9"/>
  <c r="G463" i="9"/>
  <c r="I463" i="9"/>
  <c r="B464" i="9"/>
  <c r="C464" i="9"/>
  <c r="D464" i="9"/>
  <c r="E464" i="9"/>
  <c r="F464" i="9"/>
  <c r="G464" i="9"/>
  <c r="I464" i="9"/>
  <c r="B465" i="9"/>
  <c r="C465" i="9"/>
  <c r="D465" i="9"/>
  <c r="E465" i="9"/>
  <c r="F465" i="9"/>
  <c r="G465" i="9"/>
  <c r="I465" i="9"/>
  <c r="B466" i="9"/>
  <c r="C466" i="9"/>
  <c r="D466" i="9"/>
  <c r="E466" i="9"/>
  <c r="F466" i="9"/>
  <c r="G466" i="9"/>
  <c r="I466" i="9"/>
  <c r="B467" i="9"/>
  <c r="C467" i="9"/>
  <c r="D467" i="9"/>
  <c r="E467" i="9"/>
  <c r="F467" i="9"/>
  <c r="G467" i="9"/>
  <c r="I467" i="9"/>
  <c r="B468" i="9"/>
  <c r="C468" i="9"/>
  <c r="D468" i="9"/>
  <c r="E468" i="9"/>
  <c r="F468" i="9"/>
  <c r="G468" i="9"/>
  <c r="I468" i="9"/>
  <c r="B469" i="9"/>
  <c r="C469" i="9"/>
  <c r="D469" i="9"/>
  <c r="E469" i="9"/>
  <c r="F469" i="9"/>
  <c r="G469" i="9"/>
  <c r="I469" i="9"/>
  <c r="B470" i="9"/>
  <c r="C470" i="9"/>
  <c r="D470" i="9"/>
  <c r="E470" i="9"/>
  <c r="F470" i="9"/>
  <c r="G470" i="9"/>
  <c r="I470" i="9"/>
  <c r="B471" i="9"/>
  <c r="C471" i="9"/>
  <c r="D471" i="9"/>
  <c r="E471" i="9"/>
  <c r="F471" i="9"/>
  <c r="G471" i="9"/>
  <c r="I471" i="9"/>
  <c r="B472" i="9"/>
  <c r="C472" i="9"/>
  <c r="D472" i="9"/>
  <c r="E472" i="9"/>
  <c r="F472" i="9"/>
  <c r="G472" i="9"/>
  <c r="I472" i="9"/>
  <c r="B473" i="9"/>
  <c r="C473" i="9"/>
  <c r="D473" i="9"/>
  <c r="E473" i="9"/>
  <c r="F473" i="9"/>
  <c r="G473" i="9"/>
  <c r="I473" i="9"/>
  <c r="B474" i="9"/>
  <c r="C474" i="9"/>
  <c r="D474" i="9"/>
  <c r="E474" i="9"/>
  <c r="F474" i="9"/>
  <c r="G474" i="9"/>
  <c r="I474" i="9"/>
  <c r="B475" i="9"/>
  <c r="C475" i="9"/>
  <c r="D475" i="9"/>
  <c r="E475" i="9"/>
  <c r="F475" i="9"/>
  <c r="G475" i="9"/>
  <c r="I475" i="9"/>
  <c r="B476" i="9"/>
  <c r="C476" i="9"/>
  <c r="D476" i="9"/>
  <c r="E476" i="9"/>
  <c r="F476" i="9"/>
  <c r="G476" i="9"/>
  <c r="I476" i="9"/>
  <c r="B477" i="9"/>
  <c r="C477" i="9"/>
  <c r="D477" i="9"/>
  <c r="E477" i="9"/>
  <c r="F477" i="9"/>
  <c r="G477" i="9"/>
  <c r="I477" i="9"/>
  <c r="B478" i="9"/>
  <c r="C478" i="9"/>
  <c r="D478" i="9"/>
  <c r="E478" i="9"/>
  <c r="F478" i="9"/>
  <c r="G478" i="9"/>
  <c r="I478" i="9"/>
  <c r="B479" i="9"/>
  <c r="C479" i="9"/>
  <c r="D479" i="9"/>
  <c r="E479" i="9"/>
  <c r="F479" i="9"/>
  <c r="G479" i="9"/>
  <c r="I479" i="9"/>
  <c r="B480" i="9"/>
  <c r="C480" i="9"/>
  <c r="D480" i="9"/>
  <c r="E480" i="9"/>
  <c r="F480" i="9"/>
  <c r="G480" i="9"/>
  <c r="I480" i="9"/>
  <c r="B481" i="9"/>
  <c r="C481" i="9"/>
  <c r="D481" i="9"/>
  <c r="E481" i="9"/>
  <c r="F481" i="9"/>
  <c r="G481" i="9"/>
  <c r="I481" i="9"/>
  <c r="B482" i="9"/>
  <c r="C482" i="9"/>
  <c r="D482" i="9"/>
  <c r="E482" i="9"/>
  <c r="F482" i="9"/>
  <c r="G482" i="9"/>
  <c r="I482" i="9"/>
  <c r="B483" i="9"/>
  <c r="C483" i="9"/>
  <c r="D483" i="9"/>
  <c r="E483" i="9"/>
  <c r="F483" i="9"/>
  <c r="G483" i="9"/>
  <c r="I483" i="9"/>
  <c r="B484" i="9"/>
  <c r="C484" i="9"/>
  <c r="D484" i="9"/>
  <c r="E484" i="9"/>
  <c r="F484" i="9"/>
  <c r="G484" i="9"/>
  <c r="I484" i="9"/>
  <c r="B485" i="9"/>
  <c r="C485" i="9"/>
  <c r="D485" i="9"/>
  <c r="E485" i="9"/>
  <c r="F485" i="9"/>
  <c r="G485" i="9"/>
  <c r="I485" i="9"/>
  <c r="B486" i="9"/>
  <c r="C486" i="9"/>
  <c r="D486" i="9"/>
  <c r="E486" i="9"/>
  <c r="F486" i="9"/>
  <c r="G486" i="9"/>
  <c r="I486" i="9"/>
  <c r="B487" i="9"/>
  <c r="C487" i="9"/>
  <c r="D487" i="9"/>
  <c r="E487" i="9"/>
  <c r="F487" i="9"/>
  <c r="G487" i="9"/>
  <c r="I487" i="9"/>
  <c r="B488" i="9"/>
  <c r="C488" i="9"/>
  <c r="D488" i="9"/>
  <c r="E488" i="9"/>
  <c r="F488" i="9"/>
  <c r="G488" i="9"/>
  <c r="I488" i="9"/>
  <c r="B489" i="9"/>
  <c r="C489" i="9"/>
  <c r="D489" i="9"/>
  <c r="E489" i="9"/>
  <c r="F489" i="9"/>
  <c r="G489" i="9"/>
  <c r="I489" i="9"/>
  <c r="B490" i="9"/>
  <c r="C490" i="9"/>
  <c r="D490" i="9"/>
  <c r="E490" i="9"/>
  <c r="F490" i="9"/>
  <c r="G490" i="9"/>
  <c r="I490" i="9"/>
  <c r="B491" i="9"/>
  <c r="C491" i="9"/>
  <c r="D491" i="9"/>
  <c r="E491" i="9"/>
  <c r="F491" i="9"/>
  <c r="G491" i="9"/>
  <c r="I491" i="9"/>
  <c r="B492" i="9"/>
  <c r="C492" i="9"/>
  <c r="D492" i="9"/>
  <c r="E492" i="9"/>
  <c r="F492" i="9"/>
  <c r="G492" i="9"/>
  <c r="I492" i="9"/>
  <c r="B493" i="9"/>
  <c r="C493" i="9"/>
  <c r="D493" i="9"/>
  <c r="E493" i="9"/>
  <c r="F493" i="9"/>
  <c r="G493" i="9"/>
  <c r="I493" i="9"/>
  <c r="B494" i="9"/>
  <c r="C494" i="9"/>
  <c r="D494" i="9"/>
  <c r="E494" i="9"/>
  <c r="F494" i="9"/>
  <c r="G494" i="9"/>
  <c r="I494" i="9"/>
  <c r="B495" i="9"/>
  <c r="C495" i="9"/>
  <c r="D495" i="9"/>
  <c r="E495" i="9"/>
  <c r="F495" i="9"/>
  <c r="G495" i="9"/>
  <c r="I495" i="9"/>
  <c r="B496" i="9"/>
  <c r="C496" i="9"/>
  <c r="D496" i="9"/>
  <c r="E496" i="9"/>
  <c r="F496" i="9"/>
  <c r="G496" i="9"/>
  <c r="I496" i="9"/>
  <c r="B497" i="9"/>
  <c r="C497" i="9"/>
  <c r="D497" i="9"/>
  <c r="E497" i="9"/>
  <c r="F497" i="9"/>
  <c r="G497" i="9"/>
  <c r="I497" i="9"/>
  <c r="B498" i="9"/>
  <c r="C498" i="9"/>
  <c r="D498" i="9"/>
  <c r="E498" i="9"/>
  <c r="F498" i="9"/>
  <c r="G498" i="9"/>
  <c r="I498" i="9"/>
  <c r="B499" i="9"/>
  <c r="C499" i="9"/>
  <c r="D499" i="9"/>
  <c r="E499" i="9"/>
  <c r="F499" i="9"/>
  <c r="G499" i="9"/>
  <c r="I499" i="9"/>
  <c r="E4" i="9"/>
  <c r="D4" i="9"/>
  <c r="B4" i="9" l="1"/>
  <c r="I4" i="9" l="1"/>
  <c r="G4" i="9"/>
  <c r="F4" i="9"/>
  <c r="C4" i="9"/>
  <c r="B2" i="9"/>
  <c r="B501" i="2" l="1"/>
  <c r="C501" i="2"/>
  <c r="B502" i="2"/>
  <c r="C502" i="2"/>
  <c r="B503" i="2"/>
  <c r="C503" i="2"/>
  <c r="B504" i="2"/>
  <c r="C504" i="2"/>
  <c r="B505" i="2"/>
  <c r="C505" i="2"/>
  <c r="B506" i="2"/>
  <c r="C506" i="2"/>
  <c r="B507" i="2"/>
  <c r="C507" i="2"/>
  <c r="B508" i="2"/>
  <c r="C508" i="2"/>
  <c r="B509" i="2"/>
  <c r="C509" i="2"/>
  <c r="B510" i="2"/>
  <c r="C510" i="2"/>
  <c r="B511" i="2"/>
  <c r="C511" i="2"/>
  <c r="B512" i="2"/>
  <c r="C512" i="2"/>
  <c r="B513" i="2"/>
  <c r="C513" i="2"/>
  <c r="B514" i="2"/>
  <c r="C514" i="2"/>
  <c r="B515" i="2"/>
  <c r="C515" i="2"/>
  <c r="B516" i="2"/>
  <c r="C516" i="2"/>
  <c r="B517" i="2"/>
  <c r="C517" i="2"/>
  <c r="B518" i="2"/>
  <c r="C518" i="2"/>
  <c r="B519" i="2"/>
  <c r="C519" i="2"/>
  <c r="B520" i="2"/>
  <c r="C520" i="2"/>
  <c r="B521" i="2"/>
  <c r="C521" i="2"/>
  <c r="B522" i="2"/>
  <c r="C522" i="2"/>
  <c r="B523" i="2"/>
  <c r="C523" i="2"/>
  <c r="B524" i="2"/>
  <c r="C524" i="2"/>
  <c r="B525" i="2"/>
  <c r="C525" i="2"/>
  <c r="B526" i="2"/>
  <c r="C526" i="2"/>
  <c r="B527" i="2"/>
  <c r="C527" i="2"/>
  <c r="B528" i="2"/>
  <c r="C528" i="2"/>
  <c r="B529" i="2"/>
  <c r="C529" i="2"/>
  <c r="B530" i="2"/>
  <c r="C530" i="2"/>
  <c r="B531" i="2"/>
  <c r="C531" i="2"/>
  <c r="B532" i="2"/>
  <c r="C532" i="2"/>
  <c r="B533" i="2"/>
  <c r="C533" i="2"/>
  <c r="B534" i="2"/>
  <c r="C534" i="2"/>
  <c r="B535" i="2"/>
  <c r="C535" i="2"/>
  <c r="B536" i="2"/>
  <c r="C536" i="2"/>
  <c r="B537" i="2"/>
  <c r="C537" i="2"/>
  <c r="B538" i="2"/>
  <c r="C538" i="2"/>
  <c r="B539" i="2"/>
  <c r="C539" i="2"/>
  <c r="B540" i="2"/>
  <c r="C540" i="2"/>
  <c r="B541" i="2"/>
  <c r="C541" i="2"/>
  <c r="B542" i="2"/>
  <c r="C542" i="2"/>
  <c r="B543" i="2"/>
  <c r="C543" i="2"/>
  <c r="B544" i="2"/>
  <c r="C544" i="2"/>
  <c r="B545" i="2"/>
  <c r="C545" i="2"/>
  <c r="B546" i="2"/>
  <c r="C546" i="2"/>
  <c r="B547" i="2"/>
  <c r="C547" i="2"/>
  <c r="B548" i="2"/>
  <c r="C548" i="2"/>
  <c r="B549" i="2"/>
  <c r="C549" i="2"/>
  <c r="B550" i="2"/>
  <c r="C550" i="2"/>
  <c r="B551" i="2"/>
  <c r="C551" i="2"/>
  <c r="B552" i="2"/>
  <c r="C552" i="2"/>
  <c r="B553" i="2"/>
  <c r="C553" i="2"/>
  <c r="B554" i="2"/>
  <c r="C554" i="2"/>
  <c r="B555" i="2"/>
  <c r="C555" i="2"/>
  <c r="B556" i="2"/>
  <c r="C556" i="2"/>
  <c r="B557" i="2"/>
  <c r="C557" i="2"/>
  <c r="B558" i="2"/>
  <c r="C558" i="2"/>
  <c r="B559" i="2"/>
  <c r="C559" i="2"/>
  <c r="B560" i="2"/>
  <c r="C560" i="2"/>
  <c r="B561" i="2"/>
  <c r="C561" i="2"/>
  <c r="B562" i="2"/>
  <c r="C562" i="2"/>
  <c r="B563" i="2"/>
  <c r="C563" i="2"/>
  <c r="B564" i="2"/>
  <c r="C564" i="2"/>
  <c r="B565" i="2"/>
  <c r="C565" i="2"/>
  <c r="B566" i="2"/>
  <c r="C566" i="2"/>
  <c r="B567" i="2"/>
  <c r="C567" i="2"/>
  <c r="B568" i="2"/>
  <c r="C568" i="2"/>
  <c r="B569" i="2"/>
  <c r="C569" i="2"/>
  <c r="B570" i="2"/>
  <c r="C570" i="2"/>
  <c r="B571" i="2"/>
  <c r="C571" i="2"/>
  <c r="B572" i="2"/>
  <c r="C572" i="2"/>
  <c r="B573" i="2"/>
  <c r="C573" i="2"/>
  <c r="B574" i="2"/>
  <c r="C574" i="2"/>
  <c r="B575" i="2"/>
  <c r="C575" i="2"/>
  <c r="B576" i="2"/>
  <c r="C576" i="2"/>
  <c r="B577" i="2"/>
  <c r="C577" i="2"/>
  <c r="B578" i="2"/>
  <c r="C578" i="2"/>
  <c r="B579" i="2"/>
  <c r="C579" i="2"/>
  <c r="B580" i="2"/>
  <c r="C580" i="2"/>
  <c r="B581" i="2"/>
  <c r="C581" i="2"/>
  <c r="B582" i="2"/>
  <c r="C582" i="2"/>
  <c r="B583" i="2"/>
  <c r="C583" i="2"/>
  <c r="B584" i="2"/>
  <c r="C584" i="2"/>
  <c r="B585" i="2"/>
  <c r="C585" i="2"/>
  <c r="B586" i="2"/>
  <c r="C586" i="2"/>
  <c r="B587" i="2"/>
  <c r="C587" i="2"/>
  <c r="B588" i="2"/>
  <c r="C588" i="2"/>
  <c r="B589" i="2"/>
  <c r="C589" i="2"/>
  <c r="B590" i="2"/>
  <c r="C590" i="2"/>
  <c r="B591" i="2"/>
  <c r="C591" i="2"/>
  <c r="B592" i="2"/>
  <c r="C592" i="2"/>
  <c r="B593" i="2"/>
  <c r="C593" i="2"/>
  <c r="B594" i="2"/>
  <c r="C594" i="2"/>
  <c r="B595" i="2"/>
  <c r="C595" i="2"/>
  <c r="B596" i="2"/>
  <c r="C596" i="2"/>
  <c r="B597" i="2"/>
  <c r="C597" i="2"/>
  <c r="B598" i="2"/>
  <c r="C598" i="2"/>
  <c r="B599" i="2"/>
  <c r="C599" i="2"/>
  <c r="B600" i="2"/>
  <c r="C600" i="2"/>
  <c r="B601" i="2"/>
  <c r="C601" i="2"/>
  <c r="B602" i="2"/>
  <c r="C602" i="2"/>
  <c r="B603" i="2"/>
  <c r="C603" i="2"/>
  <c r="B604" i="2"/>
  <c r="C604" i="2"/>
  <c r="B605" i="2"/>
  <c r="C605" i="2"/>
  <c r="B606" i="2"/>
  <c r="C606" i="2"/>
  <c r="B607" i="2"/>
  <c r="C607" i="2"/>
  <c r="B608" i="2"/>
  <c r="C608" i="2"/>
  <c r="B609" i="2"/>
  <c r="C609" i="2"/>
  <c r="B610" i="2"/>
  <c r="C610" i="2"/>
  <c r="B611" i="2"/>
  <c r="C611" i="2"/>
  <c r="J5" i="2"/>
  <c r="K5" i="2"/>
  <c r="J6" i="2"/>
  <c r="K6" i="2"/>
  <c r="J7" i="2"/>
  <c r="K7" i="2"/>
  <c r="J8" i="2"/>
  <c r="K8" i="2"/>
  <c r="J9" i="2"/>
  <c r="K9" i="2"/>
  <c r="J10" i="2"/>
  <c r="K10" i="2"/>
  <c r="J11" i="2"/>
  <c r="K11" i="2"/>
  <c r="J12" i="2"/>
  <c r="K12" i="2"/>
  <c r="J13" i="2"/>
  <c r="K13" i="2"/>
  <c r="J14" i="2"/>
  <c r="K14" i="2"/>
  <c r="J15" i="2"/>
  <c r="K15" i="2"/>
  <c r="J16" i="2"/>
  <c r="K16" i="2"/>
  <c r="J17" i="2"/>
  <c r="K17" i="2"/>
  <c r="J18" i="2"/>
  <c r="K18" i="2"/>
  <c r="J19" i="2"/>
  <c r="K19" i="2"/>
  <c r="J20" i="2"/>
  <c r="K20" i="2"/>
  <c r="J21" i="2"/>
  <c r="K21" i="2"/>
  <c r="J22" i="2"/>
  <c r="K22" i="2"/>
  <c r="J23" i="2"/>
  <c r="K23" i="2"/>
  <c r="J24" i="2"/>
  <c r="K24" i="2"/>
  <c r="J25" i="2"/>
  <c r="K25" i="2"/>
  <c r="J26" i="2"/>
  <c r="K26" i="2"/>
  <c r="J27" i="2"/>
  <c r="K27" i="2"/>
  <c r="J28" i="2"/>
  <c r="K28" i="2"/>
  <c r="J29" i="2"/>
  <c r="K29" i="2"/>
  <c r="J30" i="2"/>
  <c r="K30" i="2"/>
  <c r="J31" i="2"/>
  <c r="K31" i="2"/>
  <c r="J32" i="2"/>
  <c r="K32" i="2"/>
  <c r="J33" i="2"/>
  <c r="K33" i="2"/>
  <c r="J34" i="2"/>
  <c r="K34" i="2"/>
  <c r="J35" i="2"/>
  <c r="K35" i="2"/>
  <c r="J36" i="2"/>
  <c r="K36" i="2"/>
  <c r="J37" i="2"/>
  <c r="K37" i="2"/>
  <c r="J38" i="2"/>
  <c r="K38" i="2"/>
  <c r="J39" i="2"/>
  <c r="K39" i="2"/>
  <c r="J40" i="2"/>
  <c r="K40" i="2"/>
  <c r="J41" i="2"/>
  <c r="K41" i="2"/>
  <c r="J42" i="2"/>
  <c r="K42" i="2"/>
  <c r="J43" i="2"/>
  <c r="K43" i="2"/>
  <c r="J44" i="2"/>
  <c r="K44" i="2"/>
  <c r="J45" i="2"/>
  <c r="K45" i="2"/>
  <c r="J46" i="2"/>
  <c r="K46" i="2"/>
  <c r="J47" i="2"/>
  <c r="K47" i="2"/>
  <c r="J48" i="2"/>
  <c r="K48" i="2"/>
  <c r="J49" i="2"/>
  <c r="K49" i="2"/>
  <c r="J50" i="2"/>
  <c r="K50" i="2"/>
  <c r="J51" i="2"/>
  <c r="K51" i="2"/>
  <c r="J52" i="2"/>
  <c r="K52" i="2"/>
  <c r="J53" i="2"/>
  <c r="K53" i="2"/>
  <c r="J54" i="2"/>
  <c r="K54" i="2"/>
  <c r="J55" i="2"/>
  <c r="K55" i="2"/>
  <c r="J56" i="2"/>
  <c r="K56" i="2"/>
  <c r="J57" i="2"/>
  <c r="K57" i="2"/>
  <c r="J58" i="2"/>
  <c r="K58" i="2"/>
  <c r="J59" i="2"/>
  <c r="K59" i="2"/>
  <c r="J60" i="2"/>
  <c r="K60" i="2"/>
  <c r="J61" i="2"/>
  <c r="K61" i="2"/>
  <c r="J62" i="2"/>
  <c r="K62" i="2"/>
  <c r="J63" i="2"/>
  <c r="K63" i="2"/>
  <c r="J64" i="2"/>
  <c r="K64" i="2"/>
  <c r="J65" i="2"/>
  <c r="K65" i="2"/>
  <c r="J66" i="2"/>
  <c r="K66" i="2"/>
  <c r="J67" i="2"/>
  <c r="K67" i="2"/>
  <c r="J68" i="2"/>
  <c r="K68" i="2"/>
  <c r="J69" i="2"/>
  <c r="K69" i="2"/>
  <c r="J70" i="2"/>
  <c r="K70" i="2"/>
  <c r="J71" i="2"/>
  <c r="K71" i="2"/>
  <c r="J72" i="2"/>
  <c r="K72" i="2"/>
  <c r="J73" i="2"/>
  <c r="K73" i="2"/>
  <c r="J74" i="2"/>
  <c r="K74" i="2"/>
  <c r="J75" i="2"/>
  <c r="K75" i="2"/>
  <c r="J76" i="2"/>
  <c r="K76" i="2"/>
  <c r="J77" i="2"/>
  <c r="K77" i="2"/>
  <c r="J78" i="2"/>
  <c r="K78" i="2"/>
  <c r="J79" i="2"/>
  <c r="K79" i="2"/>
  <c r="J80" i="2"/>
  <c r="K80" i="2"/>
  <c r="J81" i="2"/>
  <c r="K81" i="2"/>
  <c r="J82" i="2"/>
  <c r="K82" i="2"/>
  <c r="J83" i="2"/>
  <c r="K83" i="2"/>
  <c r="J84" i="2"/>
  <c r="K84" i="2"/>
  <c r="J85" i="2"/>
  <c r="K85" i="2"/>
  <c r="J86" i="2"/>
  <c r="K86" i="2"/>
  <c r="J87" i="2"/>
  <c r="K87" i="2"/>
  <c r="J88" i="2"/>
  <c r="K88" i="2"/>
  <c r="J89" i="2"/>
  <c r="K89" i="2"/>
  <c r="J90" i="2"/>
  <c r="K90" i="2"/>
  <c r="J91" i="2"/>
  <c r="K91" i="2"/>
  <c r="J92" i="2"/>
  <c r="K92" i="2"/>
  <c r="J93" i="2"/>
  <c r="K93" i="2"/>
  <c r="J94" i="2"/>
  <c r="K94" i="2"/>
  <c r="J95" i="2"/>
  <c r="K95" i="2"/>
  <c r="J96" i="2"/>
  <c r="K96" i="2"/>
  <c r="J97" i="2"/>
  <c r="K97" i="2"/>
  <c r="J98" i="2"/>
  <c r="K98" i="2"/>
  <c r="J99" i="2"/>
  <c r="K99" i="2"/>
  <c r="J100" i="2"/>
  <c r="K100" i="2"/>
  <c r="J101" i="2"/>
  <c r="K101" i="2"/>
  <c r="J102" i="2"/>
  <c r="K102" i="2"/>
  <c r="J103" i="2"/>
  <c r="K103" i="2"/>
  <c r="J104" i="2"/>
  <c r="K104" i="2"/>
  <c r="J105" i="2"/>
  <c r="K105" i="2"/>
  <c r="J106" i="2"/>
  <c r="K106" i="2"/>
  <c r="J107" i="2"/>
  <c r="K107" i="2"/>
  <c r="J108" i="2"/>
  <c r="K108" i="2"/>
  <c r="J109" i="2"/>
  <c r="K109" i="2"/>
  <c r="J110" i="2"/>
  <c r="K110" i="2"/>
  <c r="J111" i="2"/>
  <c r="K111" i="2"/>
  <c r="J112" i="2"/>
  <c r="K112" i="2"/>
  <c r="J113" i="2"/>
  <c r="K113" i="2"/>
  <c r="J114" i="2"/>
  <c r="K114" i="2"/>
  <c r="J115" i="2"/>
  <c r="K115" i="2"/>
  <c r="J116" i="2"/>
  <c r="K116" i="2"/>
  <c r="J117" i="2"/>
  <c r="K117" i="2"/>
  <c r="J118" i="2"/>
  <c r="K118" i="2"/>
  <c r="J119" i="2"/>
  <c r="K119" i="2"/>
  <c r="J120" i="2"/>
  <c r="K120" i="2"/>
  <c r="J121" i="2"/>
  <c r="K121" i="2"/>
  <c r="J122" i="2"/>
  <c r="K122" i="2"/>
  <c r="J123" i="2"/>
  <c r="K123" i="2"/>
  <c r="J124" i="2"/>
  <c r="K124" i="2"/>
  <c r="J125" i="2"/>
  <c r="K125" i="2"/>
  <c r="J126" i="2"/>
  <c r="K126" i="2"/>
  <c r="J127" i="2"/>
  <c r="K127" i="2"/>
  <c r="J128" i="2"/>
  <c r="K128" i="2"/>
  <c r="J129" i="2"/>
  <c r="K129" i="2"/>
  <c r="J130" i="2"/>
  <c r="K130" i="2"/>
  <c r="J131" i="2"/>
  <c r="K131" i="2"/>
  <c r="J132" i="2"/>
  <c r="K132" i="2"/>
  <c r="J133" i="2"/>
  <c r="K133" i="2"/>
  <c r="J134" i="2"/>
  <c r="K134" i="2"/>
  <c r="J135" i="2"/>
  <c r="K135" i="2"/>
  <c r="J136" i="2"/>
  <c r="K136" i="2"/>
  <c r="J137" i="2"/>
  <c r="K137" i="2"/>
  <c r="J138" i="2"/>
  <c r="K138" i="2"/>
  <c r="J139" i="2"/>
  <c r="K139" i="2"/>
  <c r="J140" i="2"/>
  <c r="K140" i="2"/>
  <c r="J141" i="2"/>
  <c r="K141" i="2"/>
  <c r="J142" i="2"/>
  <c r="K142" i="2"/>
  <c r="J143" i="2"/>
  <c r="K143" i="2"/>
  <c r="J144" i="2"/>
  <c r="K144" i="2"/>
  <c r="J145" i="2"/>
  <c r="K145" i="2"/>
  <c r="J146" i="2"/>
  <c r="K146" i="2"/>
  <c r="J147" i="2"/>
  <c r="K147" i="2"/>
  <c r="J148" i="2"/>
  <c r="K148" i="2"/>
  <c r="J149" i="2"/>
  <c r="K149" i="2"/>
  <c r="J150" i="2"/>
  <c r="K150" i="2"/>
  <c r="J151" i="2"/>
  <c r="K151" i="2"/>
  <c r="J152" i="2"/>
  <c r="K152" i="2"/>
  <c r="J153" i="2"/>
  <c r="K153" i="2"/>
  <c r="J154" i="2"/>
  <c r="K154" i="2"/>
  <c r="J155" i="2"/>
  <c r="K155" i="2"/>
  <c r="J156" i="2"/>
  <c r="K156" i="2"/>
  <c r="J157" i="2"/>
  <c r="K157" i="2"/>
  <c r="J158" i="2"/>
  <c r="K158" i="2"/>
  <c r="J159" i="2"/>
  <c r="K159" i="2"/>
  <c r="J160" i="2"/>
  <c r="K160" i="2"/>
  <c r="J161" i="2"/>
  <c r="K161" i="2"/>
  <c r="J162" i="2"/>
  <c r="K162" i="2"/>
  <c r="J163" i="2"/>
  <c r="K163" i="2"/>
  <c r="J164" i="2"/>
  <c r="K164" i="2"/>
  <c r="J165" i="2"/>
  <c r="K165" i="2"/>
  <c r="J166" i="2"/>
  <c r="K166" i="2"/>
  <c r="J167" i="2"/>
  <c r="K167" i="2"/>
  <c r="J168" i="2"/>
  <c r="K168" i="2"/>
  <c r="J169" i="2"/>
  <c r="K169" i="2"/>
  <c r="J170" i="2"/>
  <c r="K170" i="2"/>
  <c r="J171" i="2"/>
  <c r="K171" i="2"/>
  <c r="J172" i="2"/>
  <c r="K172" i="2"/>
  <c r="J173" i="2"/>
  <c r="K173" i="2"/>
  <c r="J174" i="2"/>
  <c r="K174" i="2"/>
  <c r="J175" i="2"/>
  <c r="K175" i="2"/>
  <c r="J176" i="2"/>
  <c r="K176" i="2"/>
  <c r="J177" i="2"/>
  <c r="K177" i="2"/>
  <c r="J178" i="2"/>
  <c r="K178" i="2"/>
  <c r="J179" i="2"/>
  <c r="K179" i="2"/>
  <c r="J180" i="2"/>
  <c r="K180" i="2"/>
  <c r="J181" i="2"/>
  <c r="K181" i="2"/>
  <c r="J182" i="2"/>
  <c r="K182" i="2"/>
  <c r="J183" i="2"/>
  <c r="K183" i="2"/>
  <c r="J184" i="2"/>
  <c r="K184" i="2"/>
  <c r="J185" i="2"/>
  <c r="K185" i="2"/>
  <c r="J186" i="2"/>
  <c r="K186" i="2"/>
  <c r="J187" i="2"/>
  <c r="K187" i="2"/>
  <c r="J188" i="2"/>
  <c r="K188" i="2"/>
  <c r="J189" i="2"/>
  <c r="K189" i="2"/>
  <c r="J190" i="2"/>
  <c r="K190" i="2"/>
  <c r="J191" i="2"/>
  <c r="K191" i="2"/>
  <c r="J192" i="2"/>
  <c r="K192" i="2"/>
  <c r="J193" i="2"/>
  <c r="K193" i="2"/>
  <c r="J194" i="2"/>
  <c r="K194" i="2"/>
  <c r="J195" i="2"/>
  <c r="K195" i="2"/>
  <c r="J196" i="2"/>
  <c r="K196" i="2"/>
  <c r="J197" i="2"/>
  <c r="K197" i="2"/>
  <c r="J198" i="2"/>
  <c r="K198" i="2"/>
  <c r="J199" i="2"/>
  <c r="K199" i="2"/>
  <c r="J200" i="2"/>
  <c r="K200" i="2"/>
  <c r="J201" i="2"/>
  <c r="K201" i="2"/>
  <c r="J202" i="2"/>
  <c r="K202" i="2"/>
  <c r="J203" i="2"/>
  <c r="K203" i="2"/>
  <c r="J204" i="2"/>
  <c r="K204" i="2"/>
  <c r="J205" i="2"/>
  <c r="K205" i="2"/>
  <c r="J206" i="2"/>
  <c r="K206" i="2"/>
  <c r="J207" i="2"/>
  <c r="K207" i="2"/>
  <c r="J208" i="2"/>
  <c r="K208" i="2"/>
  <c r="J209" i="2"/>
  <c r="K209" i="2"/>
  <c r="J210" i="2"/>
  <c r="K210" i="2"/>
  <c r="J211" i="2"/>
  <c r="K211" i="2"/>
  <c r="J212" i="2"/>
  <c r="K212" i="2"/>
  <c r="J213" i="2"/>
  <c r="K213" i="2"/>
  <c r="J214" i="2"/>
  <c r="K214" i="2"/>
  <c r="J215" i="2"/>
  <c r="K215" i="2"/>
  <c r="J216" i="2"/>
  <c r="K216" i="2"/>
  <c r="J217" i="2"/>
  <c r="K217" i="2"/>
  <c r="J218" i="2"/>
  <c r="K218" i="2"/>
  <c r="J219" i="2"/>
  <c r="K219" i="2"/>
  <c r="J220" i="2"/>
  <c r="K220" i="2"/>
  <c r="J221" i="2"/>
  <c r="K221" i="2"/>
  <c r="J222" i="2"/>
  <c r="K222" i="2"/>
  <c r="J223" i="2"/>
  <c r="K223" i="2"/>
  <c r="J224" i="2"/>
  <c r="K224" i="2"/>
  <c r="J225" i="2"/>
  <c r="K225" i="2"/>
  <c r="J226" i="2"/>
  <c r="K226" i="2"/>
  <c r="J227" i="2"/>
  <c r="K227" i="2"/>
  <c r="J228" i="2"/>
  <c r="K228" i="2"/>
  <c r="J229" i="2"/>
  <c r="K229" i="2"/>
  <c r="J230" i="2"/>
  <c r="K230" i="2"/>
  <c r="J231" i="2"/>
  <c r="K231" i="2"/>
  <c r="J232" i="2"/>
  <c r="K232" i="2"/>
  <c r="J233" i="2"/>
  <c r="K233" i="2"/>
  <c r="J234" i="2"/>
  <c r="K234" i="2"/>
  <c r="J235" i="2"/>
  <c r="K235" i="2"/>
  <c r="J236" i="2"/>
  <c r="K236" i="2"/>
  <c r="J237" i="2"/>
  <c r="K237" i="2"/>
  <c r="J238" i="2"/>
  <c r="K238" i="2"/>
  <c r="J239" i="2"/>
  <c r="K239" i="2"/>
  <c r="J240" i="2"/>
  <c r="K240" i="2"/>
  <c r="J241" i="2"/>
  <c r="K241" i="2"/>
  <c r="J242" i="2"/>
  <c r="K242" i="2"/>
  <c r="J243" i="2"/>
  <c r="K243" i="2"/>
  <c r="J244" i="2"/>
  <c r="K244" i="2"/>
  <c r="J245" i="2"/>
  <c r="K245" i="2"/>
  <c r="J246" i="2"/>
  <c r="K246" i="2"/>
  <c r="J247" i="2"/>
  <c r="K247" i="2"/>
  <c r="J248" i="2"/>
  <c r="K248" i="2"/>
  <c r="J249" i="2"/>
  <c r="K249" i="2"/>
  <c r="J250" i="2"/>
  <c r="K250" i="2"/>
  <c r="J251" i="2"/>
  <c r="K251" i="2"/>
  <c r="J252" i="2"/>
  <c r="K252" i="2"/>
  <c r="J253" i="2"/>
  <c r="K253" i="2"/>
  <c r="J254" i="2"/>
  <c r="K254" i="2"/>
  <c r="J255" i="2"/>
  <c r="K255" i="2"/>
  <c r="J256" i="2"/>
  <c r="K256" i="2"/>
  <c r="J257" i="2"/>
  <c r="K257" i="2"/>
  <c r="J258" i="2"/>
  <c r="K258" i="2"/>
  <c r="J259" i="2"/>
  <c r="K259" i="2"/>
  <c r="J260" i="2"/>
  <c r="K260" i="2"/>
  <c r="J261" i="2"/>
  <c r="K261" i="2"/>
  <c r="J262" i="2"/>
  <c r="K262" i="2"/>
  <c r="J263" i="2"/>
  <c r="K263" i="2"/>
  <c r="J264" i="2"/>
  <c r="K264" i="2"/>
  <c r="J265" i="2"/>
  <c r="K265" i="2"/>
  <c r="J266" i="2"/>
  <c r="K266" i="2"/>
  <c r="J267" i="2"/>
  <c r="K267" i="2"/>
  <c r="J268" i="2"/>
  <c r="K268" i="2"/>
  <c r="J269" i="2"/>
  <c r="K269" i="2"/>
  <c r="J270" i="2"/>
  <c r="K270" i="2"/>
  <c r="J271" i="2"/>
  <c r="K271" i="2"/>
  <c r="J272" i="2"/>
  <c r="K272" i="2"/>
  <c r="J273" i="2"/>
  <c r="K273" i="2"/>
  <c r="J274" i="2"/>
  <c r="K274" i="2"/>
  <c r="J275" i="2"/>
  <c r="K275" i="2"/>
  <c r="J276" i="2"/>
  <c r="K276" i="2"/>
  <c r="J277" i="2"/>
  <c r="K277" i="2"/>
  <c r="J278" i="2"/>
  <c r="K278" i="2"/>
  <c r="J279" i="2"/>
  <c r="K279" i="2"/>
  <c r="J280" i="2"/>
  <c r="K280" i="2"/>
  <c r="J281" i="2"/>
  <c r="K281" i="2"/>
  <c r="J282" i="2"/>
  <c r="K282" i="2"/>
  <c r="J283" i="2"/>
  <c r="K283" i="2"/>
  <c r="J284" i="2"/>
  <c r="K284" i="2"/>
  <c r="J285" i="2"/>
  <c r="K285" i="2"/>
  <c r="J286" i="2"/>
  <c r="K286" i="2"/>
  <c r="J287" i="2"/>
  <c r="K287" i="2"/>
  <c r="J288" i="2"/>
  <c r="K288" i="2"/>
  <c r="J289" i="2"/>
  <c r="K289" i="2"/>
  <c r="J290" i="2"/>
  <c r="K290" i="2"/>
  <c r="J291" i="2"/>
  <c r="K291" i="2"/>
  <c r="J292" i="2"/>
  <c r="K292" i="2"/>
  <c r="J293" i="2"/>
  <c r="K293" i="2"/>
  <c r="J294" i="2"/>
  <c r="K294" i="2"/>
  <c r="J295" i="2"/>
  <c r="K295" i="2"/>
  <c r="J296" i="2"/>
  <c r="K296" i="2"/>
  <c r="J297" i="2"/>
  <c r="K297" i="2"/>
  <c r="J298" i="2"/>
  <c r="K298" i="2"/>
  <c r="J299" i="2"/>
  <c r="K299" i="2"/>
  <c r="J300" i="2"/>
  <c r="K300" i="2"/>
  <c r="J301" i="2"/>
  <c r="K301" i="2"/>
  <c r="J302" i="2"/>
  <c r="K302" i="2"/>
  <c r="J303" i="2"/>
  <c r="K303" i="2"/>
  <c r="J304" i="2"/>
  <c r="K304" i="2"/>
  <c r="J305" i="2"/>
  <c r="K305" i="2"/>
  <c r="J306" i="2"/>
  <c r="K306" i="2"/>
  <c r="J307" i="2"/>
  <c r="K307" i="2"/>
  <c r="J308" i="2"/>
  <c r="K308" i="2"/>
  <c r="J309" i="2"/>
  <c r="K309" i="2"/>
  <c r="J310" i="2"/>
  <c r="K310" i="2"/>
  <c r="J311" i="2"/>
  <c r="K311" i="2"/>
  <c r="J312" i="2"/>
  <c r="K312" i="2"/>
  <c r="J313" i="2"/>
  <c r="K313" i="2"/>
  <c r="J314" i="2"/>
  <c r="K314" i="2"/>
  <c r="J315" i="2"/>
  <c r="K315" i="2"/>
  <c r="J316" i="2"/>
  <c r="K316" i="2"/>
  <c r="J317" i="2"/>
  <c r="K317" i="2"/>
  <c r="J318" i="2"/>
  <c r="K318" i="2"/>
  <c r="J319" i="2"/>
  <c r="K319" i="2"/>
  <c r="J320" i="2"/>
  <c r="K320" i="2"/>
  <c r="J321" i="2"/>
  <c r="K321" i="2"/>
  <c r="J322" i="2"/>
  <c r="K322" i="2"/>
  <c r="J323" i="2"/>
  <c r="K323" i="2"/>
  <c r="J324" i="2"/>
  <c r="K324" i="2"/>
  <c r="J325" i="2"/>
  <c r="K325" i="2"/>
  <c r="J326" i="2"/>
  <c r="K326" i="2"/>
  <c r="J327" i="2"/>
  <c r="K327" i="2"/>
  <c r="J328" i="2"/>
  <c r="K328" i="2"/>
  <c r="J329" i="2"/>
  <c r="K329" i="2"/>
  <c r="J330" i="2"/>
  <c r="K330" i="2"/>
  <c r="J331" i="2"/>
  <c r="K331" i="2"/>
  <c r="J332" i="2"/>
  <c r="K332" i="2"/>
  <c r="J333" i="2"/>
  <c r="K333" i="2"/>
  <c r="J334" i="2"/>
  <c r="K334" i="2"/>
  <c r="J335" i="2"/>
  <c r="K335" i="2"/>
  <c r="J336" i="2"/>
  <c r="K336" i="2"/>
  <c r="J337" i="2"/>
  <c r="K337" i="2"/>
  <c r="J338" i="2"/>
  <c r="K338" i="2"/>
  <c r="J339" i="2"/>
  <c r="K339" i="2"/>
  <c r="J340" i="2"/>
  <c r="K340" i="2"/>
  <c r="J341" i="2"/>
  <c r="K341" i="2"/>
  <c r="J342" i="2"/>
  <c r="K342" i="2"/>
  <c r="J343" i="2"/>
  <c r="K343" i="2"/>
  <c r="J344" i="2"/>
  <c r="K344" i="2"/>
  <c r="J345" i="2"/>
  <c r="K345" i="2"/>
  <c r="J346" i="2"/>
  <c r="K346" i="2"/>
  <c r="J347" i="2"/>
  <c r="K347" i="2"/>
  <c r="J348" i="2"/>
  <c r="K348" i="2"/>
  <c r="J349" i="2"/>
  <c r="K349" i="2"/>
  <c r="J350" i="2"/>
  <c r="K350" i="2"/>
  <c r="J351" i="2"/>
  <c r="K351" i="2"/>
  <c r="J352" i="2"/>
  <c r="K352" i="2"/>
  <c r="J353" i="2"/>
  <c r="K353" i="2"/>
  <c r="J354" i="2"/>
  <c r="K354" i="2"/>
  <c r="J355" i="2"/>
  <c r="K355" i="2"/>
  <c r="J356" i="2"/>
  <c r="K356" i="2"/>
  <c r="J357" i="2"/>
  <c r="K357" i="2"/>
  <c r="J358" i="2"/>
  <c r="K358" i="2"/>
  <c r="J359" i="2"/>
  <c r="K359" i="2"/>
  <c r="J360" i="2"/>
  <c r="K360" i="2"/>
  <c r="J361" i="2"/>
  <c r="K361" i="2"/>
  <c r="J362" i="2"/>
  <c r="K362" i="2"/>
  <c r="J363" i="2"/>
  <c r="K363" i="2"/>
  <c r="J364" i="2"/>
  <c r="K364" i="2"/>
  <c r="J365" i="2"/>
  <c r="K365" i="2"/>
  <c r="J366" i="2"/>
  <c r="K366" i="2"/>
  <c r="J367" i="2"/>
  <c r="K367" i="2"/>
  <c r="J368" i="2"/>
  <c r="K368" i="2"/>
  <c r="J369" i="2"/>
  <c r="K369" i="2"/>
  <c r="J370" i="2"/>
  <c r="K370" i="2"/>
  <c r="J371" i="2"/>
  <c r="K371" i="2"/>
  <c r="J372" i="2"/>
  <c r="K372" i="2"/>
  <c r="J373" i="2"/>
  <c r="K373" i="2"/>
  <c r="J374" i="2"/>
  <c r="K374" i="2"/>
  <c r="J375" i="2"/>
  <c r="K375" i="2"/>
  <c r="J376" i="2"/>
  <c r="K376" i="2"/>
  <c r="J377" i="2"/>
  <c r="K377" i="2"/>
  <c r="J378" i="2"/>
  <c r="K378" i="2"/>
  <c r="J379" i="2"/>
  <c r="K379" i="2"/>
  <c r="J380" i="2"/>
  <c r="K380" i="2"/>
  <c r="J381" i="2"/>
  <c r="K381" i="2"/>
  <c r="J382" i="2"/>
  <c r="K382" i="2"/>
  <c r="J383" i="2"/>
  <c r="K383" i="2"/>
  <c r="J384" i="2"/>
  <c r="K384" i="2"/>
  <c r="J385" i="2"/>
  <c r="K385" i="2"/>
  <c r="J386" i="2"/>
  <c r="K386" i="2"/>
  <c r="J387" i="2"/>
  <c r="K387" i="2"/>
  <c r="J388" i="2"/>
  <c r="K388" i="2"/>
  <c r="J389" i="2"/>
  <c r="K389" i="2"/>
  <c r="J390" i="2"/>
  <c r="K390" i="2"/>
  <c r="J391" i="2"/>
  <c r="K391" i="2"/>
  <c r="J392" i="2"/>
  <c r="K392" i="2"/>
  <c r="J393" i="2"/>
  <c r="K393" i="2"/>
  <c r="J394" i="2"/>
  <c r="K394" i="2"/>
  <c r="J395" i="2"/>
  <c r="K395" i="2"/>
  <c r="J396" i="2"/>
  <c r="K396" i="2"/>
  <c r="J397" i="2"/>
  <c r="K397" i="2"/>
  <c r="J398" i="2"/>
  <c r="K398" i="2"/>
  <c r="J399" i="2"/>
  <c r="K399" i="2"/>
  <c r="J400" i="2"/>
  <c r="K400" i="2"/>
  <c r="J401" i="2"/>
  <c r="K401" i="2"/>
  <c r="J402" i="2"/>
  <c r="K402" i="2"/>
  <c r="J403" i="2"/>
  <c r="K403" i="2"/>
  <c r="J404" i="2"/>
  <c r="K404" i="2"/>
  <c r="J405" i="2"/>
  <c r="K405" i="2"/>
  <c r="J406" i="2"/>
  <c r="K406" i="2"/>
  <c r="J407" i="2"/>
  <c r="K407" i="2"/>
  <c r="J408" i="2"/>
  <c r="K408" i="2"/>
  <c r="J409" i="2"/>
  <c r="K409" i="2"/>
  <c r="J410" i="2"/>
  <c r="K410" i="2"/>
  <c r="J411" i="2"/>
  <c r="K411" i="2"/>
  <c r="J412" i="2"/>
  <c r="K412" i="2"/>
  <c r="J413" i="2"/>
  <c r="K413" i="2"/>
  <c r="J414" i="2"/>
  <c r="K414" i="2"/>
  <c r="J415" i="2"/>
  <c r="K415" i="2"/>
  <c r="J416" i="2"/>
  <c r="K416" i="2"/>
  <c r="J417" i="2"/>
  <c r="K417" i="2"/>
  <c r="J418" i="2"/>
  <c r="K418" i="2"/>
  <c r="J419" i="2"/>
  <c r="K419" i="2"/>
  <c r="J420" i="2"/>
  <c r="K420" i="2"/>
  <c r="J421" i="2"/>
  <c r="K421" i="2"/>
  <c r="J422" i="2"/>
  <c r="K422" i="2"/>
  <c r="J423" i="2"/>
  <c r="K423" i="2"/>
  <c r="J424" i="2"/>
  <c r="K424" i="2"/>
  <c r="J425" i="2"/>
  <c r="K425" i="2"/>
  <c r="J426" i="2"/>
  <c r="K426" i="2"/>
  <c r="J427" i="2"/>
  <c r="K427" i="2"/>
  <c r="J428" i="2"/>
  <c r="K428" i="2"/>
  <c r="J429" i="2"/>
  <c r="K429" i="2"/>
  <c r="J430" i="2"/>
  <c r="K430" i="2"/>
  <c r="J431" i="2"/>
  <c r="K431" i="2"/>
  <c r="J432" i="2"/>
  <c r="K432" i="2"/>
  <c r="J433" i="2"/>
  <c r="K433" i="2"/>
  <c r="J434" i="2"/>
  <c r="K434" i="2"/>
  <c r="J435" i="2"/>
  <c r="K435" i="2"/>
  <c r="J436" i="2"/>
  <c r="K436" i="2"/>
  <c r="J437" i="2"/>
  <c r="K437" i="2"/>
  <c r="J438" i="2"/>
  <c r="K438" i="2"/>
  <c r="J439" i="2"/>
  <c r="K439" i="2"/>
  <c r="J440" i="2"/>
  <c r="K440" i="2"/>
  <c r="J441" i="2"/>
  <c r="K441" i="2"/>
  <c r="J442" i="2"/>
  <c r="K442" i="2"/>
  <c r="J443" i="2"/>
  <c r="K443" i="2"/>
  <c r="J444" i="2"/>
  <c r="K444" i="2"/>
  <c r="J445" i="2"/>
  <c r="K445" i="2"/>
  <c r="J446" i="2"/>
  <c r="K446" i="2"/>
  <c r="J447" i="2"/>
  <c r="K447" i="2"/>
  <c r="J448" i="2"/>
  <c r="K448" i="2"/>
  <c r="J449" i="2"/>
  <c r="K449" i="2"/>
  <c r="J450" i="2"/>
  <c r="K450" i="2"/>
  <c r="J451" i="2"/>
  <c r="K451" i="2"/>
  <c r="J452" i="2"/>
  <c r="K452" i="2"/>
  <c r="J453" i="2"/>
  <c r="K453" i="2"/>
  <c r="J454" i="2"/>
  <c r="K454" i="2"/>
  <c r="J455" i="2"/>
  <c r="K455" i="2"/>
  <c r="J456" i="2"/>
  <c r="K456" i="2"/>
  <c r="J457" i="2"/>
  <c r="K457" i="2"/>
  <c r="J458" i="2"/>
  <c r="K458" i="2"/>
  <c r="J459" i="2"/>
  <c r="K459" i="2"/>
  <c r="J460" i="2"/>
  <c r="K460" i="2"/>
  <c r="J461" i="2"/>
  <c r="K461" i="2"/>
  <c r="J462" i="2"/>
  <c r="K462" i="2"/>
  <c r="J463" i="2"/>
  <c r="K463" i="2"/>
  <c r="J464" i="2"/>
  <c r="K464" i="2"/>
  <c r="J465" i="2"/>
  <c r="K465" i="2"/>
  <c r="J466" i="2"/>
  <c r="K466" i="2"/>
  <c r="J467" i="2"/>
  <c r="K467" i="2"/>
  <c r="J468" i="2"/>
  <c r="K468" i="2"/>
  <c r="J469" i="2"/>
  <c r="K469" i="2"/>
  <c r="J470" i="2"/>
  <c r="K470" i="2"/>
  <c r="J471" i="2"/>
  <c r="K471" i="2"/>
  <c r="J472" i="2"/>
  <c r="K472" i="2"/>
  <c r="J473" i="2"/>
  <c r="K473" i="2"/>
  <c r="J474" i="2"/>
  <c r="K474" i="2"/>
  <c r="J475" i="2"/>
  <c r="K475" i="2"/>
  <c r="J476" i="2"/>
  <c r="K476" i="2"/>
  <c r="J477" i="2"/>
  <c r="K477" i="2"/>
  <c r="J478" i="2"/>
  <c r="K478" i="2"/>
  <c r="J479" i="2"/>
  <c r="K479" i="2"/>
  <c r="J480" i="2"/>
  <c r="K480" i="2"/>
  <c r="J481" i="2"/>
  <c r="K481" i="2"/>
  <c r="J482" i="2"/>
  <c r="K482" i="2"/>
  <c r="J483" i="2"/>
  <c r="K483" i="2"/>
  <c r="J484" i="2"/>
  <c r="K484" i="2"/>
  <c r="J485" i="2"/>
  <c r="K485" i="2"/>
  <c r="J486" i="2"/>
  <c r="K486" i="2"/>
  <c r="J487" i="2"/>
  <c r="K487" i="2"/>
  <c r="J488" i="2"/>
  <c r="K488" i="2"/>
  <c r="J489" i="2"/>
  <c r="K489" i="2"/>
  <c r="J490" i="2"/>
  <c r="K490" i="2"/>
  <c r="J491" i="2"/>
  <c r="K491" i="2"/>
  <c r="J492" i="2"/>
  <c r="K492" i="2"/>
  <c r="J493" i="2"/>
  <c r="K493" i="2"/>
  <c r="J494" i="2"/>
  <c r="K494" i="2"/>
  <c r="J495" i="2"/>
  <c r="K495" i="2"/>
  <c r="J496" i="2"/>
  <c r="K496" i="2"/>
  <c r="J497" i="2"/>
  <c r="K497" i="2"/>
  <c r="J498" i="2"/>
  <c r="K498" i="2"/>
  <c r="J499" i="2"/>
  <c r="K499" i="2"/>
  <c r="J500" i="2"/>
  <c r="K500" i="2"/>
  <c r="J501" i="2"/>
  <c r="K501" i="2"/>
  <c r="J502" i="2"/>
  <c r="K502" i="2"/>
  <c r="J503" i="2"/>
  <c r="K503" i="2"/>
  <c r="J504" i="2"/>
  <c r="K504" i="2"/>
  <c r="J505" i="2"/>
  <c r="K505" i="2"/>
  <c r="J506" i="2"/>
  <c r="K506" i="2"/>
  <c r="J507" i="2"/>
  <c r="K507" i="2"/>
  <c r="J508" i="2"/>
  <c r="K508" i="2"/>
  <c r="J509" i="2"/>
  <c r="K509" i="2"/>
  <c r="J510" i="2"/>
  <c r="K510" i="2"/>
  <c r="J511" i="2"/>
  <c r="K511" i="2"/>
  <c r="J512" i="2"/>
  <c r="K512" i="2"/>
  <c r="J513" i="2"/>
  <c r="K513" i="2"/>
  <c r="J514" i="2"/>
  <c r="K514" i="2"/>
  <c r="J515" i="2"/>
  <c r="K515" i="2"/>
  <c r="J516" i="2"/>
  <c r="K516" i="2"/>
  <c r="J517" i="2"/>
  <c r="K517" i="2"/>
  <c r="J518" i="2"/>
  <c r="K518" i="2"/>
  <c r="J519" i="2"/>
  <c r="K519" i="2"/>
  <c r="J520" i="2"/>
  <c r="K520" i="2"/>
  <c r="J521" i="2"/>
  <c r="K521" i="2"/>
  <c r="J522" i="2"/>
  <c r="K522" i="2"/>
  <c r="J523" i="2"/>
  <c r="K523" i="2"/>
  <c r="J524" i="2"/>
  <c r="K524" i="2"/>
  <c r="J525" i="2"/>
  <c r="K525" i="2"/>
  <c r="J526" i="2"/>
  <c r="K526" i="2"/>
  <c r="J527" i="2"/>
  <c r="K527" i="2"/>
  <c r="J528" i="2"/>
  <c r="K528" i="2"/>
  <c r="J529" i="2"/>
  <c r="K529" i="2"/>
  <c r="J530" i="2"/>
  <c r="K530" i="2"/>
  <c r="J531" i="2"/>
  <c r="K531" i="2"/>
  <c r="J532" i="2"/>
  <c r="K532" i="2"/>
  <c r="J533" i="2"/>
  <c r="K533" i="2"/>
  <c r="J534" i="2"/>
  <c r="K534" i="2"/>
  <c r="J535" i="2"/>
  <c r="K535" i="2"/>
  <c r="J536" i="2"/>
  <c r="K536" i="2"/>
  <c r="J537" i="2"/>
  <c r="K537" i="2"/>
  <c r="J538" i="2"/>
  <c r="K538" i="2"/>
  <c r="J539" i="2"/>
  <c r="K539" i="2"/>
  <c r="J540" i="2"/>
  <c r="K540" i="2"/>
  <c r="J541" i="2"/>
  <c r="K541" i="2"/>
  <c r="J542" i="2"/>
  <c r="K542" i="2"/>
  <c r="J543" i="2"/>
  <c r="K543" i="2"/>
  <c r="J544" i="2"/>
  <c r="K544" i="2"/>
  <c r="J545" i="2"/>
  <c r="K545" i="2"/>
  <c r="J546" i="2"/>
  <c r="K546" i="2"/>
  <c r="J547" i="2"/>
  <c r="K547" i="2"/>
  <c r="J548" i="2"/>
  <c r="K548" i="2"/>
  <c r="J549" i="2"/>
  <c r="K549" i="2"/>
  <c r="J550" i="2"/>
  <c r="K550" i="2"/>
  <c r="J551" i="2"/>
  <c r="K551" i="2"/>
  <c r="J552" i="2"/>
  <c r="K552" i="2"/>
  <c r="J553" i="2"/>
  <c r="K553" i="2"/>
  <c r="J554" i="2"/>
  <c r="K554" i="2"/>
  <c r="J555" i="2"/>
  <c r="K555" i="2"/>
  <c r="J556" i="2"/>
  <c r="K556" i="2"/>
  <c r="J557" i="2"/>
  <c r="K557" i="2"/>
  <c r="J558" i="2"/>
  <c r="K558" i="2"/>
  <c r="J559" i="2"/>
  <c r="K559" i="2"/>
  <c r="J560" i="2"/>
  <c r="K560" i="2"/>
  <c r="J561" i="2"/>
  <c r="K561" i="2"/>
  <c r="J562" i="2"/>
  <c r="K562" i="2"/>
  <c r="J563" i="2"/>
  <c r="K563" i="2"/>
  <c r="J564" i="2"/>
  <c r="K564" i="2"/>
  <c r="J565" i="2"/>
  <c r="K565" i="2"/>
  <c r="J566" i="2"/>
  <c r="K566" i="2"/>
  <c r="J567" i="2"/>
  <c r="K567" i="2"/>
  <c r="J568" i="2"/>
  <c r="K568" i="2"/>
  <c r="J569" i="2"/>
  <c r="K569" i="2"/>
  <c r="J570" i="2"/>
  <c r="K570" i="2"/>
  <c r="J571" i="2"/>
  <c r="K571" i="2"/>
  <c r="J572" i="2"/>
  <c r="K572" i="2"/>
  <c r="J573" i="2"/>
  <c r="K573" i="2"/>
  <c r="J574" i="2"/>
  <c r="K574" i="2"/>
  <c r="J575" i="2"/>
  <c r="K575" i="2"/>
  <c r="J576" i="2"/>
  <c r="K576" i="2"/>
  <c r="J577" i="2"/>
  <c r="K577" i="2"/>
  <c r="J578" i="2"/>
  <c r="K578" i="2"/>
  <c r="J579" i="2"/>
  <c r="K579" i="2"/>
  <c r="J580" i="2"/>
  <c r="K580" i="2"/>
  <c r="J581" i="2"/>
  <c r="K581" i="2"/>
  <c r="J582" i="2"/>
  <c r="K582" i="2"/>
  <c r="J583" i="2"/>
  <c r="K583" i="2"/>
  <c r="J584" i="2"/>
  <c r="K584" i="2"/>
  <c r="J585" i="2"/>
  <c r="K585" i="2"/>
  <c r="J586" i="2"/>
  <c r="K586" i="2"/>
  <c r="J587" i="2"/>
  <c r="K587" i="2"/>
  <c r="J588" i="2"/>
  <c r="K588" i="2"/>
  <c r="J589" i="2"/>
  <c r="K589" i="2"/>
  <c r="J590" i="2"/>
  <c r="K590" i="2"/>
  <c r="J591" i="2"/>
  <c r="K591" i="2"/>
  <c r="J592" i="2"/>
  <c r="K592" i="2"/>
  <c r="J593" i="2"/>
  <c r="K593" i="2"/>
  <c r="J594" i="2"/>
  <c r="K594" i="2"/>
  <c r="J595" i="2"/>
  <c r="K595" i="2"/>
  <c r="J596" i="2"/>
  <c r="K596" i="2"/>
  <c r="J597" i="2"/>
  <c r="K597" i="2"/>
  <c r="J598" i="2"/>
  <c r="K598" i="2"/>
  <c r="J599" i="2"/>
  <c r="K599" i="2"/>
  <c r="J600" i="2"/>
  <c r="K600" i="2"/>
  <c r="J601" i="2"/>
  <c r="K601" i="2"/>
  <c r="J602" i="2"/>
  <c r="K602" i="2"/>
  <c r="J603" i="2"/>
  <c r="K603" i="2"/>
  <c r="J604" i="2"/>
  <c r="K604" i="2"/>
  <c r="J605" i="2"/>
  <c r="K605" i="2"/>
  <c r="J606" i="2"/>
  <c r="K606" i="2"/>
  <c r="J607" i="2"/>
  <c r="K607" i="2"/>
  <c r="J608" i="2"/>
  <c r="K608" i="2"/>
  <c r="J609" i="2"/>
  <c r="K609" i="2"/>
  <c r="J610" i="2"/>
  <c r="K610" i="2"/>
  <c r="J611" i="2"/>
  <c r="K611" i="2"/>
  <c r="K4" i="2"/>
  <c r="J4" i="2"/>
  <c r="F3" i="8" l="1"/>
  <c r="A4" i="8" l="1"/>
  <c r="A4" i="1"/>
  <c r="A3" i="8"/>
  <c r="A3" i="1"/>
  <c r="B2" i="7" l="1"/>
  <c r="B5" i="7" l="1"/>
  <c r="C5" i="7"/>
  <c r="D5" i="7"/>
  <c r="B6" i="7"/>
  <c r="C6" i="7"/>
  <c r="D6" i="7"/>
  <c r="B7" i="7"/>
  <c r="C7" i="7"/>
  <c r="D7" i="7"/>
  <c r="B8" i="7"/>
  <c r="C8" i="7"/>
  <c r="D8" i="7"/>
  <c r="B9" i="7"/>
  <c r="C9" i="7"/>
  <c r="D9" i="7"/>
  <c r="B10" i="7"/>
  <c r="C10" i="7"/>
  <c r="D10" i="7"/>
  <c r="B11" i="7"/>
  <c r="C11" i="7"/>
  <c r="D11" i="7"/>
  <c r="B12" i="7"/>
  <c r="C12" i="7"/>
  <c r="D12" i="7"/>
  <c r="B13" i="7"/>
  <c r="C13" i="7"/>
  <c r="D13" i="7"/>
  <c r="B14" i="7"/>
  <c r="C14" i="7"/>
  <c r="D14" i="7"/>
  <c r="B15" i="7"/>
  <c r="C15" i="7"/>
  <c r="D15" i="7"/>
  <c r="B16" i="7"/>
  <c r="C16" i="7"/>
  <c r="D16" i="7"/>
  <c r="B17" i="7"/>
  <c r="C17" i="7"/>
  <c r="D17" i="7"/>
  <c r="B18" i="7"/>
  <c r="C18" i="7"/>
  <c r="D18" i="7"/>
  <c r="B19" i="7"/>
  <c r="C19" i="7"/>
  <c r="D19" i="7"/>
  <c r="B20" i="7"/>
  <c r="C20" i="7"/>
  <c r="D20" i="7"/>
  <c r="B21" i="7"/>
  <c r="C21" i="7"/>
  <c r="D21" i="7"/>
  <c r="B22" i="7"/>
  <c r="C22" i="7"/>
  <c r="D22" i="7"/>
  <c r="B23" i="7"/>
  <c r="C23" i="7"/>
  <c r="D23" i="7"/>
  <c r="B24" i="7"/>
  <c r="C24" i="7"/>
  <c r="D24" i="7"/>
  <c r="B25" i="7"/>
  <c r="C25" i="7"/>
  <c r="D25" i="7"/>
  <c r="B26" i="7"/>
  <c r="C26" i="7"/>
  <c r="D26" i="7"/>
  <c r="B27" i="7"/>
  <c r="C27" i="7"/>
  <c r="D27" i="7"/>
  <c r="B28" i="7"/>
  <c r="C28" i="7"/>
  <c r="D28" i="7"/>
  <c r="B29" i="7"/>
  <c r="C29" i="7"/>
  <c r="D29" i="7"/>
  <c r="B30" i="7"/>
  <c r="C30" i="7"/>
  <c r="D30" i="7"/>
  <c r="B31" i="7"/>
  <c r="C31" i="7"/>
  <c r="D31" i="7"/>
  <c r="B32" i="7"/>
  <c r="C32" i="7"/>
  <c r="D32" i="7"/>
  <c r="B33" i="7"/>
  <c r="C33" i="7"/>
  <c r="D33" i="7"/>
  <c r="B34" i="7"/>
  <c r="C34" i="7"/>
  <c r="D34" i="7"/>
  <c r="B35" i="7"/>
  <c r="C35" i="7"/>
  <c r="D35" i="7"/>
  <c r="B36" i="7"/>
  <c r="C36" i="7"/>
  <c r="D36" i="7"/>
  <c r="B37" i="7"/>
  <c r="C37" i="7"/>
  <c r="D37" i="7"/>
  <c r="B38" i="7"/>
  <c r="C38" i="7"/>
  <c r="D38" i="7"/>
  <c r="B39" i="7"/>
  <c r="C39" i="7"/>
  <c r="D39" i="7"/>
  <c r="B40" i="7"/>
  <c r="C40" i="7"/>
  <c r="D40" i="7"/>
  <c r="B41" i="7"/>
  <c r="C41" i="7"/>
  <c r="D41" i="7"/>
  <c r="B42" i="7"/>
  <c r="C42" i="7"/>
  <c r="D42" i="7"/>
  <c r="B43" i="7"/>
  <c r="C43" i="7"/>
  <c r="D43" i="7"/>
  <c r="B44" i="7"/>
  <c r="C44" i="7"/>
  <c r="D44" i="7"/>
  <c r="B45" i="7"/>
  <c r="C45" i="7"/>
  <c r="D45" i="7"/>
  <c r="B46" i="7"/>
  <c r="C46" i="7"/>
  <c r="D46" i="7"/>
  <c r="B47" i="7"/>
  <c r="C47" i="7"/>
  <c r="D47" i="7"/>
  <c r="B48" i="7"/>
  <c r="C48" i="7"/>
  <c r="D48" i="7"/>
  <c r="B49" i="7"/>
  <c r="C49" i="7"/>
  <c r="D49" i="7"/>
  <c r="B50" i="7"/>
  <c r="C50" i="7"/>
  <c r="D50" i="7"/>
  <c r="B51" i="7"/>
  <c r="C51" i="7"/>
  <c r="D51" i="7"/>
  <c r="B52" i="7"/>
  <c r="C52" i="7"/>
  <c r="D52" i="7"/>
  <c r="B53" i="7"/>
  <c r="C53" i="7"/>
  <c r="D53" i="7"/>
  <c r="B54" i="7"/>
  <c r="C54" i="7"/>
  <c r="D54" i="7"/>
  <c r="B55" i="7"/>
  <c r="C55" i="7"/>
  <c r="D55" i="7"/>
  <c r="B56" i="7"/>
  <c r="C56" i="7"/>
  <c r="D56" i="7"/>
  <c r="B57" i="7"/>
  <c r="C57" i="7"/>
  <c r="D57" i="7"/>
  <c r="B58" i="7"/>
  <c r="C58" i="7"/>
  <c r="D58" i="7"/>
  <c r="B59" i="7"/>
  <c r="C59" i="7"/>
  <c r="D59" i="7"/>
  <c r="B60" i="7"/>
  <c r="C60" i="7"/>
  <c r="D60" i="7"/>
  <c r="B61" i="7"/>
  <c r="C61" i="7"/>
  <c r="D61" i="7"/>
  <c r="B62" i="7"/>
  <c r="C62" i="7"/>
  <c r="D62" i="7"/>
  <c r="B63" i="7"/>
  <c r="C63" i="7"/>
  <c r="D63" i="7"/>
  <c r="B64" i="7"/>
  <c r="C64" i="7"/>
  <c r="D64" i="7"/>
  <c r="B65" i="7"/>
  <c r="C65" i="7"/>
  <c r="D65" i="7"/>
  <c r="B66" i="7"/>
  <c r="C66" i="7"/>
  <c r="D66" i="7"/>
  <c r="B67" i="7"/>
  <c r="C67" i="7"/>
  <c r="D67" i="7"/>
  <c r="B68" i="7"/>
  <c r="C68" i="7"/>
  <c r="D68" i="7"/>
  <c r="B69" i="7"/>
  <c r="C69" i="7"/>
  <c r="D69" i="7"/>
  <c r="B70" i="7"/>
  <c r="C70" i="7"/>
  <c r="D70" i="7"/>
  <c r="B71" i="7"/>
  <c r="C71" i="7"/>
  <c r="D71" i="7"/>
  <c r="B72" i="7"/>
  <c r="C72" i="7"/>
  <c r="D72" i="7"/>
  <c r="B73" i="7"/>
  <c r="C73" i="7"/>
  <c r="D73" i="7"/>
  <c r="B74" i="7"/>
  <c r="C74" i="7"/>
  <c r="D74" i="7"/>
  <c r="B75" i="7"/>
  <c r="C75" i="7"/>
  <c r="D75" i="7"/>
  <c r="B76" i="7"/>
  <c r="C76" i="7"/>
  <c r="D76" i="7"/>
  <c r="B77" i="7"/>
  <c r="C77" i="7"/>
  <c r="D77" i="7"/>
  <c r="B78" i="7"/>
  <c r="C78" i="7"/>
  <c r="D78" i="7"/>
  <c r="B79" i="7"/>
  <c r="C79" i="7"/>
  <c r="D79" i="7"/>
  <c r="B80" i="7"/>
  <c r="C80" i="7"/>
  <c r="D80" i="7"/>
  <c r="B81" i="7"/>
  <c r="C81" i="7"/>
  <c r="D81" i="7"/>
  <c r="B82" i="7"/>
  <c r="C82" i="7"/>
  <c r="D82" i="7"/>
  <c r="B83" i="7"/>
  <c r="C83" i="7"/>
  <c r="D83" i="7"/>
  <c r="B84" i="7"/>
  <c r="C84" i="7"/>
  <c r="D84" i="7"/>
  <c r="B85" i="7"/>
  <c r="C85" i="7"/>
  <c r="D85" i="7"/>
  <c r="B86" i="7"/>
  <c r="C86" i="7"/>
  <c r="D86" i="7"/>
  <c r="B87" i="7"/>
  <c r="C87" i="7"/>
  <c r="D87" i="7"/>
  <c r="B88" i="7"/>
  <c r="C88" i="7"/>
  <c r="D88" i="7"/>
  <c r="B89" i="7"/>
  <c r="C89" i="7"/>
  <c r="D89" i="7"/>
  <c r="B90" i="7"/>
  <c r="C90" i="7"/>
  <c r="D90" i="7"/>
  <c r="B91" i="7"/>
  <c r="C91" i="7"/>
  <c r="D91" i="7"/>
  <c r="B92" i="7"/>
  <c r="C92" i="7"/>
  <c r="D92" i="7"/>
  <c r="B93" i="7"/>
  <c r="C93" i="7"/>
  <c r="D93" i="7"/>
  <c r="B94" i="7"/>
  <c r="C94" i="7"/>
  <c r="D94" i="7"/>
  <c r="B95" i="7"/>
  <c r="C95" i="7"/>
  <c r="D95" i="7"/>
  <c r="B96" i="7"/>
  <c r="C96" i="7"/>
  <c r="D96" i="7"/>
  <c r="B97" i="7"/>
  <c r="C97" i="7"/>
  <c r="D97" i="7"/>
  <c r="B98" i="7"/>
  <c r="C98" i="7"/>
  <c r="D98" i="7"/>
  <c r="B99" i="7"/>
  <c r="C99" i="7"/>
  <c r="D99" i="7"/>
  <c r="B100" i="7"/>
  <c r="C100" i="7"/>
  <c r="D100" i="7"/>
  <c r="B101" i="7"/>
  <c r="C101" i="7"/>
  <c r="D101" i="7"/>
  <c r="B102" i="7"/>
  <c r="C102" i="7"/>
  <c r="D102" i="7"/>
  <c r="B103" i="7"/>
  <c r="C103" i="7"/>
  <c r="D103" i="7"/>
  <c r="B104" i="7"/>
  <c r="C104" i="7"/>
  <c r="D104" i="7"/>
  <c r="B105" i="7"/>
  <c r="C105" i="7"/>
  <c r="D105" i="7"/>
  <c r="B106" i="7"/>
  <c r="C106" i="7"/>
  <c r="D106" i="7"/>
  <c r="B107" i="7"/>
  <c r="C107" i="7"/>
  <c r="D107" i="7"/>
  <c r="B108" i="7"/>
  <c r="C108" i="7"/>
  <c r="D108" i="7"/>
  <c r="B109" i="7"/>
  <c r="C109" i="7"/>
  <c r="D109" i="7"/>
  <c r="B110" i="7"/>
  <c r="C110" i="7"/>
  <c r="D110" i="7"/>
  <c r="B111" i="7"/>
  <c r="C111" i="7"/>
  <c r="D111" i="7"/>
  <c r="B112" i="7"/>
  <c r="C112" i="7"/>
  <c r="D112" i="7"/>
  <c r="B113" i="7"/>
  <c r="C113" i="7"/>
  <c r="D113" i="7"/>
  <c r="B114" i="7"/>
  <c r="C114" i="7"/>
  <c r="D114" i="7"/>
  <c r="B115" i="7"/>
  <c r="C115" i="7"/>
  <c r="D115" i="7"/>
  <c r="B116" i="7"/>
  <c r="C116" i="7"/>
  <c r="D116" i="7"/>
  <c r="B117" i="7"/>
  <c r="C117" i="7"/>
  <c r="D117" i="7"/>
  <c r="B118" i="7"/>
  <c r="C118" i="7"/>
  <c r="D118" i="7"/>
  <c r="B119" i="7"/>
  <c r="C119" i="7"/>
  <c r="D119" i="7"/>
  <c r="B120" i="7"/>
  <c r="C120" i="7"/>
  <c r="D120" i="7"/>
  <c r="B121" i="7"/>
  <c r="C121" i="7"/>
  <c r="D121" i="7"/>
  <c r="B122" i="7"/>
  <c r="C122" i="7"/>
  <c r="D122" i="7"/>
  <c r="B123" i="7"/>
  <c r="C123" i="7"/>
  <c r="D123" i="7"/>
  <c r="B124" i="7"/>
  <c r="C124" i="7"/>
  <c r="D124" i="7"/>
  <c r="B125" i="7"/>
  <c r="C125" i="7"/>
  <c r="D125" i="7"/>
  <c r="B126" i="7"/>
  <c r="C126" i="7"/>
  <c r="D126" i="7"/>
  <c r="B127" i="7"/>
  <c r="C127" i="7"/>
  <c r="D127" i="7"/>
  <c r="B128" i="7"/>
  <c r="C128" i="7"/>
  <c r="D128" i="7"/>
  <c r="B129" i="7"/>
  <c r="C129" i="7"/>
  <c r="D129" i="7"/>
  <c r="B130" i="7"/>
  <c r="C130" i="7"/>
  <c r="D130" i="7"/>
  <c r="B131" i="7"/>
  <c r="C131" i="7"/>
  <c r="D131" i="7"/>
  <c r="B132" i="7"/>
  <c r="C132" i="7"/>
  <c r="D132" i="7"/>
  <c r="B133" i="7"/>
  <c r="C133" i="7"/>
  <c r="D133" i="7"/>
  <c r="B134" i="7"/>
  <c r="C134" i="7"/>
  <c r="D134" i="7"/>
  <c r="B135" i="7"/>
  <c r="C135" i="7"/>
  <c r="D135" i="7"/>
  <c r="B136" i="7"/>
  <c r="C136" i="7"/>
  <c r="D136" i="7"/>
  <c r="B137" i="7"/>
  <c r="C137" i="7"/>
  <c r="D137" i="7"/>
  <c r="B138" i="7"/>
  <c r="C138" i="7"/>
  <c r="D138" i="7"/>
  <c r="B139" i="7"/>
  <c r="C139" i="7"/>
  <c r="D139" i="7"/>
  <c r="B140" i="7"/>
  <c r="C140" i="7"/>
  <c r="D140" i="7"/>
  <c r="B141" i="7"/>
  <c r="C141" i="7"/>
  <c r="D141" i="7"/>
  <c r="B142" i="7"/>
  <c r="C142" i="7"/>
  <c r="D142" i="7"/>
  <c r="B143" i="7"/>
  <c r="C143" i="7"/>
  <c r="D143" i="7"/>
  <c r="B144" i="7"/>
  <c r="C144" i="7"/>
  <c r="D144" i="7"/>
  <c r="B145" i="7"/>
  <c r="C145" i="7"/>
  <c r="D145" i="7"/>
  <c r="B146" i="7"/>
  <c r="C146" i="7"/>
  <c r="D146" i="7"/>
  <c r="B147" i="7"/>
  <c r="C147" i="7"/>
  <c r="D147" i="7"/>
  <c r="B148" i="7"/>
  <c r="C148" i="7"/>
  <c r="D148" i="7"/>
  <c r="B149" i="7"/>
  <c r="C149" i="7"/>
  <c r="D149" i="7"/>
  <c r="B150" i="7"/>
  <c r="C150" i="7"/>
  <c r="D150" i="7"/>
  <c r="B151" i="7"/>
  <c r="C151" i="7"/>
  <c r="D151" i="7"/>
  <c r="B152" i="7"/>
  <c r="C152" i="7"/>
  <c r="D152" i="7"/>
  <c r="B153" i="7"/>
  <c r="C153" i="7"/>
  <c r="D153" i="7"/>
  <c r="B154" i="7"/>
  <c r="C154" i="7"/>
  <c r="D154" i="7"/>
  <c r="B155" i="7"/>
  <c r="C155" i="7"/>
  <c r="D155" i="7"/>
  <c r="B156" i="7"/>
  <c r="C156" i="7"/>
  <c r="D156" i="7"/>
  <c r="B157" i="7"/>
  <c r="C157" i="7"/>
  <c r="D157" i="7"/>
  <c r="B158" i="7"/>
  <c r="C158" i="7"/>
  <c r="D158" i="7"/>
  <c r="B159" i="7"/>
  <c r="C159" i="7"/>
  <c r="D159" i="7"/>
  <c r="B160" i="7"/>
  <c r="C160" i="7"/>
  <c r="D160" i="7"/>
  <c r="B161" i="7"/>
  <c r="C161" i="7"/>
  <c r="D161" i="7"/>
  <c r="B162" i="7"/>
  <c r="C162" i="7"/>
  <c r="D162" i="7"/>
  <c r="B163" i="7"/>
  <c r="C163" i="7"/>
  <c r="D163" i="7"/>
  <c r="B164" i="7"/>
  <c r="C164" i="7"/>
  <c r="D164" i="7"/>
  <c r="B165" i="7"/>
  <c r="C165" i="7"/>
  <c r="D165" i="7"/>
  <c r="B166" i="7"/>
  <c r="C166" i="7"/>
  <c r="D166" i="7"/>
  <c r="B167" i="7"/>
  <c r="C167" i="7"/>
  <c r="D167" i="7"/>
  <c r="B168" i="7"/>
  <c r="C168" i="7"/>
  <c r="D168" i="7"/>
  <c r="B169" i="7"/>
  <c r="C169" i="7"/>
  <c r="D169" i="7"/>
  <c r="B170" i="7"/>
  <c r="C170" i="7"/>
  <c r="D170" i="7"/>
  <c r="B171" i="7"/>
  <c r="C171" i="7"/>
  <c r="D171" i="7"/>
  <c r="B172" i="7"/>
  <c r="C172" i="7"/>
  <c r="D172" i="7"/>
  <c r="B173" i="7"/>
  <c r="C173" i="7"/>
  <c r="D173" i="7"/>
  <c r="B174" i="7"/>
  <c r="C174" i="7"/>
  <c r="D174" i="7"/>
  <c r="B175" i="7"/>
  <c r="C175" i="7"/>
  <c r="D175" i="7"/>
  <c r="B176" i="7"/>
  <c r="C176" i="7"/>
  <c r="D176" i="7"/>
  <c r="B177" i="7"/>
  <c r="C177" i="7"/>
  <c r="D177" i="7"/>
  <c r="B178" i="7"/>
  <c r="C178" i="7"/>
  <c r="D178" i="7"/>
  <c r="B179" i="7"/>
  <c r="C179" i="7"/>
  <c r="D179" i="7"/>
  <c r="B180" i="7"/>
  <c r="C180" i="7"/>
  <c r="D180" i="7"/>
  <c r="B181" i="7"/>
  <c r="C181" i="7"/>
  <c r="D181" i="7"/>
  <c r="B182" i="7"/>
  <c r="C182" i="7"/>
  <c r="D182" i="7"/>
  <c r="B183" i="7"/>
  <c r="C183" i="7"/>
  <c r="D183" i="7"/>
  <c r="B184" i="7"/>
  <c r="C184" i="7"/>
  <c r="D184" i="7"/>
  <c r="B185" i="7"/>
  <c r="C185" i="7"/>
  <c r="D185" i="7"/>
  <c r="B186" i="7"/>
  <c r="C186" i="7"/>
  <c r="D186" i="7"/>
  <c r="B187" i="7"/>
  <c r="C187" i="7"/>
  <c r="D187" i="7"/>
  <c r="B188" i="7"/>
  <c r="C188" i="7"/>
  <c r="D188" i="7"/>
  <c r="B189" i="7"/>
  <c r="C189" i="7"/>
  <c r="D189" i="7"/>
  <c r="B190" i="7"/>
  <c r="C190" i="7"/>
  <c r="D190" i="7"/>
  <c r="B191" i="7"/>
  <c r="C191" i="7"/>
  <c r="D191" i="7"/>
  <c r="B192" i="7"/>
  <c r="C192" i="7"/>
  <c r="D192" i="7"/>
  <c r="B193" i="7"/>
  <c r="C193" i="7"/>
  <c r="D193" i="7"/>
  <c r="B194" i="7"/>
  <c r="C194" i="7"/>
  <c r="D194" i="7"/>
  <c r="B195" i="7"/>
  <c r="C195" i="7"/>
  <c r="D195" i="7"/>
  <c r="B196" i="7"/>
  <c r="C196" i="7"/>
  <c r="D196" i="7"/>
  <c r="B197" i="7"/>
  <c r="C197" i="7"/>
  <c r="D197" i="7"/>
  <c r="B198" i="7"/>
  <c r="C198" i="7"/>
  <c r="D198" i="7"/>
  <c r="B199" i="7"/>
  <c r="C199" i="7"/>
  <c r="D199" i="7"/>
  <c r="B200" i="7"/>
  <c r="C200" i="7"/>
  <c r="D200" i="7"/>
  <c r="B201" i="7"/>
  <c r="C201" i="7"/>
  <c r="D201" i="7"/>
  <c r="B202" i="7"/>
  <c r="C202" i="7"/>
  <c r="D202" i="7"/>
  <c r="B203" i="7"/>
  <c r="C203" i="7"/>
  <c r="D203" i="7"/>
  <c r="B204" i="7"/>
  <c r="C204" i="7"/>
  <c r="D204" i="7"/>
  <c r="B205" i="7"/>
  <c r="C205" i="7"/>
  <c r="D205" i="7"/>
  <c r="B206" i="7"/>
  <c r="C206" i="7"/>
  <c r="D206" i="7"/>
  <c r="B207" i="7"/>
  <c r="C207" i="7"/>
  <c r="D207" i="7"/>
  <c r="B208" i="7"/>
  <c r="C208" i="7"/>
  <c r="D208" i="7"/>
  <c r="B209" i="7"/>
  <c r="C209" i="7"/>
  <c r="D209" i="7"/>
  <c r="B210" i="7"/>
  <c r="C210" i="7"/>
  <c r="D210" i="7"/>
  <c r="B211" i="7"/>
  <c r="C211" i="7"/>
  <c r="D211" i="7"/>
  <c r="B212" i="7"/>
  <c r="C212" i="7"/>
  <c r="D212" i="7"/>
  <c r="B213" i="7"/>
  <c r="C213" i="7"/>
  <c r="D213" i="7"/>
  <c r="B214" i="7"/>
  <c r="C214" i="7"/>
  <c r="D214" i="7"/>
  <c r="B215" i="7"/>
  <c r="C215" i="7"/>
  <c r="D215" i="7"/>
  <c r="B216" i="7"/>
  <c r="C216" i="7"/>
  <c r="D216" i="7"/>
  <c r="B217" i="7"/>
  <c r="C217" i="7"/>
  <c r="D217" i="7"/>
  <c r="B218" i="7"/>
  <c r="C218" i="7"/>
  <c r="D218" i="7"/>
  <c r="B219" i="7"/>
  <c r="C219" i="7"/>
  <c r="D219" i="7"/>
  <c r="B220" i="7"/>
  <c r="C220" i="7"/>
  <c r="D220" i="7"/>
  <c r="B221" i="7"/>
  <c r="C221" i="7"/>
  <c r="D221" i="7"/>
  <c r="B222" i="7"/>
  <c r="C222" i="7"/>
  <c r="D222" i="7"/>
  <c r="B223" i="7"/>
  <c r="C223" i="7"/>
  <c r="D223" i="7"/>
  <c r="B224" i="7"/>
  <c r="C224" i="7"/>
  <c r="D224" i="7"/>
  <c r="B225" i="7"/>
  <c r="C225" i="7"/>
  <c r="D225" i="7"/>
  <c r="B226" i="7"/>
  <c r="C226" i="7"/>
  <c r="D226" i="7"/>
  <c r="B227" i="7"/>
  <c r="C227" i="7"/>
  <c r="D227" i="7"/>
  <c r="B228" i="7"/>
  <c r="C228" i="7"/>
  <c r="D228" i="7"/>
  <c r="B229" i="7"/>
  <c r="C229" i="7"/>
  <c r="D229" i="7"/>
  <c r="B230" i="7"/>
  <c r="C230" i="7"/>
  <c r="D230" i="7"/>
  <c r="B231" i="7"/>
  <c r="C231" i="7"/>
  <c r="D231" i="7"/>
  <c r="B232" i="7"/>
  <c r="C232" i="7"/>
  <c r="D232" i="7"/>
  <c r="B233" i="7"/>
  <c r="C233" i="7"/>
  <c r="D233" i="7"/>
  <c r="B234" i="7"/>
  <c r="C234" i="7"/>
  <c r="D234" i="7"/>
  <c r="B235" i="7"/>
  <c r="C235" i="7"/>
  <c r="D235" i="7"/>
  <c r="B236" i="7"/>
  <c r="C236" i="7"/>
  <c r="D236" i="7"/>
  <c r="B237" i="7"/>
  <c r="C237" i="7"/>
  <c r="D237" i="7"/>
  <c r="B238" i="7"/>
  <c r="C238" i="7"/>
  <c r="D238" i="7"/>
  <c r="B239" i="7"/>
  <c r="C239" i="7"/>
  <c r="D239" i="7"/>
  <c r="B240" i="7"/>
  <c r="C240" i="7"/>
  <c r="D240" i="7"/>
  <c r="B241" i="7"/>
  <c r="C241" i="7"/>
  <c r="D241" i="7"/>
  <c r="B242" i="7"/>
  <c r="C242" i="7"/>
  <c r="D242" i="7"/>
  <c r="B243" i="7"/>
  <c r="C243" i="7"/>
  <c r="D243" i="7"/>
  <c r="B244" i="7"/>
  <c r="C244" i="7"/>
  <c r="D244" i="7"/>
  <c r="B245" i="7"/>
  <c r="C245" i="7"/>
  <c r="D245" i="7"/>
  <c r="B246" i="7"/>
  <c r="C246" i="7"/>
  <c r="D246" i="7"/>
  <c r="B247" i="7"/>
  <c r="C247" i="7"/>
  <c r="D247" i="7"/>
  <c r="B248" i="7"/>
  <c r="C248" i="7"/>
  <c r="D248" i="7"/>
  <c r="B249" i="7"/>
  <c r="C249" i="7"/>
  <c r="D249" i="7"/>
  <c r="B250" i="7"/>
  <c r="C250" i="7"/>
  <c r="D250" i="7"/>
  <c r="B251" i="7"/>
  <c r="C251" i="7"/>
  <c r="D251" i="7"/>
  <c r="B252" i="7"/>
  <c r="C252" i="7"/>
  <c r="D252" i="7"/>
  <c r="B253" i="7"/>
  <c r="C253" i="7"/>
  <c r="D253" i="7"/>
  <c r="B254" i="7"/>
  <c r="C254" i="7"/>
  <c r="D254" i="7"/>
  <c r="B255" i="7"/>
  <c r="C255" i="7"/>
  <c r="D255" i="7"/>
  <c r="B256" i="7"/>
  <c r="C256" i="7"/>
  <c r="D256" i="7"/>
  <c r="B257" i="7"/>
  <c r="C257" i="7"/>
  <c r="D257" i="7"/>
  <c r="B258" i="7"/>
  <c r="C258" i="7"/>
  <c r="D258" i="7"/>
  <c r="B259" i="7"/>
  <c r="C259" i="7"/>
  <c r="D259" i="7"/>
  <c r="B260" i="7"/>
  <c r="C260" i="7"/>
  <c r="D260" i="7"/>
  <c r="B261" i="7"/>
  <c r="C261" i="7"/>
  <c r="D261" i="7"/>
  <c r="B262" i="7"/>
  <c r="C262" i="7"/>
  <c r="D262" i="7"/>
  <c r="B263" i="7"/>
  <c r="C263" i="7"/>
  <c r="D263" i="7"/>
  <c r="B264" i="7"/>
  <c r="C264" i="7"/>
  <c r="D264" i="7"/>
  <c r="B265" i="7"/>
  <c r="C265" i="7"/>
  <c r="D265" i="7"/>
  <c r="B266" i="7"/>
  <c r="C266" i="7"/>
  <c r="D266" i="7"/>
  <c r="B267" i="7"/>
  <c r="C267" i="7"/>
  <c r="D267" i="7"/>
  <c r="B268" i="7"/>
  <c r="C268" i="7"/>
  <c r="D268" i="7"/>
  <c r="B269" i="7"/>
  <c r="C269" i="7"/>
  <c r="D269" i="7"/>
  <c r="B270" i="7"/>
  <c r="C270" i="7"/>
  <c r="D270" i="7"/>
  <c r="B271" i="7"/>
  <c r="C271" i="7"/>
  <c r="D271" i="7"/>
  <c r="B272" i="7"/>
  <c r="C272" i="7"/>
  <c r="D272" i="7"/>
  <c r="B273" i="7"/>
  <c r="C273" i="7"/>
  <c r="D273" i="7"/>
  <c r="B274" i="7"/>
  <c r="C274" i="7"/>
  <c r="D274" i="7"/>
  <c r="B275" i="7"/>
  <c r="C275" i="7"/>
  <c r="D275" i="7"/>
  <c r="B276" i="7"/>
  <c r="C276" i="7"/>
  <c r="D276" i="7"/>
  <c r="B277" i="7"/>
  <c r="C277" i="7"/>
  <c r="D277" i="7"/>
  <c r="B278" i="7"/>
  <c r="C278" i="7"/>
  <c r="D278" i="7"/>
  <c r="B279" i="7"/>
  <c r="C279" i="7"/>
  <c r="D279" i="7"/>
  <c r="B280" i="7"/>
  <c r="C280" i="7"/>
  <c r="D280" i="7"/>
  <c r="B281" i="7"/>
  <c r="C281" i="7"/>
  <c r="D281" i="7"/>
  <c r="B282" i="7"/>
  <c r="C282" i="7"/>
  <c r="D282" i="7"/>
  <c r="B283" i="7"/>
  <c r="C283" i="7"/>
  <c r="D283" i="7"/>
  <c r="B284" i="7"/>
  <c r="C284" i="7"/>
  <c r="D284" i="7"/>
  <c r="B285" i="7"/>
  <c r="C285" i="7"/>
  <c r="D285" i="7"/>
  <c r="B286" i="7"/>
  <c r="C286" i="7"/>
  <c r="D286" i="7"/>
  <c r="B287" i="7"/>
  <c r="C287" i="7"/>
  <c r="D287" i="7"/>
  <c r="B288" i="7"/>
  <c r="C288" i="7"/>
  <c r="D288" i="7"/>
  <c r="B289" i="7"/>
  <c r="C289" i="7"/>
  <c r="D289" i="7"/>
  <c r="B290" i="7"/>
  <c r="C290" i="7"/>
  <c r="D290" i="7"/>
  <c r="B291" i="7"/>
  <c r="C291" i="7"/>
  <c r="D291" i="7"/>
  <c r="B292" i="7"/>
  <c r="C292" i="7"/>
  <c r="D292" i="7"/>
  <c r="B293" i="7"/>
  <c r="C293" i="7"/>
  <c r="D293" i="7"/>
  <c r="B294" i="7"/>
  <c r="C294" i="7"/>
  <c r="D294" i="7"/>
  <c r="B295" i="7"/>
  <c r="C295" i="7"/>
  <c r="D295" i="7"/>
  <c r="B296" i="7"/>
  <c r="C296" i="7"/>
  <c r="D296" i="7"/>
  <c r="B297" i="7"/>
  <c r="C297" i="7"/>
  <c r="D297" i="7"/>
  <c r="B298" i="7"/>
  <c r="C298" i="7"/>
  <c r="D298" i="7"/>
  <c r="B299" i="7"/>
  <c r="C299" i="7"/>
  <c r="D299" i="7"/>
  <c r="B300" i="7"/>
  <c r="C300" i="7"/>
  <c r="D300" i="7"/>
  <c r="B301" i="7"/>
  <c r="C301" i="7"/>
  <c r="D301" i="7"/>
  <c r="B302" i="7"/>
  <c r="C302" i="7"/>
  <c r="D302" i="7"/>
  <c r="B303" i="7"/>
  <c r="C303" i="7"/>
  <c r="D303" i="7"/>
  <c r="B304" i="7"/>
  <c r="C304" i="7"/>
  <c r="D304" i="7"/>
  <c r="B305" i="7"/>
  <c r="C305" i="7"/>
  <c r="D305" i="7"/>
  <c r="B306" i="7"/>
  <c r="C306" i="7"/>
  <c r="D306" i="7"/>
  <c r="B307" i="7"/>
  <c r="C307" i="7"/>
  <c r="D307" i="7"/>
  <c r="B308" i="7"/>
  <c r="C308" i="7"/>
  <c r="D308" i="7"/>
  <c r="B309" i="7"/>
  <c r="C309" i="7"/>
  <c r="D309" i="7"/>
  <c r="B310" i="7"/>
  <c r="C310" i="7"/>
  <c r="D310" i="7"/>
  <c r="B311" i="7"/>
  <c r="C311" i="7"/>
  <c r="D311" i="7"/>
  <c r="B312" i="7"/>
  <c r="C312" i="7"/>
  <c r="D312" i="7"/>
  <c r="B313" i="7"/>
  <c r="C313" i="7"/>
  <c r="D313" i="7"/>
  <c r="B314" i="7"/>
  <c r="C314" i="7"/>
  <c r="D314" i="7"/>
  <c r="B315" i="7"/>
  <c r="C315" i="7"/>
  <c r="D315" i="7"/>
  <c r="B316" i="7"/>
  <c r="C316" i="7"/>
  <c r="D316" i="7"/>
  <c r="B317" i="7"/>
  <c r="C317" i="7"/>
  <c r="D317" i="7"/>
  <c r="B318" i="7"/>
  <c r="C318" i="7"/>
  <c r="D318" i="7"/>
  <c r="B319" i="7"/>
  <c r="C319" i="7"/>
  <c r="D319" i="7"/>
  <c r="B320" i="7"/>
  <c r="C320" i="7"/>
  <c r="D320" i="7"/>
  <c r="B321" i="7"/>
  <c r="C321" i="7"/>
  <c r="D321" i="7"/>
  <c r="B322" i="7"/>
  <c r="C322" i="7"/>
  <c r="D322" i="7"/>
  <c r="B323" i="7"/>
  <c r="C323" i="7"/>
  <c r="D323" i="7"/>
  <c r="B324" i="7"/>
  <c r="C324" i="7"/>
  <c r="D324" i="7"/>
  <c r="B325" i="7"/>
  <c r="C325" i="7"/>
  <c r="D325" i="7"/>
  <c r="B326" i="7"/>
  <c r="C326" i="7"/>
  <c r="D326" i="7"/>
  <c r="B327" i="7"/>
  <c r="C327" i="7"/>
  <c r="D327" i="7"/>
  <c r="B328" i="7"/>
  <c r="C328" i="7"/>
  <c r="D328" i="7"/>
  <c r="B329" i="7"/>
  <c r="C329" i="7"/>
  <c r="D329" i="7"/>
  <c r="B330" i="7"/>
  <c r="C330" i="7"/>
  <c r="D330" i="7"/>
  <c r="B331" i="7"/>
  <c r="C331" i="7"/>
  <c r="D331" i="7"/>
  <c r="B332" i="7"/>
  <c r="C332" i="7"/>
  <c r="D332" i="7"/>
  <c r="B333" i="7"/>
  <c r="C333" i="7"/>
  <c r="D333" i="7"/>
  <c r="B334" i="7"/>
  <c r="C334" i="7"/>
  <c r="D334" i="7"/>
  <c r="B335" i="7"/>
  <c r="C335" i="7"/>
  <c r="D335" i="7"/>
  <c r="B336" i="7"/>
  <c r="C336" i="7"/>
  <c r="D336" i="7"/>
  <c r="B337" i="7"/>
  <c r="C337" i="7"/>
  <c r="D337" i="7"/>
  <c r="B338" i="7"/>
  <c r="C338" i="7"/>
  <c r="D338" i="7"/>
  <c r="B339" i="7"/>
  <c r="C339" i="7"/>
  <c r="D339" i="7"/>
  <c r="B340" i="7"/>
  <c r="C340" i="7"/>
  <c r="D340" i="7"/>
  <c r="B341" i="7"/>
  <c r="C341" i="7"/>
  <c r="D341" i="7"/>
  <c r="B342" i="7"/>
  <c r="C342" i="7"/>
  <c r="D342" i="7"/>
  <c r="B343" i="7"/>
  <c r="C343" i="7"/>
  <c r="D343" i="7"/>
  <c r="B344" i="7"/>
  <c r="C344" i="7"/>
  <c r="D344" i="7"/>
  <c r="B345" i="7"/>
  <c r="C345" i="7"/>
  <c r="D345" i="7"/>
  <c r="B346" i="7"/>
  <c r="C346" i="7"/>
  <c r="D346" i="7"/>
  <c r="B347" i="7"/>
  <c r="C347" i="7"/>
  <c r="D347" i="7"/>
  <c r="B348" i="7"/>
  <c r="C348" i="7"/>
  <c r="D348" i="7"/>
  <c r="B349" i="7"/>
  <c r="C349" i="7"/>
  <c r="D349" i="7"/>
  <c r="B350" i="7"/>
  <c r="C350" i="7"/>
  <c r="D350" i="7"/>
  <c r="B351" i="7"/>
  <c r="C351" i="7"/>
  <c r="D351" i="7"/>
  <c r="B352" i="7"/>
  <c r="C352" i="7"/>
  <c r="D352" i="7"/>
  <c r="B353" i="7"/>
  <c r="C353" i="7"/>
  <c r="D353" i="7"/>
  <c r="B354" i="7"/>
  <c r="C354" i="7"/>
  <c r="D354" i="7"/>
  <c r="B355" i="7"/>
  <c r="C355" i="7"/>
  <c r="D355" i="7"/>
  <c r="B356" i="7"/>
  <c r="C356" i="7"/>
  <c r="D356" i="7"/>
  <c r="B357" i="7"/>
  <c r="C357" i="7"/>
  <c r="D357" i="7"/>
  <c r="B358" i="7"/>
  <c r="C358" i="7"/>
  <c r="D358" i="7"/>
  <c r="B359" i="7"/>
  <c r="C359" i="7"/>
  <c r="D359" i="7"/>
  <c r="B360" i="7"/>
  <c r="C360" i="7"/>
  <c r="D360" i="7"/>
  <c r="B361" i="7"/>
  <c r="C361" i="7"/>
  <c r="D361" i="7"/>
  <c r="B362" i="7"/>
  <c r="C362" i="7"/>
  <c r="D362" i="7"/>
  <c r="B363" i="7"/>
  <c r="C363" i="7"/>
  <c r="D363" i="7"/>
  <c r="B364" i="7"/>
  <c r="C364" i="7"/>
  <c r="D364" i="7"/>
  <c r="B365" i="7"/>
  <c r="C365" i="7"/>
  <c r="D365" i="7"/>
  <c r="B366" i="7"/>
  <c r="C366" i="7"/>
  <c r="D366" i="7"/>
  <c r="B367" i="7"/>
  <c r="C367" i="7"/>
  <c r="D367" i="7"/>
  <c r="B368" i="7"/>
  <c r="C368" i="7"/>
  <c r="D368" i="7"/>
  <c r="B369" i="7"/>
  <c r="C369" i="7"/>
  <c r="D369" i="7"/>
  <c r="B370" i="7"/>
  <c r="C370" i="7"/>
  <c r="D370" i="7"/>
  <c r="B371" i="7"/>
  <c r="C371" i="7"/>
  <c r="D371" i="7"/>
  <c r="B372" i="7"/>
  <c r="C372" i="7"/>
  <c r="D372" i="7"/>
  <c r="B373" i="7"/>
  <c r="C373" i="7"/>
  <c r="D373" i="7"/>
  <c r="B374" i="7"/>
  <c r="C374" i="7"/>
  <c r="D374" i="7"/>
  <c r="B375" i="7"/>
  <c r="C375" i="7"/>
  <c r="D375" i="7"/>
  <c r="B376" i="7"/>
  <c r="C376" i="7"/>
  <c r="D376" i="7"/>
  <c r="B377" i="7"/>
  <c r="C377" i="7"/>
  <c r="D377" i="7"/>
  <c r="B378" i="7"/>
  <c r="C378" i="7"/>
  <c r="D378" i="7"/>
  <c r="B379" i="7"/>
  <c r="C379" i="7"/>
  <c r="D379" i="7"/>
  <c r="B380" i="7"/>
  <c r="C380" i="7"/>
  <c r="D380" i="7"/>
  <c r="B381" i="7"/>
  <c r="C381" i="7"/>
  <c r="D381" i="7"/>
  <c r="B382" i="7"/>
  <c r="C382" i="7"/>
  <c r="D382" i="7"/>
  <c r="B383" i="7"/>
  <c r="C383" i="7"/>
  <c r="D383" i="7"/>
  <c r="B384" i="7"/>
  <c r="C384" i="7"/>
  <c r="D384" i="7"/>
  <c r="B385" i="7"/>
  <c r="C385" i="7"/>
  <c r="D385" i="7"/>
  <c r="B386" i="7"/>
  <c r="C386" i="7"/>
  <c r="D386" i="7"/>
  <c r="B387" i="7"/>
  <c r="C387" i="7"/>
  <c r="D387" i="7"/>
  <c r="B388" i="7"/>
  <c r="C388" i="7"/>
  <c r="D388" i="7"/>
  <c r="B389" i="7"/>
  <c r="C389" i="7"/>
  <c r="D389" i="7"/>
  <c r="B390" i="7"/>
  <c r="C390" i="7"/>
  <c r="D390" i="7"/>
  <c r="B391" i="7"/>
  <c r="C391" i="7"/>
  <c r="D391" i="7"/>
  <c r="B392" i="7"/>
  <c r="C392" i="7"/>
  <c r="D392" i="7"/>
  <c r="B393" i="7"/>
  <c r="C393" i="7"/>
  <c r="D393" i="7"/>
  <c r="B394" i="7"/>
  <c r="C394" i="7"/>
  <c r="D394" i="7"/>
  <c r="B395" i="7"/>
  <c r="C395" i="7"/>
  <c r="D395" i="7"/>
  <c r="B396" i="7"/>
  <c r="C396" i="7"/>
  <c r="D396" i="7"/>
  <c r="B397" i="7"/>
  <c r="C397" i="7"/>
  <c r="D397" i="7"/>
  <c r="B398" i="7"/>
  <c r="C398" i="7"/>
  <c r="D398" i="7"/>
  <c r="B399" i="7"/>
  <c r="C399" i="7"/>
  <c r="D399" i="7"/>
  <c r="B400" i="7"/>
  <c r="C400" i="7"/>
  <c r="D400" i="7"/>
  <c r="B401" i="7"/>
  <c r="C401" i="7"/>
  <c r="D401" i="7"/>
  <c r="B402" i="7"/>
  <c r="C402" i="7"/>
  <c r="D402" i="7"/>
  <c r="B403" i="7"/>
  <c r="C403" i="7"/>
  <c r="D403" i="7"/>
  <c r="B404" i="7"/>
  <c r="C404" i="7"/>
  <c r="D404" i="7"/>
  <c r="B405" i="7"/>
  <c r="C405" i="7"/>
  <c r="D405" i="7"/>
  <c r="B406" i="7"/>
  <c r="C406" i="7"/>
  <c r="D406" i="7"/>
  <c r="B407" i="7"/>
  <c r="C407" i="7"/>
  <c r="D407" i="7"/>
  <c r="B408" i="7"/>
  <c r="C408" i="7"/>
  <c r="D408" i="7"/>
  <c r="B409" i="7"/>
  <c r="C409" i="7"/>
  <c r="D409" i="7"/>
  <c r="B410" i="7"/>
  <c r="C410" i="7"/>
  <c r="D410" i="7"/>
  <c r="B411" i="7"/>
  <c r="C411" i="7"/>
  <c r="D411" i="7"/>
  <c r="B412" i="7"/>
  <c r="C412" i="7"/>
  <c r="D412" i="7"/>
  <c r="B413" i="7"/>
  <c r="C413" i="7"/>
  <c r="D413" i="7"/>
  <c r="B414" i="7"/>
  <c r="C414" i="7"/>
  <c r="D414" i="7"/>
  <c r="B415" i="7"/>
  <c r="C415" i="7"/>
  <c r="D415" i="7"/>
  <c r="B416" i="7"/>
  <c r="C416" i="7"/>
  <c r="D416" i="7"/>
  <c r="B417" i="7"/>
  <c r="C417" i="7"/>
  <c r="D417" i="7"/>
  <c r="B418" i="7"/>
  <c r="C418" i="7"/>
  <c r="D418" i="7"/>
  <c r="B419" i="7"/>
  <c r="C419" i="7"/>
  <c r="D419" i="7"/>
  <c r="B420" i="7"/>
  <c r="C420" i="7"/>
  <c r="D420" i="7"/>
  <c r="B421" i="7"/>
  <c r="C421" i="7"/>
  <c r="D421" i="7"/>
  <c r="B422" i="7"/>
  <c r="C422" i="7"/>
  <c r="D422" i="7"/>
  <c r="B423" i="7"/>
  <c r="C423" i="7"/>
  <c r="D423" i="7"/>
  <c r="B424" i="7"/>
  <c r="C424" i="7"/>
  <c r="D424" i="7"/>
  <c r="B425" i="7"/>
  <c r="C425" i="7"/>
  <c r="D425" i="7"/>
  <c r="B426" i="7"/>
  <c r="C426" i="7"/>
  <c r="D426" i="7"/>
  <c r="B427" i="7"/>
  <c r="C427" i="7"/>
  <c r="D427" i="7"/>
  <c r="B428" i="7"/>
  <c r="C428" i="7"/>
  <c r="D428" i="7"/>
  <c r="B429" i="7"/>
  <c r="C429" i="7"/>
  <c r="D429" i="7"/>
  <c r="B430" i="7"/>
  <c r="C430" i="7"/>
  <c r="D430" i="7"/>
  <c r="B431" i="7"/>
  <c r="C431" i="7"/>
  <c r="D431" i="7"/>
  <c r="B432" i="7"/>
  <c r="C432" i="7"/>
  <c r="D432" i="7"/>
  <c r="B433" i="7"/>
  <c r="C433" i="7"/>
  <c r="D433" i="7"/>
  <c r="B434" i="7"/>
  <c r="C434" i="7"/>
  <c r="D434" i="7"/>
  <c r="B435" i="7"/>
  <c r="C435" i="7"/>
  <c r="D435" i="7"/>
  <c r="B436" i="7"/>
  <c r="C436" i="7"/>
  <c r="D436" i="7"/>
  <c r="B437" i="7"/>
  <c r="C437" i="7"/>
  <c r="D437" i="7"/>
  <c r="B438" i="7"/>
  <c r="C438" i="7"/>
  <c r="D438" i="7"/>
  <c r="B439" i="7"/>
  <c r="C439" i="7"/>
  <c r="D439" i="7"/>
  <c r="B440" i="7"/>
  <c r="C440" i="7"/>
  <c r="D440" i="7"/>
  <c r="B441" i="7"/>
  <c r="C441" i="7"/>
  <c r="D441" i="7"/>
  <c r="B442" i="7"/>
  <c r="C442" i="7"/>
  <c r="D442" i="7"/>
  <c r="B443" i="7"/>
  <c r="C443" i="7"/>
  <c r="D443" i="7"/>
  <c r="B444" i="7"/>
  <c r="C444" i="7"/>
  <c r="D444" i="7"/>
  <c r="B445" i="7"/>
  <c r="C445" i="7"/>
  <c r="D445" i="7"/>
  <c r="B446" i="7"/>
  <c r="C446" i="7"/>
  <c r="D446" i="7"/>
  <c r="B447" i="7"/>
  <c r="C447" i="7"/>
  <c r="D447" i="7"/>
  <c r="B448" i="7"/>
  <c r="C448" i="7"/>
  <c r="D448" i="7"/>
  <c r="B449" i="7"/>
  <c r="C449" i="7"/>
  <c r="D449" i="7"/>
  <c r="B450" i="7"/>
  <c r="C450" i="7"/>
  <c r="D450" i="7"/>
  <c r="B451" i="7"/>
  <c r="C451" i="7"/>
  <c r="D451" i="7"/>
  <c r="B452" i="7"/>
  <c r="C452" i="7"/>
  <c r="D452" i="7"/>
  <c r="B453" i="7"/>
  <c r="C453" i="7"/>
  <c r="D453" i="7"/>
  <c r="B454" i="7"/>
  <c r="C454" i="7"/>
  <c r="D454" i="7"/>
  <c r="B455" i="7"/>
  <c r="C455" i="7"/>
  <c r="D455" i="7"/>
  <c r="B456" i="7"/>
  <c r="C456" i="7"/>
  <c r="D456" i="7"/>
  <c r="B457" i="7"/>
  <c r="C457" i="7"/>
  <c r="D457" i="7"/>
  <c r="B458" i="7"/>
  <c r="C458" i="7"/>
  <c r="D458" i="7"/>
  <c r="B459" i="7"/>
  <c r="C459" i="7"/>
  <c r="D459" i="7"/>
  <c r="B460" i="7"/>
  <c r="C460" i="7"/>
  <c r="D460" i="7"/>
  <c r="B461" i="7"/>
  <c r="C461" i="7"/>
  <c r="D461" i="7"/>
  <c r="B462" i="7"/>
  <c r="C462" i="7"/>
  <c r="D462" i="7"/>
  <c r="B463" i="7"/>
  <c r="C463" i="7"/>
  <c r="D463" i="7"/>
  <c r="B464" i="7"/>
  <c r="C464" i="7"/>
  <c r="D464" i="7"/>
  <c r="B465" i="7"/>
  <c r="C465" i="7"/>
  <c r="D465" i="7"/>
  <c r="B466" i="7"/>
  <c r="C466" i="7"/>
  <c r="D466" i="7"/>
  <c r="B467" i="7"/>
  <c r="C467" i="7"/>
  <c r="D467" i="7"/>
  <c r="B468" i="7"/>
  <c r="C468" i="7"/>
  <c r="D468" i="7"/>
  <c r="B469" i="7"/>
  <c r="C469" i="7"/>
  <c r="D469" i="7"/>
  <c r="B470" i="7"/>
  <c r="C470" i="7"/>
  <c r="D470" i="7"/>
  <c r="B471" i="7"/>
  <c r="C471" i="7"/>
  <c r="D471" i="7"/>
  <c r="B472" i="7"/>
  <c r="C472" i="7"/>
  <c r="D472" i="7"/>
  <c r="B473" i="7"/>
  <c r="C473" i="7"/>
  <c r="D473" i="7"/>
  <c r="B474" i="7"/>
  <c r="C474" i="7"/>
  <c r="D474" i="7"/>
  <c r="B475" i="7"/>
  <c r="C475" i="7"/>
  <c r="D475" i="7"/>
  <c r="B476" i="7"/>
  <c r="C476" i="7"/>
  <c r="D476" i="7"/>
  <c r="B477" i="7"/>
  <c r="C477" i="7"/>
  <c r="D477" i="7"/>
  <c r="B478" i="7"/>
  <c r="C478" i="7"/>
  <c r="D478" i="7"/>
  <c r="B479" i="7"/>
  <c r="C479" i="7"/>
  <c r="D479" i="7"/>
  <c r="B480" i="7"/>
  <c r="C480" i="7"/>
  <c r="D480" i="7"/>
  <c r="B481" i="7"/>
  <c r="C481" i="7"/>
  <c r="D481" i="7"/>
  <c r="B482" i="7"/>
  <c r="C482" i="7"/>
  <c r="D482" i="7"/>
  <c r="B483" i="7"/>
  <c r="C483" i="7"/>
  <c r="D483" i="7"/>
  <c r="B484" i="7"/>
  <c r="C484" i="7"/>
  <c r="D484" i="7"/>
  <c r="B485" i="7"/>
  <c r="C485" i="7"/>
  <c r="D485" i="7"/>
  <c r="B486" i="7"/>
  <c r="C486" i="7"/>
  <c r="D486" i="7"/>
  <c r="B487" i="7"/>
  <c r="C487" i="7"/>
  <c r="D487" i="7"/>
  <c r="B488" i="7"/>
  <c r="C488" i="7"/>
  <c r="D488" i="7"/>
  <c r="B489" i="7"/>
  <c r="C489" i="7"/>
  <c r="D489" i="7"/>
  <c r="B490" i="7"/>
  <c r="C490" i="7"/>
  <c r="D490" i="7"/>
  <c r="B491" i="7"/>
  <c r="C491" i="7"/>
  <c r="D491" i="7"/>
  <c r="B492" i="7"/>
  <c r="C492" i="7"/>
  <c r="D492" i="7"/>
  <c r="B493" i="7"/>
  <c r="C493" i="7"/>
  <c r="D493" i="7"/>
  <c r="B494" i="7"/>
  <c r="C494" i="7"/>
  <c r="D494" i="7"/>
  <c r="B495" i="7"/>
  <c r="C495" i="7"/>
  <c r="D495" i="7"/>
  <c r="B496" i="7"/>
  <c r="C496" i="7"/>
  <c r="D496" i="7"/>
  <c r="B497" i="7"/>
  <c r="C497" i="7"/>
  <c r="D497" i="7"/>
  <c r="B498" i="7"/>
  <c r="C498" i="7"/>
  <c r="D498" i="7"/>
  <c r="B499" i="7"/>
  <c r="C499" i="7"/>
  <c r="D499" i="7"/>
  <c r="B500" i="7"/>
  <c r="C500" i="7"/>
  <c r="D500" i="7"/>
  <c r="B501" i="7"/>
  <c r="C501" i="7"/>
  <c r="D501" i="7"/>
  <c r="B502" i="7"/>
  <c r="C502" i="7"/>
  <c r="D502" i="7"/>
  <c r="B503" i="7"/>
  <c r="C503" i="7"/>
  <c r="D503" i="7"/>
  <c r="B504" i="7"/>
  <c r="C504" i="7"/>
  <c r="D504" i="7"/>
  <c r="B505" i="7"/>
  <c r="C505" i="7"/>
  <c r="D505" i="7"/>
  <c r="B506" i="7"/>
  <c r="C506" i="7"/>
  <c r="D506" i="7"/>
  <c r="B507" i="7"/>
  <c r="C507" i="7"/>
  <c r="D507" i="7"/>
  <c r="B508" i="7"/>
  <c r="C508" i="7"/>
  <c r="D508" i="7"/>
  <c r="B509" i="7"/>
  <c r="C509" i="7"/>
  <c r="D509" i="7"/>
  <c r="B510" i="7"/>
  <c r="C510" i="7"/>
  <c r="D510" i="7"/>
  <c r="B511" i="7"/>
  <c r="C511" i="7"/>
  <c r="D511" i="7"/>
  <c r="B512" i="7"/>
  <c r="C512" i="7"/>
  <c r="D512" i="7"/>
  <c r="B513" i="7"/>
  <c r="C513" i="7"/>
  <c r="D513" i="7"/>
  <c r="B514" i="7"/>
  <c r="C514" i="7"/>
  <c r="D514" i="7"/>
  <c r="B515" i="7"/>
  <c r="C515" i="7"/>
  <c r="D515" i="7"/>
  <c r="B516" i="7"/>
  <c r="C516" i="7"/>
  <c r="D516" i="7"/>
  <c r="B517" i="7"/>
  <c r="C517" i="7"/>
  <c r="D517" i="7"/>
  <c r="B518" i="7"/>
  <c r="C518" i="7"/>
  <c r="D518" i="7"/>
  <c r="B519" i="7"/>
  <c r="C519" i="7"/>
  <c r="D519" i="7"/>
  <c r="B520" i="7"/>
  <c r="C520" i="7"/>
  <c r="D520" i="7"/>
  <c r="B521" i="7"/>
  <c r="C521" i="7"/>
  <c r="D521" i="7"/>
  <c r="B522" i="7"/>
  <c r="C522" i="7"/>
  <c r="D522" i="7"/>
  <c r="B523" i="7"/>
  <c r="C523" i="7"/>
  <c r="D523" i="7"/>
  <c r="B524" i="7"/>
  <c r="C524" i="7"/>
  <c r="D524" i="7"/>
  <c r="B525" i="7"/>
  <c r="C525" i="7"/>
  <c r="D525" i="7"/>
  <c r="B526" i="7"/>
  <c r="C526" i="7"/>
  <c r="D526" i="7"/>
  <c r="B527" i="7"/>
  <c r="C527" i="7"/>
  <c r="D527" i="7"/>
  <c r="B528" i="7"/>
  <c r="C528" i="7"/>
  <c r="D528" i="7"/>
  <c r="B529" i="7"/>
  <c r="C529" i="7"/>
  <c r="D529" i="7"/>
  <c r="B530" i="7"/>
  <c r="C530" i="7"/>
  <c r="D530" i="7"/>
  <c r="B531" i="7"/>
  <c r="C531" i="7"/>
  <c r="D531" i="7"/>
  <c r="B532" i="7"/>
  <c r="C532" i="7"/>
  <c r="D532" i="7"/>
  <c r="B533" i="7"/>
  <c r="C533" i="7"/>
  <c r="D533" i="7"/>
  <c r="B534" i="7"/>
  <c r="C534" i="7"/>
  <c r="D534" i="7"/>
  <c r="B535" i="7"/>
  <c r="C535" i="7"/>
  <c r="D535" i="7"/>
  <c r="B536" i="7"/>
  <c r="C536" i="7"/>
  <c r="D536" i="7"/>
  <c r="B537" i="7"/>
  <c r="C537" i="7"/>
  <c r="D537" i="7"/>
  <c r="B538" i="7"/>
  <c r="C538" i="7"/>
  <c r="D538" i="7"/>
  <c r="B539" i="7"/>
  <c r="C539" i="7"/>
  <c r="D539" i="7"/>
  <c r="B540" i="7"/>
  <c r="C540" i="7"/>
  <c r="D540" i="7"/>
  <c r="B541" i="7"/>
  <c r="C541" i="7"/>
  <c r="D541" i="7"/>
  <c r="B542" i="7"/>
  <c r="C542" i="7"/>
  <c r="D542" i="7"/>
  <c r="B543" i="7"/>
  <c r="C543" i="7"/>
  <c r="D543" i="7"/>
  <c r="B544" i="7"/>
  <c r="C544" i="7"/>
  <c r="D544" i="7"/>
  <c r="B545" i="7"/>
  <c r="C545" i="7"/>
  <c r="D545" i="7"/>
  <c r="B546" i="7"/>
  <c r="C546" i="7"/>
  <c r="D546" i="7"/>
  <c r="B547" i="7"/>
  <c r="C547" i="7"/>
  <c r="D547" i="7"/>
  <c r="B548" i="7"/>
  <c r="C548" i="7"/>
  <c r="D548" i="7"/>
  <c r="B549" i="7"/>
  <c r="C549" i="7"/>
  <c r="D549" i="7"/>
  <c r="B550" i="7"/>
  <c r="C550" i="7"/>
  <c r="D550" i="7"/>
  <c r="B551" i="7"/>
  <c r="C551" i="7"/>
  <c r="D551" i="7"/>
  <c r="B552" i="7"/>
  <c r="C552" i="7"/>
  <c r="D552" i="7"/>
  <c r="B553" i="7"/>
  <c r="C553" i="7"/>
  <c r="D553" i="7"/>
  <c r="B554" i="7"/>
  <c r="C554" i="7"/>
  <c r="D554" i="7"/>
  <c r="B555" i="7"/>
  <c r="C555" i="7"/>
  <c r="D555" i="7"/>
  <c r="B556" i="7"/>
  <c r="C556" i="7"/>
  <c r="D556" i="7"/>
  <c r="B557" i="7"/>
  <c r="C557" i="7"/>
  <c r="D557" i="7"/>
  <c r="B558" i="7"/>
  <c r="C558" i="7"/>
  <c r="D558" i="7"/>
  <c r="B559" i="7"/>
  <c r="C559" i="7"/>
  <c r="D559" i="7"/>
  <c r="B560" i="7"/>
  <c r="C560" i="7"/>
  <c r="D560" i="7"/>
  <c r="B561" i="7"/>
  <c r="C561" i="7"/>
  <c r="D561" i="7"/>
  <c r="B562" i="7"/>
  <c r="C562" i="7"/>
  <c r="D562" i="7"/>
  <c r="B563" i="7"/>
  <c r="C563" i="7"/>
  <c r="D563" i="7"/>
  <c r="B564" i="7"/>
  <c r="C564" i="7"/>
  <c r="D564" i="7"/>
  <c r="B565" i="7"/>
  <c r="C565" i="7"/>
  <c r="D565" i="7"/>
  <c r="B566" i="7"/>
  <c r="C566" i="7"/>
  <c r="D566" i="7"/>
  <c r="B567" i="7"/>
  <c r="C567" i="7"/>
  <c r="D567" i="7"/>
  <c r="B568" i="7"/>
  <c r="C568" i="7"/>
  <c r="D568" i="7"/>
  <c r="B569" i="7"/>
  <c r="C569" i="7"/>
  <c r="D569" i="7"/>
  <c r="B570" i="7"/>
  <c r="C570" i="7"/>
  <c r="D570" i="7"/>
  <c r="B571" i="7"/>
  <c r="C571" i="7"/>
  <c r="D571" i="7"/>
  <c r="B572" i="7"/>
  <c r="C572" i="7"/>
  <c r="D572" i="7"/>
  <c r="B573" i="7"/>
  <c r="C573" i="7"/>
  <c r="D573" i="7"/>
  <c r="B574" i="7"/>
  <c r="C574" i="7"/>
  <c r="D574" i="7"/>
  <c r="B575" i="7"/>
  <c r="C575" i="7"/>
  <c r="D575" i="7"/>
  <c r="B576" i="7"/>
  <c r="C576" i="7"/>
  <c r="D576" i="7"/>
  <c r="B577" i="7"/>
  <c r="C577" i="7"/>
  <c r="D577" i="7"/>
  <c r="B578" i="7"/>
  <c r="C578" i="7"/>
  <c r="D578" i="7"/>
  <c r="B579" i="7"/>
  <c r="C579" i="7"/>
  <c r="D579" i="7"/>
  <c r="B580" i="7"/>
  <c r="C580" i="7"/>
  <c r="D580" i="7"/>
  <c r="B581" i="7"/>
  <c r="C581" i="7"/>
  <c r="D581" i="7"/>
  <c r="B582" i="7"/>
  <c r="C582" i="7"/>
  <c r="D582" i="7"/>
  <c r="B583" i="7"/>
  <c r="C583" i="7"/>
  <c r="D583" i="7"/>
  <c r="B584" i="7"/>
  <c r="C584" i="7"/>
  <c r="D584" i="7"/>
  <c r="B585" i="7"/>
  <c r="C585" i="7"/>
  <c r="D585" i="7"/>
  <c r="B586" i="7"/>
  <c r="C586" i="7"/>
  <c r="D586" i="7"/>
  <c r="B587" i="7"/>
  <c r="C587" i="7"/>
  <c r="D587" i="7"/>
  <c r="B588" i="7"/>
  <c r="C588" i="7"/>
  <c r="D588" i="7"/>
  <c r="B589" i="7"/>
  <c r="C589" i="7"/>
  <c r="D589" i="7"/>
  <c r="B590" i="7"/>
  <c r="C590" i="7"/>
  <c r="D590" i="7"/>
  <c r="B591" i="7"/>
  <c r="C591" i="7"/>
  <c r="D591" i="7"/>
  <c r="B592" i="7"/>
  <c r="C592" i="7"/>
  <c r="D592" i="7"/>
  <c r="B593" i="7"/>
  <c r="C593" i="7"/>
  <c r="D593" i="7"/>
  <c r="B594" i="7"/>
  <c r="C594" i="7"/>
  <c r="D594" i="7"/>
  <c r="B595" i="7"/>
  <c r="C595" i="7"/>
  <c r="D595" i="7"/>
  <c r="B596" i="7"/>
  <c r="C596" i="7"/>
  <c r="D596" i="7"/>
  <c r="B597" i="7"/>
  <c r="C597" i="7"/>
  <c r="D597" i="7"/>
  <c r="B598" i="7"/>
  <c r="C598" i="7"/>
  <c r="D598" i="7"/>
  <c r="B599" i="7"/>
  <c r="C599" i="7"/>
  <c r="D599" i="7"/>
  <c r="B600" i="7"/>
  <c r="C600" i="7"/>
  <c r="D600" i="7"/>
  <c r="B601" i="7"/>
  <c r="C601" i="7"/>
  <c r="D601" i="7"/>
  <c r="B602" i="7"/>
  <c r="C602" i="7"/>
  <c r="D602" i="7"/>
  <c r="B603" i="7"/>
  <c r="C603" i="7"/>
  <c r="D603" i="7"/>
  <c r="B604" i="7"/>
  <c r="C604" i="7"/>
  <c r="D604" i="7"/>
  <c r="B605" i="7"/>
  <c r="C605" i="7"/>
  <c r="D605" i="7"/>
  <c r="B606" i="7"/>
  <c r="C606" i="7"/>
  <c r="D606" i="7"/>
  <c r="B607" i="7"/>
  <c r="C607" i="7"/>
  <c r="D607" i="7"/>
  <c r="B608" i="7"/>
  <c r="C608" i="7"/>
  <c r="D608" i="7"/>
  <c r="B609" i="7"/>
  <c r="C609" i="7"/>
  <c r="D609" i="7"/>
  <c r="B610" i="7"/>
  <c r="C610" i="7"/>
  <c r="D610" i="7"/>
  <c r="B611" i="7"/>
  <c r="C611" i="7"/>
  <c r="D611" i="7"/>
  <c r="C4" i="7"/>
  <c r="B4" i="7"/>
  <c r="D4" i="7" s="1"/>
  <c r="C500" i="6" l="1"/>
  <c r="B500" i="6"/>
  <c r="C499" i="6"/>
  <c r="B499" i="6"/>
  <c r="C498" i="6"/>
  <c r="B498" i="6"/>
  <c r="C497" i="6"/>
  <c r="B497" i="6"/>
  <c r="C496" i="6"/>
  <c r="B496" i="6"/>
  <c r="C495" i="6"/>
  <c r="B495" i="6"/>
  <c r="C494" i="6"/>
  <c r="B494" i="6"/>
  <c r="C493" i="6"/>
  <c r="B493" i="6"/>
  <c r="C492" i="6"/>
  <c r="B492" i="6"/>
  <c r="C491" i="6"/>
  <c r="B491" i="6"/>
  <c r="C490" i="6"/>
  <c r="B490" i="6"/>
  <c r="C489" i="6"/>
  <c r="B489" i="6"/>
  <c r="C488" i="6"/>
  <c r="B488" i="6"/>
  <c r="C487" i="6"/>
  <c r="B487" i="6"/>
  <c r="C486" i="6"/>
  <c r="B486" i="6"/>
  <c r="C485" i="6"/>
  <c r="B485" i="6"/>
  <c r="C484" i="6"/>
  <c r="B484" i="6"/>
  <c r="C483" i="6"/>
  <c r="B483" i="6"/>
  <c r="C482" i="6"/>
  <c r="B482" i="6"/>
  <c r="C481" i="6"/>
  <c r="B481" i="6"/>
  <c r="C480" i="6"/>
  <c r="B480" i="6"/>
  <c r="C479" i="6"/>
  <c r="B479" i="6"/>
  <c r="C478" i="6"/>
  <c r="B478" i="6"/>
  <c r="C477" i="6"/>
  <c r="B477" i="6"/>
  <c r="C476" i="6"/>
  <c r="B476" i="6"/>
  <c r="C475" i="6"/>
  <c r="B475" i="6"/>
  <c r="C474" i="6"/>
  <c r="B474" i="6"/>
  <c r="C473" i="6"/>
  <c r="B473" i="6"/>
  <c r="C472" i="6"/>
  <c r="B472" i="6"/>
  <c r="C471" i="6"/>
  <c r="B471" i="6"/>
  <c r="C470" i="6"/>
  <c r="B470" i="6"/>
  <c r="C469" i="6"/>
  <c r="B469" i="6"/>
  <c r="C468" i="6"/>
  <c r="B468" i="6"/>
  <c r="C467" i="6"/>
  <c r="B467" i="6"/>
  <c r="C466" i="6"/>
  <c r="B466" i="6"/>
  <c r="C465" i="6"/>
  <c r="B465" i="6"/>
  <c r="C464" i="6"/>
  <c r="B464" i="6"/>
  <c r="C463" i="6"/>
  <c r="B463" i="6"/>
  <c r="C462" i="6"/>
  <c r="B462" i="6"/>
  <c r="C461" i="6"/>
  <c r="B461" i="6"/>
  <c r="C460" i="6"/>
  <c r="B460" i="6"/>
  <c r="C459" i="6"/>
  <c r="B459" i="6"/>
  <c r="C458" i="6"/>
  <c r="B458" i="6"/>
  <c r="C457" i="6"/>
  <c r="B457" i="6"/>
  <c r="C456" i="6"/>
  <c r="B456" i="6"/>
  <c r="C455" i="6"/>
  <c r="B455" i="6"/>
  <c r="C454" i="6"/>
  <c r="B454" i="6"/>
  <c r="C453" i="6"/>
  <c r="B453" i="6"/>
  <c r="C452" i="6"/>
  <c r="B452" i="6"/>
  <c r="C451" i="6"/>
  <c r="B451" i="6"/>
  <c r="C450" i="6"/>
  <c r="B450" i="6"/>
  <c r="C449" i="6"/>
  <c r="B449" i="6"/>
  <c r="C448" i="6"/>
  <c r="B448" i="6"/>
  <c r="C447" i="6"/>
  <c r="B447" i="6"/>
  <c r="C446" i="6"/>
  <c r="B446" i="6"/>
  <c r="C445" i="6"/>
  <c r="B445" i="6"/>
  <c r="C444" i="6"/>
  <c r="B444" i="6"/>
  <c r="C443" i="6"/>
  <c r="B443" i="6"/>
  <c r="C442" i="6"/>
  <c r="B442" i="6"/>
  <c r="C441" i="6"/>
  <c r="B441" i="6"/>
  <c r="C440" i="6"/>
  <c r="B440" i="6"/>
  <c r="C439" i="6"/>
  <c r="B439" i="6"/>
  <c r="C438" i="6"/>
  <c r="B438" i="6"/>
  <c r="C437" i="6"/>
  <c r="B437" i="6"/>
  <c r="C436" i="6"/>
  <c r="B436" i="6"/>
  <c r="C435" i="6"/>
  <c r="B435" i="6"/>
  <c r="C434" i="6"/>
  <c r="B434" i="6"/>
  <c r="C433" i="6"/>
  <c r="B433" i="6"/>
  <c r="C432" i="6"/>
  <c r="B432" i="6"/>
  <c r="C431" i="6"/>
  <c r="B431" i="6"/>
  <c r="C430" i="6"/>
  <c r="B430" i="6"/>
  <c r="C429" i="6"/>
  <c r="B429" i="6"/>
  <c r="C428" i="6"/>
  <c r="B428" i="6"/>
  <c r="C427" i="6"/>
  <c r="B427" i="6"/>
  <c r="C426" i="6"/>
  <c r="B426" i="6"/>
  <c r="C425" i="6"/>
  <c r="B425" i="6"/>
  <c r="C424" i="6"/>
  <c r="B424" i="6"/>
  <c r="C423" i="6"/>
  <c r="B423" i="6"/>
  <c r="C422" i="6"/>
  <c r="B422" i="6"/>
  <c r="C421" i="6"/>
  <c r="B421" i="6"/>
  <c r="C420" i="6"/>
  <c r="B420" i="6"/>
  <c r="C419" i="6"/>
  <c r="B419" i="6"/>
  <c r="C418" i="6"/>
  <c r="B418" i="6"/>
  <c r="C417" i="6"/>
  <c r="B417" i="6"/>
  <c r="C416" i="6"/>
  <c r="B416" i="6"/>
  <c r="C415" i="6"/>
  <c r="B415" i="6"/>
  <c r="C414" i="6"/>
  <c r="B414" i="6"/>
  <c r="C413" i="6"/>
  <c r="B413" i="6"/>
  <c r="C412" i="6"/>
  <c r="B412" i="6"/>
  <c r="C411" i="6"/>
  <c r="B411" i="6"/>
  <c r="C410" i="6"/>
  <c r="B410" i="6"/>
  <c r="C409" i="6"/>
  <c r="B409" i="6"/>
  <c r="C408" i="6"/>
  <c r="B408" i="6"/>
  <c r="C407" i="6"/>
  <c r="B407" i="6"/>
  <c r="C406" i="6"/>
  <c r="B406" i="6"/>
  <c r="C405" i="6"/>
  <c r="B405" i="6"/>
  <c r="C404" i="6"/>
  <c r="B404" i="6"/>
  <c r="C403" i="6"/>
  <c r="B403" i="6"/>
  <c r="C402" i="6"/>
  <c r="B402" i="6"/>
  <c r="C401" i="6"/>
  <c r="B401" i="6"/>
  <c r="C400" i="6"/>
  <c r="B400" i="6"/>
  <c r="C399" i="6"/>
  <c r="B399" i="6"/>
  <c r="C398" i="6"/>
  <c r="B398" i="6"/>
  <c r="C397" i="6"/>
  <c r="B397" i="6"/>
  <c r="C396" i="6"/>
  <c r="B396" i="6"/>
  <c r="C395" i="6"/>
  <c r="B395" i="6"/>
  <c r="C394" i="6"/>
  <c r="B394" i="6"/>
  <c r="C393" i="6"/>
  <c r="B393" i="6"/>
  <c r="C392" i="6"/>
  <c r="B392" i="6"/>
  <c r="C391" i="6"/>
  <c r="B391" i="6"/>
  <c r="C390" i="6"/>
  <c r="B390" i="6"/>
  <c r="C389" i="6"/>
  <c r="B389" i="6"/>
  <c r="C388" i="6"/>
  <c r="B388" i="6"/>
  <c r="C387" i="6"/>
  <c r="B387" i="6"/>
  <c r="C386" i="6"/>
  <c r="B386" i="6"/>
  <c r="C385" i="6"/>
  <c r="B385" i="6"/>
  <c r="C384" i="6"/>
  <c r="B384" i="6"/>
  <c r="C383" i="6"/>
  <c r="B383" i="6"/>
  <c r="C382" i="6"/>
  <c r="B382" i="6"/>
  <c r="C381" i="6"/>
  <c r="B381" i="6"/>
  <c r="C380" i="6"/>
  <c r="B380" i="6"/>
  <c r="C379" i="6"/>
  <c r="B379" i="6"/>
  <c r="C378" i="6"/>
  <c r="B378" i="6"/>
  <c r="C377" i="6"/>
  <c r="B377" i="6"/>
  <c r="C376" i="6"/>
  <c r="B376" i="6"/>
  <c r="C375" i="6"/>
  <c r="B375" i="6"/>
  <c r="C374" i="6"/>
  <c r="B374" i="6"/>
  <c r="C373" i="6"/>
  <c r="B373" i="6"/>
  <c r="C372" i="6"/>
  <c r="B372" i="6"/>
  <c r="C371" i="6"/>
  <c r="B371" i="6"/>
  <c r="C370" i="6"/>
  <c r="B370" i="6"/>
  <c r="C369" i="6"/>
  <c r="B369" i="6"/>
  <c r="C368" i="6"/>
  <c r="B368" i="6"/>
  <c r="C367" i="6"/>
  <c r="B367" i="6"/>
  <c r="C366" i="6"/>
  <c r="B366" i="6"/>
  <c r="C365" i="6"/>
  <c r="B365" i="6"/>
  <c r="C364" i="6"/>
  <c r="B364" i="6"/>
  <c r="C363" i="6"/>
  <c r="B363" i="6"/>
  <c r="C362" i="6"/>
  <c r="B362" i="6"/>
  <c r="C361" i="6"/>
  <c r="B361" i="6"/>
  <c r="C360" i="6"/>
  <c r="B360" i="6"/>
  <c r="C359" i="6"/>
  <c r="B359" i="6"/>
  <c r="C358" i="6"/>
  <c r="B358" i="6"/>
  <c r="C357" i="6"/>
  <c r="B357" i="6"/>
  <c r="C356" i="6"/>
  <c r="B356" i="6"/>
  <c r="C355" i="6"/>
  <c r="B355" i="6"/>
  <c r="C354" i="6"/>
  <c r="B354" i="6"/>
  <c r="C353" i="6"/>
  <c r="B353" i="6"/>
  <c r="C352" i="6"/>
  <c r="B352" i="6"/>
  <c r="C351" i="6"/>
  <c r="B351" i="6"/>
  <c r="C350" i="6"/>
  <c r="B350" i="6"/>
  <c r="C349" i="6"/>
  <c r="B349" i="6"/>
  <c r="C348" i="6"/>
  <c r="B348" i="6"/>
  <c r="C347" i="6"/>
  <c r="B347" i="6"/>
  <c r="C346" i="6"/>
  <c r="B346" i="6"/>
  <c r="C345" i="6"/>
  <c r="B345" i="6"/>
  <c r="C344" i="6"/>
  <c r="B344" i="6"/>
  <c r="C343" i="6"/>
  <c r="B343" i="6"/>
  <c r="C342" i="6"/>
  <c r="B342" i="6"/>
  <c r="C341" i="6"/>
  <c r="B341" i="6"/>
  <c r="C340" i="6"/>
  <c r="B340" i="6"/>
  <c r="C339" i="6"/>
  <c r="B339" i="6"/>
  <c r="C338" i="6"/>
  <c r="B338" i="6"/>
  <c r="C337" i="6"/>
  <c r="B337" i="6"/>
  <c r="C336" i="6"/>
  <c r="B336" i="6"/>
  <c r="C335" i="6"/>
  <c r="B335" i="6"/>
  <c r="C334" i="6"/>
  <c r="B334" i="6"/>
  <c r="C333" i="6"/>
  <c r="B333" i="6"/>
  <c r="C332" i="6"/>
  <c r="B332" i="6"/>
  <c r="C331" i="6"/>
  <c r="B331" i="6"/>
  <c r="C330" i="6"/>
  <c r="B330" i="6"/>
  <c r="C329" i="6"/>
  <c r="B329" i="6"/>
  <c r="C328" i="6"/>
  <c r="B328" i="6"/>
  <c r="C327" i="6"/>
  <c r="B327" i="6"/>
  <c r="C326" i="6"/>
  <c r="B326" i="6"/>
  <c r="C325" i="6"/>
  <c r="B325" i="6"/>
  <c r="C324" i="6"/>
  <c r="B324" i="6"/>
  <c r="C323" i="6"/>
  <c r="B323" i="6"/>
  <c r="C322" i="6"/>
  <c r="B322" i="6"/>
  <c r="C321" i="6"/>
  <c r="B321" i="6"/>
  <c r="C320" i="6"/>
  <c r="B320" i="6"/>
  <c r="C319" i="6"/>
  <c r="B319" i="6"/>
  <c r="C318" i="6"/>
  <c r="B318" i="6"/>
  <c r="C317" i="6"/>
  <c r="B317" i="6"/>
  <c r="C316" i="6"/>
  <c r="B316" i="6"/>
  <c r="C315" i="6"/>
  <c r="B315" i="6"/>
  <c r="C314" i="6"/>
  <c r="B314" i="6"/>
  <c r="C313" i="6"/>
  <c r="B313" i="6"/>
  <c r="C312" i="6"/>
  <c r="B312" i="6"/>
  <c r="C311" i="6"/>
  <c r="B311" i="6"/>
  <c r="C310" i="6"/>
  <c r="B310" i="6"/>
  <c r="C309" i="6"/>
  <c r="B309" i="6"/>
  <c r="C308" i="6"/>
  <c r="B308" i="6"/>
  <c r="C307" i="6"/>
  <c r="B307" i="6"/>
  <c r="C306" i="6"/>
  <c r="B306" i="6"/>
  <c r="C305" i="6"/>
  <c r="B305" i="6"/>
  <c r="C304" i="6"/>
  <c r="B304" i="6"/>
  <c r="C303" i="6"/>
  <c r="B303" i="6"/>
  <c r="C302" i="6"/>
  <c r="B302" i="6"/>
  <c r="C301" i="6"/>
  <c r="B301" i="6"/>
  <c r="C300" i="6"/>
  <c r="B300" i="6"/>
  <c r="C299" i="6"/>
  <c r="B299" i="6"/>
  <c r="C298" i="6"/>
  <c r="B298" i="6"/>
  <c r="C297" i="6"/>
  <c r="B297" i="6"/>
  <c r="C296" i="6"/>
  <c r="B296" i="6"/>
  <c r="C295" i="6"/>
  <c r="B295" i="6"/>
  <c r="C294" i="6"/>
  <c r="B294" i="6"/>
  <c r="C293" i="6"/>
  <c r="B293" i="6"/>
  <c r="C292" i="6"/>
  <c r="B292" i="6"/>
  <c r="C291" i="6"/>
  <c r="B291" i="6"/>
  <c r="C290" i="6"/>
  <c r="B290" i="6"/>
  <c r="C289" i="6"/>
  <c r="B289" i="6"/>
  <c r="C288" i="6"/>
  <c r="B288" i="6"/>
  <c r="C287" i="6"/>
  <c r="B287" i="6"/>
  <c r="C286" i="6"/>
  <c r="B286" i="6"/>
  <c r="C285" i="6"/>
  <c r="B285" i="6"/>
  <c r="C284" i="6"/>
  <c r="B284" i="6"/>
  <c r="C283" i="6"/>
  <c r="B283" i="6"/>
  <c r="C282" i="6"/>
  <c r="B282" i="6"/>
  <c r="C281" i="6"/>
  <c r="B281" i="6"/>
  <c r="C280" i="6"/>
  <c r="B280" i="6"/>
  <c r="C279" i="6"/>
  <c r="B279" i="6"/>
  <c r="C278" i="6"/>
  <c r="B278" i="6"/>
  <c r="C277" i="6"/>
  <c r="B277" i="6"/>
  <c r="C276" i="6"/>
  <c r="B276" i="6"/>
  <c r="C275" i="6"/>
  <c r="B275" i="6"/>
  <c r="C274" i="6"/>
  <c r="B274" i="6"/>
  <c r="C273" i="6"/>
  <c r="B273" i="6"/>
  <c r="C272" i="6"/>
  <c r="B272" i="6"/>
  <c r="C271" i="6"/>
  <c r="B271" i="6"/>
  <c r="C270" i="6"/>
  <c r="B270" i="6"/>
  <c r="C269" i="6"/>
  <c r="B269" i="6"/>
  <c r="C268" i="6"/>
  <c r="B268" i="6"/>
  <c r="C267" i="6"/>
  <c r="B267" i="6"/>
  <c r="C266" i="6"/>
  <c r="B266" i="6"/>
  <c r="C265" i="6"/>
  <c r="B265" i="6"/>
  <c r="C264" i="6"/>
  <c r="B264" i="6"/>
  <c r="C263" i="6"/>
  <c r="B263" i="6"/>
  <c r="C262" i="6"/>
  <c r="B262" i="6"/>
  <c r="C261" i="6"/>
  <c r="B261" i="6"/>
  <c r="C260" i="6"/>
  <c r="B260" i="6"/>
  <c r="C259" i="6"/>
  <c r="B259" i="6"/>
  <c r="C258" i="6"/>
  <c r="B258" i="6"/>
  <c r="C257" i="6"/>
  <c r="B257" i="6"/>
  <c r="C256" i="6"/>
  <c r="B256" i="6"/>
  <c r="C255" i="6"/>
  <c r="B255" i="6"/>
  <c r="C254" i="6"/>
  <c r="B254" i="6"/>
  <c r="C253" i="6"/>
  <c r="B253" i="6"/>
  <c r="C252" i="6"/>
  <c r="B252" i="6"/>
  <c r="C251" i="6"/>
  <c r="B251" i="6"/>
  <c r="C250" i="6"/>
  <c r="B250" i="6"/>
  <c r="C249" i="6"/>
  <c r="B249" i="6"/>
  <c r="C248" i="6"/>
  <c r="B248" i="6"/>
  <c r="C247" i="6"/>
  <c r="B247" i="6"/>
  <c r="C246" i="6"/>
  <c r="B246" i="6"/>
  <c r="C245" i="6"/>
  <c r="B245" i="6"/>
  <c r="C244" i="6"/>
  <c r="B244" i="6"/>
  <c r="C243" i="6"/>
  <c r="B243" i="6"/>
  <c r="C242" i="6"/>
  <c r="B242" i="6"/>
  <c r="C241" i="6"/>
  <c r="B241" i="6"/>
  <c r="C240" i="6"/>
  <c r="B240" i="6"/>
  <c r="C239" i="6"/>
  <c r="B239" i="6"/>
  <c r="C238" i="6"/>
  <c r="B238" i="6"/>
  <c r="C237" i="6"/>
  <c r="B237" i="6"/>
  <c r="C236" i="6"/>
  <c r="B236" i="6"/>
  <c r="C235" i="6"/>
  <c r="B235" i="6"/>
  <c r="C234" i="6"/>
  <c r="B234" i="6"/>
  <c r="C233" i="6"/>
  <c r="B233" i="6"/>
  <c r="C232" i="6"/>
  <c r="B232" i="6"/>
  <c r="C231" i="6"/>
  <c r="B231" i="6"/>
  <c r="C230" i="6"/>
  <c r="B230" i="6"/>
  <c r="C229" i="6"/>
  <c r="B229" i="6"/>
  <c r="C228" i="6"/>
  <c r="B228" i="6"/>
  <c r="C227" i="6"/>
  <c r="B227" i="6"/>
  <c r="C226" i="6"/>
  <c r="B226" i="6"/>
  <c r="C225" i="6"/>
  <c r="B225" i="6"/>
  <c r="C224" i="6"/>
  <c r="B224" i="6"/>
  <c r="C223" i="6"/>
  <c r="B223" i="6"/>
  <c r="C222" i="6"/>
  <c r="B222" i="6"/>
  <c r="C221" i="6"/>
  <c r="B221" i="6"/>
  <c r="C220" i="6"/>
  <c r="B220" i="6"/>
  <c r="C219" i="6"/>
  <c r="B219" i="6"/>
  <c r="C218" i="6"/>
  <c r="B218" i="6"/>
  <c r="C217" i="6"/>
  <c r="B217" i="6"/>
  <c r="C216" i="6"/>
  <c r="B216" i="6"/>
  <c r="C215" i="6"/>
  <c r="B215" i="6"/>
  <c r="C214" i="6"/>
  <c r="B214" i="6"/>
  <c r="C213" i="6"/>
  <c r="B213" i="6"/>
  <c r="C212" i="6"/>
  <c r="B212" i="6"/>
  <c r="C211" i="6"/>
  <c r="B211" i="6"/>
  <c r="C210" i="6"/>
  <c r="B210" i="6"/>
  <c r="C209" i="6"/>
  <c r="B209" i="6"/>
  <c r="C208" i="6"/>
  <c r="B208" i="6"/>
  <c r="C207" i="6"/>
  <c r="B207" i="6"/>
  <c r="C206" i="6"/>
  <c r="B206" i="6"/>
  <c r="C205" i="6"/>
  <c r="B205" i="6"/>
  <c r="C204" i="6"/>
  <c r="B204" i="6"/>
  <c r="C203" i="6"/>
  <c r="B203" i="6"/>
  <c r="C202" i="6"/>
  <c r="B202" i="6"/>
  <c r="C201" i="6"/>
  <c r="B201" i="6"/>
  <c r="C200" i="6"/>
  <c r="B200" i="6"/>
  <c r="C199" i="6"/>
  <c r="B199" i="6"/>
  <c r="C198" i="6"/>
  <c r="B198" i="6"/>
  <c r="C197" i="6"/>
  <c r="B197" i="6"/>
  <c r="C196" i="6"/>
  <c r="B196" i="6"/>
  <c r="C195" i="6"/>
  <c r="B195" i="6"/>
  <c r="C194" i="6"/>
  <c r="B194" i="6"/>
  <c r="C193" i="6"/>
  <c r="B193" i="6"/>
  <c r="C192" i="6"/>
  <c r="B192" i="6"/>
  <c r="C191" i="6"/>
  <c r="B191" i="6"/>
  <c r="C190" i="6"/>
  <c r="B190" i="6"/>
  <c r="C189" i="6"/>
  <c r="B189" i="6"/>
  <c r="C188" i="6"/>
  <c r="B188" i="6"/>
  <c r="C187" i="6"/>
  <c r="B187" i="6"/>
  <c r="C186" i="6"/>
  <c r="B186" i="6"/>
  <c r="C185" i="6"/>
  <c r="B185" i="6"/>
  <c r="C184" i="6"/>
  <c r="B184" i="6"/>
  <c r="C183" i="6"/>
  <c r="B183" i="6"/>
  <c r="C182" i="6"/>
  <c r="B182" i="6"/>
  <c r="C181" i="6"/>
  <c r="B181" i="6"/>
  <c r="C180" i="6"/>
  <c r="B180" i="6"/>
  <c r="C179" i="6"/>
  <c r="B179" i="6"/>
  <c r="C178" i="6"/>
  <c r="B178" i="6"/>
  <c r="C177" i="6"/>
  <c r="B177" i="6"/>
  <c r="C176" i="6"/>
  <c r="B176" i="6"/>
  <c r="C175" i="6"/>
  <c r="B175" i="6"/>
  <c r="C174" i="6"/>
  <c r="B174" i="6"/>
  <c r="C173" i="6"/>
  <c r="B173" i="6"/>
  <c r="C172" i="6"/>
  <c r="B172" i="6"/>
  <c r="C171" i="6"/>
  <c r="B171" i="6"/>
  <c r="C170" i="6"/>
  <c r="B170" i="6"/>
  <c r="C169" i="6"/>
  <c r="B169" i="6"/>
  <c r="C168" i="6"/>
  <c r="B168" i="6"/>
  <c r="C167" i="6"/>
  <c r="B167" i="6"/>
  <c r="C166" i="6"/>
  <c r="B166" i="6"/>
  <c r="C165" i="6"/>
  <c r="B165" i="6"/>
  <c r="C164" i="6"/>
  <c r="B164" i="6"/>
  <c r="C163" i="6"/>
  <c r="B163" i="6"/>
  <c r="C162" i="6"/>
  <c r="B162" i="6"/>
  <c r="C161" i="6"/>
  <c r="B161" i="6"/>
  <c r="C160" i="6"/>
  <c r="B160" i="6"/>
  <c r="C159" i="6"/>
  <c r="B159" i="6"/>
  <c r="C158" i="6"/>
  <c r="B158" i="6"/>
  <c r="C157" i="6"/>
  <c r="B157" i="6"/>
  <c r="C156" i="6"/>
  <c r="B156" i="6"/>
  <c r="C155" i="6"/>
  <c r="B155" i="6"/>
  <c r="C154" i="6"/>
  <c r="B154" i="6"/>
  <c r="C153" i="6"/>
  <c r="B153" i="6"/>
  <c r="C152" i="6"/>
  <c r="B152" i="6"/>
  <c r="C151" i="6"/>
  <c r="B151" i="6"/>
  <c r="C150" i="6"/>
  <c r="B150" i="6"/>
  <c r="C149" i="6"/>
  <c r="B149" i="6"/>
  <c r="C148" i="6"/>
  <c r="B148" i="6"/>
  <c r="C147" i="6"/>
  <c r="B147" i="6"/>
  <c r="C146" i="6"/>
  <c r="B146" i="6"/>
  <c r="C145" i="6"/>
  <c r="B145" i="6"/>
  <c r="C144" i="6"/>
  <c r="B144" i="6"/>
  <c r="C143" i="6"/>
  <c r="B143" i="6"/>
  <c r="C142" i="6"/>
  <c r="B142" i="6"/>
  <c r="C141" i="6"/>
  <c r="B141" i="6"/>
  <c r="C140" i="6"/>
  <c r="B140" i="6"/>
  <c r="C139" i="6"/>
  <c r="B139" i="6"/>
  <c r="C138" i="6"/>
  <c r="B138" i="6"/>
  <c r="C137" i="6"/>
  <c r="B137" i="6"/>
  <c r="C136" i="6"/>
  <c r="B136" i="6"/>
  <c r="C135" i="6"/>
  <c r="B135" i="6"/>
  <c r="C134" i="6"/>
  <c r="B134" i="6"/>
  <c r="C133" i="6"/>
  <c r="B133" i="6"/>
  <c r="C132" i="6"/>
  <c r="B132" i="6"/>
  <c r="C131" i="6"/>
  <c r="B131" i="6"/>
  <c r="C130" i="6"/>
  <c r="B130" i="6"/>
  <c r="C129" i="6"/>
  <c r="B129" i="6"/>
  <c r="C128" i="6"/>
  <c r="B128" i="6"/>
  <c r="C127" i="6"/>
  <c r="B127" i="6"/>
  <c r="C126" i="6"/>
  <c r="B126" i="6"/>
  <c r="C125" i="6"/>
  <c r="B125" i="6"/>
  <c r="C124" i="6"/>
  <c r="B124" i="6"/>
  <c r="C123" i="6"/>
  <c r="B123" i="6"/>
  <c r="C122" i="6"/>
  <c r="B122" i="6"/>
  <c r="C121" i="6"/>
  <c r="B121" i="6"/>
  <c r="C120" i="6"/>
  <c r="B120" i="6"/>
  <c r="C119" i="6"/>
  <c r="B119" i="6"/>
  <c r="C118" i="6"/>
  <c r="B118" i="6"/>
  <c r="C117" i="6"/>
  <c r="B117" i="6"/>
  <c r="C116" i="6"/>
  <c r="B116" i="6"/>
  <c r="C115" i="6"/>
  <c r="B115" i="6"/>
  <c r="C114" i="6"/>
  <c r="B114" i="6"/>
  <c r="C113" i="6"/>
  <c r="B113" i="6"/>
  <c r="C112" i="6"/>
  <c r="B112" i="6"/>
  <c r="C111" i="6"/>
  <c r="B111" i="6"/>
  <c r="C110" i="6"/>
  <c r="B110" i="6"/>
  <c r="C109" i="6"/>
  <c r="B109" i="6"/>
  <c r="C108" i="6"/>
  <c r="B108" i="6"/>
  <c r="C107" i="6"/>
  <c r="B107" i="6"/>
  <c r="C106" i="6"/>
  <c r="B106" i="6"/>
  <c r="C105" i="6"/>
  <c r="B105" i="6"/>
  <c r="C104" i="6"/>
  <c r="B104" i="6"/>
  <c r="C103" i="6"/>
  <c r="B103" i="6"/>
  <c r="C102" i="6"/>
  <c r="B102" i="6"/>
  <c r="C101" i="6"/>
  <c r="B101" i="6"/>
  <c r="C100" i="6"/>
  <c r="B100" i="6"/>
  <c r="C99" i="6"/>
  <c r="B99" i="6"/>
  <c r="C98" i="6"/>
  <c r="B98" i="6"/>
  <c r="C97" i="6"/>
  <c r="B97" i="6"/>
  <c r="C96" i="6"/>
  <c r="B96" i="6"/>
  <c r="C95" i="6"/>
  <c r="B95" i="6"/>
  <c r="C94" i="6"/>
  <c r="B94" i="6"/>
  <c r="C93" i="6"/>
  <c r="B93" i="6"/>
  <c r="C92" i="6"/>
  <c r="B92" i="6"/>
  <c r="C91" i="6"/>
  <c r="B91" i="6"/>
  <c r="C90" i="6"/>
  <c r="B90" i="6"/>
  <c r="C89" i="6"/>
  <c r="B89" i="6"/>
  <c r="C88" i="6"/>
  <c r="B88" i="6"/>
  <c r="C87" i="6"/>
  <c r="B87" i="6"/>
  <c r="C86" i="6"/>
  <c r="B86" i="6"/>
  <c r="C85" i="6"/>
  <c r="B85" i="6"/>
  <c r="C84" i="6"/>
  <c r="B84" i="6"/>
  <c r="C83" i="6"/>
  <c r="B83" i="6"/>
  <c r="C82" i="6"/>
  <c r="B82" i="6"/>
  <c r="C81" i="6"/>
  <c r="B81" i="6"/>
  <c r="C80" i="6"/>
  <c r="B80" i="6"/>
  <c r="C79" i="6"/>
  <c r="B79" i="6"/>
  <c r="C78" i="6"/>
  <c r="B78" i="6"/>
  <c r="C77" i="6"/>
  <c r="B77" i="6"/>
  <c r="C76" i="6"/>
  <c r="B76" i="6"/>
  <c r="C75" i="6"/>
  <c r="B75" i="6"/>
  <c r="C74" i="6"/>
  <c r="B74" i="6"/>
  <c r="C73" i="6"/>
  <c r="B73" i="6"/>
  <c r="C72" i="6"/>
  <c r="B72" i="6"/>
  <c r="C71" i="6"/>
  <c r="B71" i="6"/>
  <c r="C70" i="6"/>
  <c r="B70" i="6"/>
  <c r="C69" i="6"/>
  <c r="B69" i="6"/>
  <c r="C68" i="6"/>
  <c r="B68" i="6"/>
  <c r="C67" i="6"/>
  <c r="B67" i="6"/>
  <c r="C66" i="6"/>
  <c r="B66" i="6"/>
  <c r="C65" i="6"/>
  <c r="B65" i="6"/>
  <c r="C64" i="6"/>
  <c r="B64" i="6"/>
  <c r="C63" i="6"/>
  <c r="B63" i="6"/>
  <c r="C62" i="6"/>
  <c r="B62" i="6"/>
  <c r="C61" i="6"/>
  <c r="B61" i="6"/>
  <c r="C60" i="6"/>
  <c r="B60" i="6"/>
  <c r="C59" i="6"/>
  <c r="B59" i="6"/>
  <c r="C58" i="6"/>
  <c r="B58" i="6"/>
  <c r="C57" i="6"/>
  <c r="B57" i="6"/>
  <c r="C56" i="6"/>
  <c r="B56" i="6"/>
  <c r="C55" i="6"/>
  <c r="B55" i="6"/>
  <c r="C54" i="6"/>
  <c r="B54" i="6"/>
  <c r="C53" i="6"/>
  <c r="B53" i="6"/>
  <c r="C52" i="6"/>
  <c r="B52" i="6"/>
  <c r="C51" i="6"/>
  <c r="B51" i="6"/>
  <c r="C50" i="6"/>
  <c r="B50" i="6"/>
  <c r="C49" i="6"/>
  <c r="B49" i="6"/>
  <c r="C48" i="6"/>
  <c r="B48" i="6"/>
  <c r="C47" i="6"/>
  <c r="B47" i="6"/>
  <c r="C46" i="6"/>
  <c r="B46" i="6"/>
  <c r="C45" i="6"/>
  <c r="B45" i="6"/>
  <c r="C44" i="6"/>
  <c r="B44" i="6"/>
  <c r="C43" i="6"/>
  <c r="B43" i="6"/>
  <c r="C42" i="6"/>
  <c r="B42" i="6"/>
  <c r="C41" i="6"/>
  <c r="B41" i="6"/>
  <c r="C40" i="6"/>
  <c r="B40" i="6"/>
  <c r="C39" i="6"/>
  <c r="B39" i="6"/>
  <c r="C38" i="6"/>
  <c r="B38" i="6"/>
  <c r="C37" i="6"/>
  <c r="B37" i="6"/>
  <c r="C36" i="6"/>
  <c r="B36" i="6"/>
  <c r="C35" i="6"/>
  <c r="B35" i="6"/>
  <c r="C34" i="6"/>
  <c r="B34" i="6"/>
  <c r="C33" i="6"/>
  <c r="B33" i="6"/>
  <c r="C32" i="6"/>
  <c r="B32" i="6"/>
  <c r="C31" i="6"/>
  <c r="B31" i="6"/>
  <c r="C30" i="6"/>
  <c r="B30" i="6"/>
  <c r="C29" i="6"/>
  <c r="B29" i="6"/>
  <c r="C28" i="6"/>
  <c r="B28" i="6"/>
  <c r="C27" i="6"/>
  <c r="B27" i="6"/>
  <c r="C26" i="6"/>
  <c r="B26" i="6"/>
  <c r="C25" i="6"/>
  <c r="B25" i="6"/>
  <c r="C24" i="6"/>
  <c r="B24" i="6"/>
  <c r="C23" i="6"/>
  <c r="B23" i="6"/>
  <c r="C22" i="6"/>
  <c r="B22" i="6"/>
  <c r="C21" i="6"/>
  <c r="B21" i="6"/>
  <c r="C20" i="6"/>
  <c r="B20" i="6"/>
  <c r="C19" i="6"/>
  <c r="B19" i="6"/>
  <c r="C18" i="6"/>
  <c r="B18" i="6"/>
  <c r="C17" i="6"/>
  <c r="B17" i="6"/>
  <c r="C16" i="6"/>
  <c r="B16" i="6"/>
  <c r="C15" i="6"/>
  <c r="B15" i="6"/>
  <c r="C14" i="6"/>
  <c r="B14" i="6"/>
  <c r="C13" i="6"/>
  <c r="B13" i="6"/>
  <c r="C12" i="6"/>
  <c r="B12" i="6"/>
  <c r="C11" i="6"/>
  <c r="B11" i="6"/>
  <c r="C10" i="6"/>
  <c r="B10" i="6"/>
  <c r="C9" i="6"/>
  <c r="B9" i="6"/>
  <c r="C8" i="6"/>
  <c r="B8" i="6"/>
  <c r="C7" i="6"/>
  <c r="B7" i="6"/>
  <c r="C6" i="6"/>
  <c r="B6" i="6"/>
  <c r="F5" i="6"/>
  <c r="E5" i="6"/>
  <c r="C5" i="6"/>
  <c r="B5" i="6"/>
  <c r="G5" i="6" s="1"/>
  <c r="F4" i="6"/>
  <c r="E4" i="6"/>
  <c r="C4" i="6"/>
  <c r="B4" i="6"/>
  <c r="G4" i="6" s="1"/>
  <c r="B2" i="6"/>
  <c r="D4" i="6" l="1"/>
  <c r="D5" i="6" s="1"/>
  <c r="H7" i="2"/>
  <c r="I7" i="2"/>
  <c r="H8" i="2"/>
  <c r="I8" i="2"/>
  <c r="H9" i="2"/>
  <c r="I9" i="2"/>
  <c r="H10" i="2"/>
  <c r="I10" i="2"/>
  <c r="H11" i="2"/>
  <c r="I11" i="2"/>
  <c r="H12" i="2"/>
  <c r="I12" i="2"/>
  <c r="H13" i="2"/>
  <c r="I13" i="2"/>
  <c r="H14" i="2"/>
  <c r="I14" i="2"/>
  <c r="H15" i="2"/>
  <c r="I15" i="2"/>
  <c r="H16" i="2"/>
  <c r="I16" i="2"/>
  <c r="H17" i="2"/>
  <c r="I17" i="2"/>
  <c r="H18" i="2"/>
  <c r="I18" i="2"/>
  <c r="H19" i="2"/>
  <c r="I19" i="2"/>
  <c r="H20" i="2"/>
  <c r="I20" i="2"/>
  <c r="H21" i="2"/>
  <c r="I21" i="2"/>
  <c r="H22" i="2"/>
  <c r="I22" i="2"/>
  <c r="H23" i="2"/>
  <c r="I23" i="2"/>
  <c r="H24" i="2"/>
  <c r="I24" i="2"/>
  <c r="H25" i="2"/>
  <c r="I25" i="2"/>
  <c r="H26" i="2"/>
  <c r="I26" i="2"/>
  <c r="H27" i="2"/>
  <c r="I27" i="2"/>
  <c r="H28" i="2"/>
  <c r="I28" i="2"/>
  <c r="H29" i="2"/>
  <c r="I29" i="2"/>
  <c r="H30" i="2"/>
  <c r="I30" i="2"/>
  <c r="H31" i="2"/>
  <c r="I31" i="2"/>
  <c r="H32" i="2"/>
  <c r="I32" i="2"/>
  <c r="H33" i="2"/>
  <c r="I33" i="2"/>
  <c r="H34" i="2"/>
  <c r="I34" i="2"/>
  <c r="H35" i="2"/>
  <c r="I35" i="2"/>
  <c r="H36" i="2"/>
  <c r="I36" i="2"/>
  <c r="H37" i="2"/>
  <c r="I37" i="2"/>
  <c r="H38" i="2"/>
  <c r="I38" i="2"/>
  <c r="H39" i="2"/>
  <c r="I39" i="2"/>
  <c r="H40" i="2"/>
  <c r="I40" i="2"/>
  <c r="H41" i="2"/>
  <c r="I41" i="2"/>
  <c r="H42" i="2"/>
  <c r="I42" i="2"/>
  <c r="H43" i="2"/>
  <c r="I43" i="2"/>
  <c r="H44" i="2"/>
  <c r="I44" i="2"/>
  <c r="H45" i="2"/>
  <c r="I45" i="2"/>
  <c r="H46" i="2"/>
  <c r="I46" i="2"/>
  <c r="H47" i="2"/>
  <c r="I47" i="2"/>
  <c r="H48" i="2"/>
  <c r="I48" i="2"/>
  <c r="H49" i="2"/>
  <c r="I49" i="2"/>
  <c r="H50" i="2"/>
  <c r="I50" i="2"/>
  <c r="H51" i="2"/>
  <c r="I51" i="2"/>
  <c r="H52" i="2"/>
  <c r="I52" i="2"/>
  <c r="H53" i="2"/>
  <c r="I53" i="2"/>
  <c r="H54" i="2"/>
  <c r="I54" i="2"/>
  <c r="H55" i="2"/>
  <c r="I55" i="2"/>
  <c r="H56" i="2"/>
  <c r="I56" i="2"/>
  <c r="H57" i="2"/>
  <c r="I57" i="2"/>
  <c r="H58" i="2"/>
  <c r="I58" i="2"/>
  <c r="H59" i="2"/>
  <c r="I59" i="2"/>
  <c r="H60" i="2"/>
  <c r="I60" i="2"/>
  <c r="H61" i="2"/>
  <c r="I61" i="2"/>
  <c r="H62" i="2"/>
  <c r="I62" i="2"/>
  <c r="H63" i="2"/>
  <c r="I63" i="2"/>
  <c r="H64" i="2"/>
  <c r="I64" i="2"/>
  <c r="H65" i="2"/>
  <c r="I65" i="2"/>
  <c r="H66" i="2"/>
  <c r="I66" i="2"/>
  <c r="H67" i="2"/>
  <c r="I67" i="2"/>
  <c r="H68" i="2"/>
  <c r="I68" i="2"/>
  <c r="H69" i="2"/>
  <c r="I69" i="2"/>
  <c r="H70" i="2"/>
  <c r="I70" i="2"/>
  <c r="H71" i="2"/>
  <c r="I71" i="2"/>
  <c r="H72" i="2"/>
  <c r="I72" i="2"/>
  <c r="H73" i="2"/>
  <c r="I73" i="2"/>
  <c r="H74" i="2"/>
  <c r="I74" i="2"/>
  <c r="H75" i="2"/>
  <c r="I75" i="2"/>
  <c r="H76" i="2"/>
  <c r="I76" i="2"/>
  <c r="H77" i="2"/>
  <c r="I77" i="2"/>
  <c r="H78" i="2"/>
  <c r="I78" i="2"/>
  <c r="H79" i="2"/>
  <c r="I79" i="2"/>
  <c r="H80" i="2"/>
  <c r="I80" i="2"/>
  <c r="H81" i="2"/>
  <c r="I81" i="2"/>
  <c r="H82" i="2"/>
  <c r="I82" i="2"/>
  <c r="H83" i="2"/>
  <c r="I83" i="2"/>
  <c r="H84" i="2"/>
  <c r="I84" i="2"/>
  <c r="H85" i="2"/>
  <c r="I85" i="2"/>
  <c r="H86" i="2"/>
  <c r="I86" i="2"/>
  <c r="H87" i="2"/>
  <c r="I87" i="2"/>
  <c r="H88" i="2"/>
  <c r="I88" i="2"/>
  <c r="H89" i="2"/>
  <c r="I89" i="2"/>
  <c r="H90" i="2"/>
  <c r="I90" i="2"/>
  <c r="H91" i="2"/>
  <c r="I91" i="2"/>
  <c r="H92" i="2"/>
  <c r="I92" i="2"/>
  <c r="H93" i="2"/>
  <c r="I93" i="2"/>
  <c r="H94" i="2"/>
  <c r="I94" i="2"/>
  <c r="H95" i="2"/>
  <c r="I95" i="2"/>
  <c r="H96" i="2"/>
  <c r="I96" i="2"/>
  <c r="H97" i="2"/>
  <c r="I97" i="2"/>
  <c r="H98" i="2"/>
  <c r="I98" i="2"/>
  <c r="H99" i="2"/>
  <c r="I99" i="2"/>
  <c r="H100" i="2"/>
  <c r="I100" i="2"/>
  <c r="H101" i="2"/>
  <c r="I101" i="2"/>
  <c r="H102" i="2"/>
  <c r="I102" i="2"/>
  <c r="H103" i="2"/>
  <c r="I103" i="2"/>
  <c r="H104" i="2"/>
  <c r="I104" i="2"/>
  <c r="H105" i="2"/>
  <c r="I105" i="2"/>
  <c r="H106" i="2"/>
  <c r="I106" i="2"/>
  <c r="H107" i="2"/>
  <c r="I107" i="2"/>
  <c r="H108" i="2"/>
  <c r="I108" i="2"/>
  <c r="H109" i="2"/>
  <c r="I109" i="2"/>
  <c r="H110" i="2"/>
  <c r="I110" i="2"/>
  <c r="H111" i="2"/>
  <c r="I111" i="2"/>
  <c r="H112" i="2"/>
  <c r="I112" i="2"/>
  <c r="H113" i="2"/>
  <c r="I113" i="2"/>
  <c r="H114" i="2"/>
  <c r="I114" i="2"/>
  <c r="H115" i="2"/>
  <c r="I115" i="2"/>
  <c r="H116" i="2"/>
  <c r="I116" i="2"/>
  <c r="H117" i="2"/>
  <c r="I117" i="2"/>
  <c r="H118" i="2"/>
  <c r="I118" i="2"/>
  <c r="H119" i="2"/>
  <c r="I119" i="2"/>
  <c r="H120" i="2"/>
  <c r="I120" i="2"/>
  <c r="H121" i="2"/>
  <c r="I121" i="2"/>
  <c r="H122" i="2"/>
  <c r="I122" i="2"/>
  <c r="H123" i="2"/>
  <c r="I123" i="2"/>
  <c r="H124" i="2"/>
  <c r="I124" i="2"/>
  <c r="H125" i="2"/>
  <c r="I125" i="2"/>
  <c r="H126" i="2"/>
  <c r="I126" i="2"/>
  <c r="H127" i="2"/>
  <c r="I127" i="2"/>
  <c r="H128" i="2"/>
  <c r="I128" i="2"/>
  <c r="H129" i="2"/>
  <c r="I129" i="2"/>
  <c r="H130" i="2"/>
  <c r="I130" i="2"/>
  <c r="H131" i="2"/>
  <c r="I131" i="2"/>
  <c r="H132" i="2"/>
  <c r="I132" i="2"/>
  <c r="H133" i="2"/>
  <c r="I133" i="2"/>
  <c r="H134" i="2"/>
  <c r="I134" i="2"/>
  <c r="H135" i="2"/>
  <c r="I135" i="2"/>
  <c r="H136" i="2"/>
  <c r="I136" i="2"/>
  <c r="H137" i="2"/>
  <c r="I137" i="2"/>
  <c r="H138" i="2"/>
  <c r="I138" i="2"/>
  <c r="H139" i="2"/>
  <c r="I139" i="2"/>
  <c r="H140" i="2"/>
  <c r="I140" i="2"/>
  <c r="H141" i="2"/>
  <c r="I141" i="2"/>
  <c r="H142" i="2"/>
  <c r="I142" i="2"/>
  <c r="H143" i="2"/>
  <c r="I143" i="2"/>
  <c r="H144" i="2"/>
  <c r="I144" i="2"/>
  <c r="H145" i="2"/>
  <c r="I145" i="2"/>
  <c r="H146" i="2"/>
  <c r="I146" i="2"/>
  <c r="H147" i="2"/>
  <c r="I147" i="2"/>
  <c r="H148" i="2"/>
  <c r="I148" i="2"/>
  <c r="H149" i="2"/>
  <c r="I149" i="2"/>
  <c r="H150" i="2"/>
  <c r="I150" i="2"/>
  <c r="H151" i="2"/>
  <c r="I151" i="2"/>
  <c r="H152" i="2"/>
  <c r="I152" i="2"/>
  <c r="H153" i="2"/>
  <c r="I153" i="2"/>
  <c r="H154" i="2"/>
  <c r="I154" i="2"/>
  <c r="H155" i="2"/>
  <c r="I155" i="2"/>
  <c r="H156" i="2"/>
  <c r="I156" i="2"/>
  <c r="H157" i="2"/>
  <c r="I157" i="2"/>
  <c r="H158" i="2"/>
  <c r="I158" i="2"/>
  <c r="H159" i="2"/>
  <c r="I159" i="2"/>
  <c r="H160" i="2"/>
  <c r="I160" i="2"/>
  <c r="H161" i="2"/>
  <c r="I161" i="2"/>
  <c r="H162" i="2"/>
  <c r="I162" i="2"/>
  <c r="H163" i="2"/>
  <c r="I163" i="2"/>
  <c r="H164" i="2"/>
  <c r="I164" i="2"/>
  <c r="H165" i="2"/>
  <c r="I165" i="2"/>
  <c r="H166" i="2"/>
  <c r="I166" i="2"/>
  <c r="H167" i="2"/>
  <c r="I167" i="2"/>
  <c r="H168" i="2"/>
  <c r="I168" i="2"/>
  <c r="H169" i="2"/>
  <c r="I169" i="2"/>
  <c r="H170" i="2"/>
  <c r="I170" i="2"/>
  <c r="H171" i="2"/>
  <c r="I171" i="2"/>
  <c r="H172" i="2"/>
  <c r="I172" i="2"/>
  <c r="H173" i="2"/>
  <c r="I173" i="2"/>
  <c r="H174" i="2"/>
  <c r="I174" i="2"/>
  <c r="H175" i="2"/>
  <c r="I175" i="2"/>
  <c r="H176" i="2"/>
  <c r="I176" i="2"/>
  <c r="H177" i="2"/>
  <c r="I177" i="2"/>
  <c r="H178" i="2"/>
  <c r="I178" i="2"/>
  <c r="H179" i="2"/>
  <c r="I179" i="2"/>
  <c r="H180" i="2"/>
  <c r="I180" i="2"/>
  <c r="H181" i="2"/>
  <c r="I181" i="2"/>
  <c r="H182" i="2"/>
  <c r="I182" i="2"/>
  <c r="H183" i="2"/>
  <c r="I183" i="2"/>
  <c r="H184" i="2"/>
  <c r="I184" i="2"/>
  <c r="H185" i="2"/>
  <c r="I185" i="2"/>
  <c r="H186" i="2"/>
  <c r="I186" i="2"/>
  <c r="H187" i="2"/>
  <c r="I187" i="2"/>
  <c r="H188" i="2"/>
  <c r="I188" i="2"/>
  <c r="H189" i="2"/>
  <c r="I189" i="2"/>
  <c r="H190" i="2"/>
  <c r="I190" i="2"/>
  <c r="H191" i="2"/>
  <c r="I191" i="2"/>
  <c r="H192" i="2"/>
  <c r="I192" i="2"/>
  <c r="H193" i="2"/>
  <c r="I193" i="2"/>
  <c r="H194" i="2"/>
  <c r="I194" i="2"/>
  <c r="H195" i="2"/>
  <c r="I195" i="2"/>
  <c r="H196" i="2"/>
  <c r="I196" i="2"/>
  <c r="H197" i="2"/>
  <c r="I197" i="2"/>
  <c r="H198" i="2"/>
  <c r="I198" i="2"/>
  <c r="H199" i="2"/>
  <c r="I199" i="2"/>
  <c r="H200" i="2"/>
  <c r="I200" i="2"/>
  <c r="H201" i="2"/>
  <c r="I201" i="2"/>
  <c r="H202" i="2"/>
  <c r="I202" i="2"/>
  <c r="H203" i="2"/>
  <c r="I203" i="2"/>
  <c r="H204" i="2"/>
  <c r="I204" i="2"/>
  <c r="H205" i="2"/>
  <c r="I205" i="2"/>
  <c r="H206" i="2"/>
  <c r="I206" i="2"/>
  <c r="H207" i="2"/>
  <c r="I207" i="2"/>
  <c r="H208" i="2"/>
  <c r="I208" i="2"/>
  <c r="H209" i="2"/>
  <c r="I209" i="2"/>
  <c r="H210" i="2"/>
  <c r="I210" i="2"/>
  <c r="H211" i="2"/>
  <c r="I211" i="2"/>
  <c r="H212" i="2"/>
  <c r="I212" i="2"/>
  <c r="H213" i="2"/>
  <c r="I213" i="2"/>
  <c r="H214" i="2"/>
  <c r="I214" i="2"/>
  <c r="H215" i="2"/>
  <c r="I215" i="2"/>
  <c r="H216" i="2"/>
  <c r="I216" i="2"/>
  <c r="H217" i="2"/>
  <c r="I217" i="2"/>
  <c r="H218" i="2"/>
  <c r="I218" i="2"/>
  <c r="H219" i="2"/>
  <c r="I219" i="2"/>
  <c r="H220" i="2"/>
  <c r="I220" i="2"/>
  <c r="H221" i="2"/>
  <c r="I221" i="2"/>
  <c r="H222" i="2"/>
  <c r="I222" i="2"/>
  <c r="H223" i="2"/>
  <c r="I223" i="2"/>
  <c r="H224" i="2"/>
  <c r="I224" i="2"/>
  <c r="H225" i="2"/>
  <c r="I225" i="2"/>
  <c r="H226" i="2"/>
  <c r="I226" i="2"/>
  <c r="H227" i="2"/>
  <c r="I227" i="2"/>
  <c r="H228" i="2"/>
  <c r="I228" i="2"/>
  <c r="H229" i="2"/>
  <c r="I229" i="2"/>
  <c r="H230" i="2"/>
  <c r="I230" i="2"/>
  <c r="H231" i="2"/>
  <c r="I231" i="2"/>
  <c r="H232" i="2"/>
  <c r="I232" i="2"/>
  <c r="H233" i="2"/>
  <c r="I233" i="2"/>
  <c r="H234" i="2"/>
  <c r="I234" i="2"/>
  <c r="H235" i="2"/>
  <c r="I235" i="2"/>
  <c r="H236" i="2"/>
  <c r="I236" i="2"/>
  <c r="H237" i="2"/>
  <c r="I237" i="2"/>
  <c r="H238" i="2"/>
  <c r="I238" i="2"/>
  <c r="H239" i="2"/>
  <c r="I239" i="2"/>
  <c r="H240" i="2"/>
  <c r="I240" i="2"/>
  <c r="H241" i="2"/>
  <c r="I241" i="2"/>
  <c r="H242" i="2"/>
  <c r="I242" i="2"/>
  <c r="H243" i="2"/>
  <c r="I243" i="2"/>
  <c r="H244" i="2"/>
  <c r="I244" i="2"/>
  <c r="H245" i="2"/>
  <c r="I245" i="2"/>
  <c r="H246" i="2"/>
  <c r="I246" i="2"/>
  <c r="H247" i="2"/>
  <c r="I247" i="2"/>
  <c r="H248" i="2"/>
  <c r="I248" i="2"/>
  <c r="H249" i="2"/>
  <c r="I249" i="2"/>
  <c r="H250" i="2"/>
  <c r="I250" i="2"/>
  <c r="H251" i="2"/>
  <c r="I251" i="2"/>
  <c r="H252" i="2"/>
  <c r="I252" i="2"/>
  <c r="H253" i="2"/>
  <c r="I253" i="2"/>
  <c r="H254" i="2"/>
  <c r="I254" i="2"/>
  <c r="H255" i="2"/>
  <c r="I255" i="2"/>
  <c r="H256" i="2"/>
  <c r="I256" i="2"/>
  <c r="H257" i="2"/>
  <c r="I257" i="2"/>
  <c r="H258" i="2"/>
  <c r="I258" i="2"/>
  <c r="H259" i="2"/>
  <c r="I259" i="2"/>
  <c r="H260" i="2"/>
  <c r="I260" i="2"/>
  <c r="H261" i="2"/>
  <c r="I261" i="2"/>
  <c r="H262" i="2"/>
  <c r="I262" i="2"/>
  <c r="H263" i="2"/>
  <c r="I263" i="2"/>
  <c r="H264" i="2"/>
  <c r="I264" i="2"/>
  <c r="H265" i="2"/>
  <c r="I265" i="2"/>
  <c r="H266" i="2"/>
  <c r="I266" i="2"/>
  <c r="H267" i="2"/>
  <c r="I267" i="2"/>
  <c r="H268" i="2"/>
  <c r="I268" i="2"/>
  <c r="H269" i="2"/>
  <c r="I269" i="2"/>
  <c r="H270" i="2"/>
  <c r="I270" i="2"/>
  <c r="H271" i="2"/>
  <c r="I271" i="2"/>
  <c r="H272" i="2"/>
  <c r="I272" i="2"/>
  <c r="H273" i="2"/>
  <c r="I273" i="2"/>
  <c r="H274" i="2"/>
  <c r="I274" i="2"/>
  <c r="H275" i="2"/>
  <c r="I275" i="2"/>
  <c r="H276" i="2"/>
  <c r="I276" i="2"/>
  <c r="H277" i="2"/>
  <c r="I277" i="2"/>
  <c r="H278" i="2"/>
  <c r="I278" i="2"/>
  <c r="H279" i="2"/>
  <c r="I279" i="2"/>
  <c r="H280" i="2"/>
  <c r="I280" i="2"/>
  <c r="H281" i="2"/>
  <c r="I281" i="2"/>
  <c r="H282" i="2"/>
  <c r="I282" i="2"/>
  <c r="H283" i="2"/>
  <c r="I283" i="2"/>
  <c r="H284" i="2"/>
  <c r="I284" i="2"/>
  <c r="H285" i="2"/>
  <c r="I285" i="2"/>
  <c r="H286" i="2"/>
  <c r="I286" i="2"/>
  <c r="H287" i="2"/>
  <c r="I287" i="2"/>
  <c r="H288" i="2"/>
  <c r="I288" i="2"/>
  <c r="H289" i="2"/>
  <c r="I289" i="2"/>
  <c r="H290" i="2"/>
  <c r="I290" i="2"/>
  <c r="H291" i="2"/>
  <c r="I291" i="2"/>
  <c r="H292" i="2"/>
  <c r="I292" i="2"/>
  <c r="H293" i="2"/>
  <c r="I293" i="2"/>
  <c r="H294" i="2"/>
  <c r="I294" i="2"/>
  <c r="H295" i="2"/>
  <c r="I295" i="2"/>
  <c r="H296" i="2"/>
  <c r="I296" i="2"/>
  <c r="H297" i="2"/>
  <c r="I297" i="2"/>
  <c r="H298" i="2"/>
  <c r="I298" i="2"/>
  <c r="H299" i="2"/>
  <c r="I299" i="2"/>
  <c r="H300" i="2"/>
  <c r="I300" i="2"/>
  <c r="H301" i="2"/>
  <c r="I301" i="2"/>
  <c r="H302" i="2"/>
  <c r="I302" i="2"/>
  <c r="H303" i="2"/>
  <c r="I303" i="2"/>
  <c r="H304" i="2"/>
  <c r="I304" i="2"/>
  <c r="H305" i="2"/>
  <c r="I305" i="2"/>
  <c r="H306" i="2"/>
  <c r="I306" i="2"/>
  <c r="H307" i="2"/>
  <c r="I307" i="2"/>
  <c r="H308" i="2"/>
  <c r="I308" i="2"/>
  <c r="H309" i="2"/>
  <c r="I309" i="2"/>
  <c r="H310" i="2"/>
  <c r="I310" i="2"/>
  <c r="H311" i="2"/>
  <c r="I311" i="2"/>
  <c r="H312" i="2"/>
  <c r="I312" i="2"/>
  <c r="H313" i="2"/>
  <c r="I313" i="2"/>
  <c r="H314" i="2"/>
  <c r="I314" i="2"/>
  <c r="H315" i="2"/>
  <c r="I315" i="2"/>
  <c r="H316" i="2"/>
  <c r="I316" i="2"/>
  <c r="H317" i="2"/>
  <c r="I317" i="2"/>
  <c r="H318" i="2"/>
  <c r="I318" i="2"/>
  <c r="H319" i="2"/>
  <c r="I319" i="2"/>
  <c r="H320" i="2"/>
  <c r="I320" i="2"/>
  <c r="H321" i="2"/>
  <c r="I321" i="2"/>
  <c r="H322" i="2"/>
  <c r="I322" i="2"/>
  <c r="H323" i="2"/>
  <c r="I323" i="2"/>
  <c r="H324" i="2"/>
  <c r="I324" i="2"/>
  <c r="H325" i="2"/>
  <c r="I325" i="2"/>
  <c r="H326" i="2"/>
  <c r="I326" i="2"/>
  <c r="H327" i="2"/>
  <c r="I327" i="2"/>
  <c r="H328" i="2"/>
  <c r="I328" i="2"/>
  <c r="H329" i="2"/>
  <c r="I329" i="2"/>
  <c r="H330" i="2"/>
  <c r="I330" i="2"/>
  <c r="H331" i="2"/>
  <c r="I331" i="2"/>
  <c r="H332" i="2"/>
  <c r="I332" i="2"/>
  <c r="H333" i="2"/>
  <c r="I333" i="2"/>
  <c r="H334" i="2"/>
  <c r="I334" i="2"/>
  <c r="H335" i="2"/>
  <c r="I335" i="2"/>
  <c r="H336" i="2"/>
  <c r="I336" i="2"/>
  <c r="H337" i="2"/>
  <c r="I337" i="2"/>
  <c r="H338" i="2"/>
  <c r="I338" i="2"/>
  <c r="H339" i="2"/>
  <c r="I339" i="2"/>
  <c r="H340" i="2"/>
  <c r="I340" i="2"/>
  <c r="H341" i="2"/>
  <c r="I341" i="2"/>
  <c r="H342" i="2"/>
  <c r="I342" i="2"/>
  <c r="H343" i="2"/>
  <c r="I343" i="2"/>
  <c r="H344" i="2"/>
  <c r="I344" i="2"/>
  <c r="H345" i="2"/>
  <c r="I345" i="2"/>
  <c r="H346" i="2"/>
  <c r="I346" i="2"/>
  <c r="H347" i="2"/>
  <c r="I347" i="2"/>
  <c r="H348" i="2"/>
  <c r="I348" i="2"/>
  <c r="H349" i="2"/>
  <c r="I349" i="2"/>
  <c r="H350" i="2"/>
  <c r="I350" i="2"/>
  <c r="H351" i="2"/>
  <c r="I351" i="2"/>
  <c r="H352" i="2"/>
  <c r="I352" i="2"/>
  <c r="H353" i="2"/>
  <c r="I353" i="2"/>
  <c r="H354" i="2"/>
  <c r="I354" i="2"/>
  <c r="H355" i="2"/>
  <c r="I355" i="2"/>
  <c r="H356" i="2"/>
  <c r="I356" i="2"/>
  <c r="H357" i="2"/>
  <c r="I357" i="2"/>
  <c r="H358" i="2"/>
  <c r="I358" i="2"/>
  <c r="H359" i="2"/>
  <c r="I359" i="2"/>
  <c r="H360" i="2"/>
  <c r="I360" i="2"/>
  <c r="H361" i="2"/>
  <c r="I361" i="2"/>
  <c r="H362" i="2"/>
  <c r="I362" i="2"/>
  <c r="H363" i="2"/>
  <c r="I363" i="2"/>
  <c r="H364" i="2"/>
  <c r="I364" i="2"/>
  <c r="H365" i="2"/>
  <c r="I365" i="2"/>
  <c r="H366" i="2"/>
  <c r="I366" i="2"/>
  <c r="H367" i="2"/>
  <c r="I367" i="2"/>
  <c r="H368" i="2"/>
  <c r="I368" i="2"/>
  <c r="H369" i="2"/>
  <c r="I369" i="2"/>
  <c r="H370" i="2"/>
  <c r="I370" i="2"/>
  <c r="H371" i="2"/>
  <c r="I371" i="2"/>
  <c r="H372" i="2"/>
  <c r="I372" i="2"/>
  <c r="H373" i="2"/>
  <c r="I373" i="2"/>
  <c r="H374" i="2"/>
  <c r="I374" i="2"/>
  <c r="H375" i="2"/>
  <c r="I375" i="2"/>
  <c r="H376" i="2"/>
  <c r="I376" i="2"/>
  <c r="H377" i="2"/>
  <c r="I377" i="2"/>
  <c r="H378" i="2"/>
  <c r="I378" i="2"/>
  <c r="H379" i="2"/>
  <c r="I379" i="2"/>
  <c r="H380" i="2"/>
  <c r="I380" i="2"/>
  <c r="H381" i="2"/>
  <c r="I381" i="2"/>
  <c r="H382" i="2"/>
  <c r="I382" i="2"/>
  <c r="H383" i="2"/>
  <c r="I383" i="2"/>
  <c r="H384" i="2"/>
  <c r="I384" i="2"/>
  <c r="H385" i="2"/>
  <c r="I385" i="2"/>
  <c r="H386" i="2"/>
  <c r="I386" i="2"/>
  <c r="H387" i="2"/>
  <c r="I387" i="2"/>
  <c r="H388" i="2"/>
  <c r="I388" i="2"/>
  <c r="H389" i="2"/>
  <c r="I389" i="2"/>
  <c r="H390" i="2"/>
  <c r="I390" i="2"/>
  <c r="H391" i="2"/>
  <c r="I391" i="2"/>
  <c r="H392" i="2"/>
  <c r="I392" i="2"/>
  <c r="H393" i="2"/>
  <c r="I393" i="2"/>
  <c r="H394" i="2"/>
  <c r="I394" i="2"/>
  <c r="H395" i="2"/>
  <c r="I395" i="2"/>
  <c r="H396" i="2"/>
  <c r="I396" i="2"/>
  <c r="H397" i="2"/>
  <c r="I397" i="2"/>
  <c r="H398" i="2"/>
  <c r="I398" i="2"/>
  <c r="H399" i="2"/>
  <c r="I399" i="2"/>
  <c r="H400" i="2"/>
  <c r="I400" i="2"/>
  <c r="H401" i="2"/>
  <c r="I401" i="2"/>
  <c r="H402" i="2"/>
  <c r="I402" i="2"/>
  <c r="H403" i="2"/>
  <c r="I403" i="2"/>
  <c r="H404" i="2"/>
  <c r="I404" i="2"/>
  <c r="H405" i="2"/>
  <c r="I405" i="2"/>
  <c r="H406" i="2"/>
  <c r="I406" i="2"/>
  <c r="H407" i="2"/>
  <c r="I407" i="2"/>
  <c r="H408" i="2"/>
  <c r="I408" i="2"/>
  <c r="H409" i="2"/>
  <c r="I409" i="2"/>
  <c r="H410" i="2"/>
  <c r="I410" i="2"/>
  <c r="H411" i="2"/>
  <c r="I411" i="2"/>
  <c r="H412" i="2"/>
  <c r="I412" i="2"/>
  <c r="H413" i="2"/>
  <c r="I413" i="2"/>
  <c r="H414" i="2"/>
  <c r="I414" i="2"/>
  <c r="H415" i="2"/>
  <c r="I415" i="2"/>
  <c r="H416" i="2"/>
  <c r="I416" i="2"/>
  <c r="H417" i="2"/>
  <c r="I417" i="2"/>
  <c r="H418" i="2"/>
  <c r="I418" i="2"/>
  <c r="H419" i="2"/>
  <c r="I419" i="2"/>
  <c r="H420" i="2"/>
  <c r="I420" i="2"/>
  <c r="H421" i="2"/>
  <c r="I421" i="2"/>
  <c r="H422" i="2"/>
  <c r="I422" i="2"/>
  <c r="H423" i="2"/>
  <c r="I423" i="2"/>
  <c r="H424" i="2"/>
  <c r="I424" i="2"/>
  <c r="H425" i="2"/>
  <c r="I425" i="2"/>
  <c r="H426" i="2"/>
  <c r="I426" i="2"/>
  <c r="H427" i="2"/>
  <c r="I427" i="2"/>
  <c r="H428" i="2"/>
  <c r="I428" i="2"/>
  <c r="H429" i="2"/>
  <c r="I429" i="2"/>
  <c r="H430" i="2"/>
  <c r="I430" i="2"/>
  <c r="H431" i="2"/>
  <c r="I431" i="2"/>
  <c r="H432" i="2"/>
  <c r="I432" i="2"/>
  <c r="H433" i="2"/>
  <c r="I433" i="2"/>
  <c r="H434" i="2"/>
  <c r="I434" i="2"/>
  <c r="H435" i="2"/>
  <c r="I435" i="2"/>
  <c r="H436" i="2"/>
  <c r="I436" i="2"/>
  <c r="H437" i="2"/>
  <c r="I437" i="2"/>
  <c r="H438" i="2"/>
  <c r="I438" i="2"/>
  <c r="H439" i="2"/>
  <c r="I439" i="2"/>
  <c r="H440" i="2"/>
  <c r="I440" i="2"/>
  <c r="H441" i="2"/>
  <c r="I441" i="2"/>
  <c r="H442" i="2"/>
  <c r="I442" i="2"/>
  <c r="H443" i="2"/>
  <c r="I443" i="2"/>
  <c r="H444" i="2"/>
  <c r="I444" i="2"/>
  <c r="H445" i="2"/>
  <c r="I445" i="2"/>
  <c r="H446" i="2"/>
  <c r="I446" i="2"/>
  <c r="H447" i="2"/>
  <c r="I447" i="2"/>
  <c r="H448" i="2"/>
  <c r="I448" i="2"/>
  <c r="H449" i="2"/>
  <c r="I449" i="2"/>
  <c r="H450" i="2"/>
  <c r="I450" i="2"/>
  <c r="H451" i="2"/>
  <c r="I451" i="2"/>
  <c r="H452" i="2"/>
  <c r="I452" i="2"/>
  <c r="H453" i="2"/>
  <c r="I453" i="2"/>
  <c r="H454" i="2"/>
  <c r="I454" i="2"/>
  <c r="H455" i="2"/>
  <c r="I455" i="2"/>
  <c r="H456" i="2"/>
  <c r="I456" i="2"/>
  <c r="H457" i="2"/>
  <c r="I457" i="2"/>
  <c r="H458" i="2"/>
  <c r="I458" i="2"/>
  <c r="H459" i="2"/>
  <c r="I459" i="2"/>
  <c r="H460" i="2"/>
  <c r="I460" i="2"/>
  <c r="H461" i="2"/>
  <c r="I461" i="2"/>
  <c r="H462" i="2"/>
  <c r="I462" i="2"/>
  <c r="H463" i="2"/>
  <c r="I463" i="2"/>
  <c r="H464" i="2"/>
  <c r="I464" i="2"/>
  <c r="H465" i="2"/>
  <c r="I465" i="2"/>
  <c r="H466" i="2"/>
  <c r="I466" i="2"/>
  <c r="H467" i="2"/>
  <c r="I467" i="2"/>
  <c r="H468" i="2"/>
  <c r="I468" i="2"/>
  <c r="H469" i="2"/>
  <c r="I469" i="2"/>
  <c r="H470" i="2"/>
  <c r="I470" i="2"/>
  <c r="H471" i="2"/>
  <c r="I471" i="2"/>
  <c r="H472" i="2"/>
  <c r="I472" i="2"/>
  <c r="H473" i="2"/>
  <c r="I473" i="2"/>
  <c r="H474" i="2"/>
  <c r="I474" i="2"/>
  <c r="H475" i="2"/>
  <c r="I475" i="2"/>
  <c r="H476" i="2"/>
  <c r="I476" i="2"/>
  <c r="H477" i="2"/>
  <c r="I477" i="2"/>
  <c r="H478" i="2"/>
  <c r="I478" i="2"/>
  <c r="H479" i="2"/>
  <c r="I479" i="2"/>
  <c r="H480" i="2"/>
  <c r="I480" i="2"/>
  <c r="H481" i="2"/>
  <c r="I481" i="2"/>
  <c r="H482" i="2"/>
  <c r="I482" i="2"/>
  <c r="H483" i="2"/>
  <c r="I483" i="2"/>
  <c r="H484" i="2"/>
  <c r="I484" i="2"/>
  <c r="H485" i="2"/>
  <c r="I485" i="2"/>
  <c r="H486" i="2"/>
  <c r="I486" i="2"/>
  <c r="H487" i="2"/>
  <c r="I487" i="2"/>
  <c r="H488" i="2"/>
  <c r="I488" i="2"/>
  <c r="H489" i="2"/>
  <c r="I489" i="2"/>
  <c r="H490" i="2"/>
  <c r="I490" i="2"/>
  <c r="H491" i="2"/>
  <c r="I491" i="2"/>
  <c r="H492" i="2"/>
  <c r="I492" i="2"/>
  <c r="H493" i="2"/>
  <c r="I493" i="2"/>
  <c r="H494" i="2"/>
  <c r="I494" i="2"/>
  <c r="H495" i="2"/>
  <c r="I495" i="2"/>
  <c r="H496" i="2"/>
  <c r="I496" i="2"/>
  <c r="H497" i="2"/>
  <c r="I497" i="2"/>
  <c r="H498" i="2"/>
  <c r="I498" i="2"/>
  <c r="H499" i="2"/>
  <c r="I499" i="2"/>
  <c r="H500" i="2"/>
  <c r="I500" i="2"/>
  <c r="H501" i="2"/>
  <c r="I501" i="2"/>
  <c r="H502" i="2"/>
  <c r="I502" i="2"/>
  <c r="H503" i="2"/>
  <c r="I503" i="2"/>
  <c r="H504" i="2"/>
  <c r="I504" i="2"/>
  <c r="H505" i="2"/>
  <c r="I505" i="2"/>
  <c r="H506" i="2"/>
  <c r="I506" i="2"/>
  <c r="H507" i="2"/>
  <c r="I507" i="2"/>
  <c r="H508" i="2"/>
  <c r="I508" i="2"/>
  <c r="H509" i="2"/>
  <c r="I509" i="2"/>
  <c r="H510" i="2"/>
  <c r="I510" i="2"/>
  <c r="H511" i="2"/>
  <c r="I511" i="2"/>
  <c r="H512" i="2"/>
  <c r="I512" i="2"/>
  <c r="H513" i="2"/>
  <c r="I513" i="2"/>
  <c r="H514" i="2"/>
  <c r="I514" i="2"/>
  <c r="H515" i="2"/>
  <c r="I515" i="2"/>
  <c r="H516" i="2"/>
  <c r="I516" i="2"/>
  <c r="H517" i="2"/>
  <c r="I517" i="2"/>
  <c r="H518" i="2"/>
  <c r="I518" i="2"/>
  <c r="H519" i="2"/>
  <c r="I519" i="2"/>
  <c r="H520" i="2"/>
  <c r="I520" i="2"/>
  <c r="H521" i="2"/>
  <c r="I521" i="2"/>
  <c r="H522" i="2"/>
  <c r="I522" i="2"/>
  <c r="H523" i="2"/>
  <c r="I523" i="2"/>
  <c r="H524" i="2"/>
  <c r="I524" i="2"/>
  <c r="H525" i="2"/>
  <c r="I525" i="2"/>
  <c r="H526" i="2"/>
  <c r="I526" i="2"/>
  <c r="H527" i="2"/>
  <c r="I527" i="2"/>
  <c r="H528" i="2"/>
  <c r="I528" i="2"/>
  <c r="H529" i="2"/>
  <c r="I529" i="2"/>
  <c r="H530" i="2"/>
  <c r="I530" i="2"/>
  <c r="H531" i="2"/>
  <c r="I531" i="2"/>
  <c r="H532" i="2"/>
  <c r="I532" i="2"/>
  <c r="H533" i="2"/>
  <c r="I533" i="2"/>
  <c r="H534" i="2"/>
  <c r="I534" i="2"/>
  <c r="H535" i="2"/>
  <c r="I535" i="2"/>
  <c r="H536" i="2"/>
  <c r="I536" i="2"/>
  <c r="H537" i="2"/>
  <c r="I537" i="2"/>
  <c r="H538" i="2"/>
  <c r="I538" i="2"/>
  <c r="H539" i="2"/>
  <c r="I539" i="2"/>
  <c r="H540" i="2"/>
  <c r="I540" i="2"/>
  <c r="H541" i="2"/>
  <c r="I541" i="2"/>
  <c r="H542" i="2"/>
  <c r="I542" i="2"/>
  <c r="H543" i="2"/>
  <c r="I543" i="2"/>
  <c r="H544" i="2"/>
  <c r="I544" i="2"/>
  <c r="H545" i="2"/>
  <c r="I545" i="2"/>
  <c r="H546" i="2"/>
  <c r="I546" i="2"/>
  <c r="H547" i="2"/>
  <c r="I547" i="2"/>
  <c r="H548" i="2"/>
  <c r="I548" i="2"/>
  <c r="H549" i="2"/>
  <c r="I549" i="2"/>
  <c r="H550" i="2"/>
  <c r="I550" i="2"/>
  <c r="H551" i="2"/>
  <c r="I551" i="2"/>
  <c r="H552" i="2"/>
  <c r="I552" i="2"/>
  <c r="H553" i="2"/>
  <c r="I553" i="2"/>
  <c r="H554" i="2"/>
  <c r="I554" i="2"/>
  <c r="H555" i="2"/>
  <c r="I555" i="2"/>
  <c r="H556" i="2"/>
  <c r="I556" i="2"/>
  <c r="H557" i="2"/>
  <c r="I557" i="2"/>
  <c r="H558" i="2"/>
  <c r="I558" i="2"/>
  <c r="H559" i="2"/>
  <c r="I559" i="2"/>
  <c r="H560" i="2"/>
  <c r="I560" i="2"/>
  <c r="H561" i="2"/>
  <c r="I561" i="2"/>
  <c r="H562" i="2"/>
  <c r="I562" i="2"/>
  <c r="H563" i="2"/>
  <c r="I563" i="2"/>
  <c r="H564" i="2"/>
  <c r="I564" i="2"/>
  <c r="H565" i="2"/>
  <c r="I565" i="2"/>
  <c r="H566" i="2"/>
  <c r="I566" i="2"/>
  <c r="H567" i="2"/>
  <c r="I567" i="2"/>
  <c r="H568" i="2"/>
  <c r="I568" i="2"/>
  <c r="H569" i="2"/>
  <c r="I569" i="2"/>
  <c r="H570" i="2"/>
  <c r="I570" i="2"/>
  <c r="H571" i="2"/>
  <c r="I571" i="2"/>
  <c r="H572" i="2"/>
  <c r="I572" i="2"/>
  <c r="H573" i="2"/>
  <c r="I573" i="2"/>
  <c r="H574" i="2"/>
  <c r="I574" i="2"/>
  <c r="H575" i="2"/>
  <c r="I575" i="2"/>
  <c r="H576" i="2"/>
  <c r="I576" i="2"/>
  <c r="H577" i="2"/>
  <c r="I577" i="2"/>
  <c r="H578" i="2"/>
  <c r="I578" i="2"/>
  <c r="H579" i="2"/>
  <c r="I579" i="2"/>
  <c r="H580" i="2"/>
  <c r="I580" i="2"/>
  <c r="H581" i="2"/>
  <c r="I581" i="2"/>
  <c r="H582" i="2"/>
  <c r="I582" i="2"/>
  <c r="H583" i="2"/>
  <c r="I583" i="2"/>
  <c r="H584" i="2"/>
  <c r="I584" i="2"/>
  <c r="H585" i="2"/>
  <c r="I585" i="2"/>
  <c r="H586" i="2"/>
  <c r="I586" i="2"/>
  <c r="H587" i="2"/>
  <c r="I587" i="2"/>
  <c r="H588" i="2"/>
  <c r="I588" i="2"/>
  <c r="H589" i="2"/>
  <c r="I589" i="2"/>
  <c r="H590" i="2"/>
  <c r="I590" i="2"/>
  <c r="H591" i="2"/>
  <c r="I591" i="2"/>
  <c r="H592" i="2"/>
  <c r="I592" i="2"/>
  <c r="H593" i="2"/>
  <c r="I593" i="2"/>
  <c r="H594" i="2"/>
  <c r="I594" i="2"/>
  <c r="H595" i="2"/>
  <c r="I595" i="2"/>
  <c r="H596" i="2"/>
  <c r="I596" i="2"/>
  <c r="H597" i="2"/>
  <c r="I597" i="2"/>
  <c r="H598" i="2"/>
  <c r="I598" i="2"/>
  <c r="H599" i="2"/>
  <c r="I599" i="2"/>
  <c r="H600" i="2"/>
  <c r="I600" i="2"/>
  <c r="H601" i="2"/>
  <c r="I601" i="2"/>
  <c r="H602" i="2"/>
  <c r="I602" i="2"/>
  <c r="H603" i="2"/>
  <c r="I603" i="2"/>
  <c r="H604" i="2"/>
  <c r="I604" i="2"/>
  <c r="H605" i="2"/>
  <c r="I605" i="2"/>
  <c r="H606" i="2"/>
  <c r="I606" i="2"/>
  <c r="H607" i="2"/>
  <c r="I607" i="2"/>
  <c r="H608" i="2"/>
  <c r="I608" i="2"/>
  <c r="H609" i="2"/>
  <c r="I609" i="2"/>
  <c r="H610" i="2"/>
  <c r="I610" i="2"/>
  <c r="H611" i="2"/>
  <c r="I611" i="2"/>
  <c r="F5" i="2"/>
  <c r="F4" i="2"/>
  <c r="D6" i="6" l="1"/>
  <c r="D7" i="6" l="1"/>
  <c r="E6" i="6"/>
  <c r="F6" i="6"/>
  <c r="G6" i="6" l="1"/>
  <c r="D8" i="6"/>
  <c r="E7" i="6"/>
  <c r="F7" i="6"/>
  <c r="H5" i="2"/>
  <c r="I5" i="2"/>
  <c r="H6" i="2"/>
  <c r="I6" i="2"/>
  <c r="H4" i="2"/>
  <c r="I4" i="2"/>
  <c r="G4" i="2"/>
  <c r="G5" i="2"/>
  <c r="G7" i="6" l="1"/>
  <c r="D9" i="6"/>
  <c r="E8" i="6"/>
  <c r="F8" i="6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4" i="2"/>
  <c r="C14" i="2"/>
  <c r="B15" i="2"/>
  <c r="C15" i="2"/>
  <c r="B16" i="2"/>
  <c r="C16" i="2"/>
  <c r="B17" i="2"/>
  <c r="C17" i="2"/>
  <c r="B18" i="2"/>
  <c r="C18" i="2"/>
  <c r="B19" i="2"/>
  <c r="C19" i="2"/>
  <c r="B20" i="2"/>
  <c r="C20" i="2"/>
  <c r="B21" i="2"/>
  <c r="C21" i="2"/>
  <c r="B22" i="2"/>
  <c r="C22" i="2"/>
  <c r="B23" i="2"/>
  <c r="C23" i="2"/>
  <c r="B24" i="2"/>
  <c r="C24" i="2"/>
  <c r="B25" i="2"/>
  <c r="C25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B33" i="2"/>
  <c r="C33" i="2"/>
  <c r="B34" i="2"/>
  <c r="C34" i="2"/>
  <c r="B35" i="2"/>
  <c r="C35" i="2"/>
  <c r="B36" i="2"/>
  <c r="C36" i="2"/>
  <c r="B37" i="2"/>
  <c r="C37" i="2"/>
  <c r="B38" i="2"/>
  <c r="C38" i="2"/>
  <c r="B39" i="2"/>
  <c r="C39" i="2"/>
  <c r="B40" i="2"/>
  <c r="C40" i="2"/>
  <c r="B41" i="2"/>
  <c r="C41" i="2"/>
  <c r="B42" i="2"/>
  <c r="C42" i="2"/>
  <c r="B43" i="2"/>
  <c r="C43" i="2"/>
  <c r="B44" i="2"/>
  <c r="C44" i="2"/>
  <c r="B45" i="2"/>
  <c r="C45" i="2"/>
  <c r="B46" i="2"/>
  <c r="C46" i="2"/>
  <c r="B47" i="2"/>
  <c r="C47" i="2"/>
  <c r="B48" i="2"/>
  <c r="C48" i="2"/>
  <c r="B49" i="2"/>
  <c r="C49" i="2"/>
  <c r="B50" i="2"/>
  <c r="C50" i="2"/>
  <c r="B51" i="2"/>
  <c r="C51" i="2"/>
  <c r="B52" i="2"/>
  <c r="C52" i="2"/>
  <c r="B53" i="2"/>
  <c r="C53" i="2"/>
  <c r="B54" i="2"/>
  <c r="C54" i="2"/>
  <c r="B55" i="2"/>
  <c r="C55" i="2"/>
  <c r="B56" i="2"/>
  <c r="C56" i="2"/>
  <c r="B57" i="2"/>
  <c r="C57" i="2"/>
  <c r="B58" i="2"/>
  <c r="C58" i="2"/>
  <c r="B59" i="2"/>
  <c r="C59" i="2"/>
  <c r="B60" i="2"/>
  <c r="C60" i="2"/>
  <c r="B61" i="2"/>
  <c r="C61" i="2"/>
  <c r="B62" i="2"/>
  <c r="C62" i="2"/>
  <c r="B63" i="2"/>
  <c r="C63" i="2"/>
  <c r="B64" i="2"/>
  <c r="C64" i="2"/>
  <c r="B65" i="2"/>
  <c r="C65" i="2"/>
  <c r="B66" i="2"/>
  <c r="C66" i="2"/>
  <c r="B67" i="2"/>
  <c r="C67" i="2"/>
  <c r="B68" i="2"/>
  <c r="C68" i="2"/>
  <c r="B69" i="2"/>
  <c r="C69" i="2"/>
  <c r="B70" i="2"/>
  <c r="C70" i="2"/>
  <c r="B71" i="2"/>
  <c r="C71" i="2"/>
  <c r="B72" i="2"/>
  <c r="C72" i="2"/>
  <c r="B73" i="2"/>
  <c r="C73" i="2"/>
  <c r="B74" i="2"/>
  <c r="C74" i="2"/>
  <c r="B75" i="2"/>
  <c r="C75" i="2"/>
  <c r="B76" i="2"/>
  <c r="C76" i="2"/>
  <c r="B77" i="2"/>
  <c r="C77" i="2"/>
  <c r="B78" i="2"/>
  <c r="C78" i="2"/>
  <c r="B79" i="2"/>
  <c r="C79" i="2"/>
  <c r="B80" i="2"/>
  <c r="C80" i="2"/>
  <c r="B81" i="2"/>
  <c r="C81" i="2"/>
  <c r="B82" i="2"/>
  <c r="C82" i="2"/>
  <c r="B83" i="2"/>
  <c r="C83" i="2"/>
  <c r="B84" i="2"/>
  <c r="C84" i="2"/>
  <c r="B85" i="2"/>
  <c r="C85" i="2"/>
  <c r="B86" i="2"/>
  <c r="C86" i="2"/>
  <c r="B87" i="2"/>
  <c r="C87" i="2"/>
  <c r="B88" i="2"/>
  <c r="C88" i="2"/>
  <c r="B89" i="2"/>
  <c r="C89" i="2"/>
  <c r="B90" i="2"/>
  <c r="C90" i="2"/>
  <c r="B91" i="2"/>
  <c r="C91" i="2"/>
  <c r="B92" i="2"/>
  <c r="C92" i="2"/>
  <c r="B93" i="2"/>
  <c r="C93" i="2"/>
  <c r="B94" i="2"/>
  <c r="C94" i="2"/>
  <c r="B95" i="2"/>
  <c r="C95" i="2"/>
  <c r="B96" i="2"/>
  <c r="C96" i="2"/>
  <c r="B97" i="2"/>
  <c r="C97" i="2"/>
  <c r="B98" i="2"/>
  <c r="C98" i="2"/>
  <c r="B99" i="2"/>
  <c r="C99" i="2"/>
  <c r="B100" i="2"/>
  <c r="C100" i="2"/>
  <c r="B101" i="2"/>
  <c r="C101" i="2"/>
  <c r="B102" i="2"/>
  <c r="C102" i="2"/>
  <c r="B103" i="2"/>
  <c r="C103" i="2"/>
  <c r="B104" i="2"/>
  <c r="C104" i="2"/>
  <c r="B105" i="2"/>
  <c r="C105" i="2"/>
  <c r="B106" i="2"/>
  <c r="C106" i="2"/>
  <c r="B107" i="2"/>
  <c r="C107" i="2"/>
  <c r="B108" i="2"/>
  <c r="C108" i="2"/>
  <c r="B109" i="2"/>
  <c r="C109" i="2"/>
  <c r="B110" i="2"/>
  <c r="C110" i="2"/>
  <c r="B111" i="2"/>
  <c r="C111" i="2"/>
  <c r="B112" i="2"/>
  <c r="C112" i="2"/>
  <c r="B113" i="2"/>
  <c r="C113" i="2"/>
  <c r="B114" i="2"/>
  <c r="C114" i="2"/>
  <c r="B115" i="2"/>
  <c r="C115" i="2"/>
  <c r="B116" i="2"/>
  <c r="C116" i="2"/>
  <c r="B117" i="2"/>
  <c r="C117" i="2"/>
  <c r="B118" i="2"/>
  <c r="C118" i="2"/>
  <c r="B119" i="2"/>
  <c r="C119" i="2"/>
  <c r="B120" i="2"/>
  <c r="C120" i="2"/>
  <c r="B121" i="2"/>
  <c r="C121" i="2"/>
  <c r="B122" i="2"/>
  <c r="C122" i="2"/>
  <c r="B123" i="2"/>
  <c r="C123" i="2"/>
  <c r="B124" i="2"/>
  <c r="C124" i="2"/>
  <c r="B125" i="2"/>
  <c r="C125" i="2"/>
  <c r="B126" i="2"/>
  <c r="C126" i="2"/>
  <c r="B127" i="2"/>
  <c r="C127" i="2"/>
  <c r="B128" i="2"/>
  <c r="C128" i="2"/>
  <c r="B129" i="2"/>
  <c r="C129" i="2"/>
  <c r="B130" i="2"/>
  <c r="C130" i="2"/>
  <c r="B131" i="2"/>
  <c r="C131" i="2"/>
  <c r="B132" i="2"/>
  <c r="C132" i="2"/>
  <c r="B133" i="2"/>
  <c r="C133" i="2"/>
  <c r="B134" i="2"/>
  <c r="C134" i="2"/>
  <c r="B135" i="2"/>
  <c r="C135" i="2"/>
  <c r="B136" i="2"/>
  <c r="C136" i="2"/>
  <c r="B137" i="2"/>
  <c r="C137" i="2"/>
  <c r="B138" i="2"/>
  <c r="C138" i="2"/>
  <c r="B139" i="2"/>
  <c r="C139" i="2"/>
  <c r="B140" i="2"/>
  <c r="C140" i="2"/>
  <c r="B141" i="2"/>
  <c r="C141" i="2"/>
  <c r="B142" i="2"/>
  <c r="C142" i="2"/>
  <c r="B143" i="2"/>
  <c r="C143" i="2"/>
  <c r="B144" i="2"/>
  <c r="C144" i="2"/>
  <c r="B145" i="2"/>
  <c r="C145" i="2"/>
  <c r="B146" i="2"/>
  <c r="C146" i="2"/>
  <c r="B147" i="2"/>
  <c r="C147" i="2"/>
  <c r="B148" i="2"/>
  <c r="C148" i="2"/>
  <c r="B149" i="2"/>
  <c r="C149" i="2"/>
  <c r="B150" i="2"/>
  <c r="C150" i="2"/>
  <c r="B151" i="2"/>
  <c r="C151" i="2"/>
  <c r="B152" i="2"/>
  <c r="C152" i="2"/>
  <c r="B153" i="2"/>
  <c r="C153" i="2"/>
  <c r="B154" i="2"/>
  <c r="C154" i="2"/>
  <c r="B155" i="2"/>
  <c r="C155" i="2"/>
  <c r="B156" i="2"/>
  <c r="C156" i="2"/>
  <c r="B157" i="2"/>
  <c r="C157" i="2"/>
  <c r="B158" i="2"/>
  <c r="C158" i="2"/>
  <c r="B159" i="2"/>
  <c r="C159" i="2"/>
  <c r="B160" i="2"/>
  <c r="C160" i="2"/>
  <c r="B161" i="2"/>
  <c r="C161" i="2"/>
  <c r="B162" i="2"/>
  <c r="C162" i="2"/>
  <c r="B163" i="2"/>
  <c r="C163" i="2"/>
  <c r="B164" i="2"/>
  <c r="C164" i="2"/>
  <c r="B165" i="2"/>
  <c r="C165" i="2"/>
  <c r="B166" i="2"/>
  <c r="C166" i="2"/>
  <c r="B167" i="2"/>
  <c r="C167" i="2"/>
  <c r="B168" i="2"/>
  <c r="C168" i="2"/>
  <c r="B169" i="2"/>
  <c r="C169" i="2"/>
  <c r="B170" i="2"/>
  <c r="C170" i="2"/>
  <c r="B171" i="2"/>
  <c r="C171" i="2"/>
  <c r="B172" i="2"/>
  <c r="C172" i="2"/>
  <c r="B173" i="2"/>
  <c r="C173" i="2"/>
  <c r="B174" i="2"/>
  <c r="C174" i="2"/>
  <c r="B175" i="2"/>
  <c r="C175" i="2"/>
  <c r="B176" i="2"/>
  <c r="C176" i="2"/>
  <c r="B177" i="2"/>
  <c r="C177" i="2"/>
  <c r="B178" i="2"/>
  <c r="C178" i="2"/>
  <c r="B179" i="2"/>
  <c r="C179" i="2"/>
  <c r="B180" i="2"/>
  <c r="C180" i="2"/>
  <c r="B181" i="2"/>
  <c r="C181" i="2"/>
  <c r="B182" i="2"/>
  <c r="C182" i="2"/>
  <c r="B183" i="2"/>
  <c r="C183" i="2"/>
  <c r="B184" i="2"/>
  <c r="C184" i="2"/>
  <c r="B185" i="2"/>
  <c r="C185" i="2"/>
  <c r="B186" i="2"/>
  <c r="C186" i="2"/>
  <c r="B187" i="2"/>
  <c r="C187" i="2"/>
  <c r="B188" i="2"/>
  <c r="C188" i="2"/>
  <c r="B189" i="2"/>
  <c r="C189" i="2"/>
  <c r="B190" i="2"/>
  <c r="C190" i="2"/>
  <c r="B191" i="2"/>
  <c r="C191" i="2"/>
  <c r="B192" i="2"/>
  <c r="C192" i="2"/>
  <c r="B193" i="2"/>
  <c r="C193" i="2"/>
  <c r="B194" i="2"/>
  <c r="C194" i="2"/>
  <c r="B195" i="2"/>
  <c r="C195" i="2"/>
  <c r="B196" i="2"/>
  <c r="C196" i="2"/>
  <c r="B197" i="2"/>
  <c r="C197" i="2"/>
  <c r="B198" i="2"/>
  <c r="C198" i="2"/>
  <c r="B199" i="2"/>
  <c r="C199" i="2"/>
  <c r="B200" i="2"/>
  <c r="C200" i="2"/>
  <c r="B201" i="2"/>
  <c r="C201" i="2"/>
  <c r="B202" i="2"/>
  <c r="C202" i="2"/>
  <c r="B203" i="2"/>
  <c r="C203" i="2"/>
  <c r="B204" i="2"/>
  <c r="C204" i="2"/>
  <c r="B205" i="2"/>
  <c r="C205" i="2"/>
  <c r="B206" i="2"/>
  <c r="C206" i="2"/>
  <c r="B207" i="2"/>
  <c r="C207" i="2"/>
  <c r="B208" i="2"/>
  <c r="C208" i="2"/>
  <c r="B209" i="2"/>
  <c r="C209" i="2"/>
  <c r="B210" i="2"/>
  <c r="C210" i="2"/>
  <c r="B211" i="2"/>
  <c r="C211" i="2"/>
  <c r="B212" i="2"/>
  <c r="C212" i="2"/>
  <c r="B213" i="2"/>
  <c r="C213" i="2"/>
  <c r="B214" i="2"/>
  <c r="C214" i="2"/>
  <c r="B215" i="2"/>
  <c r="C215" i="2"/>
  <c r="B216" i="2"/>
  <c r="C216" i="2"/>
  <c r="B217" i="2"/>
  <c r="C217" i="2"/>
  <c r="B218" i="2"/>
  <c r="C218" i="2"/>
  <c r="B219" i="2"/>
  <c r="C219" i="2"/>
  <c r="B220" i="2"/>
  <c r="C220" i="2"/>
  <c r="B221" i="2"/>
  <c r="C221" i="2"/>
  <c r="B222" i="2"/>
  <c r="C222" i="2"/>
  <c r="B223" i="2"/>
  <c r="C223" i="2"/>
  <c r="B224" i="2"/>
  <c r="C224" i="2"/>
  <c r="B225" i="2"/>
  <c r="C225" i="2"/>
  <c r="B226" i="2"/>
  <c r="C226" i="2"/>
  <c r="B227" i="2"/>
  <c r="C227" i="2"/>
  <c r="B228" i="2"/>
  <c r="C228" i="2"/>
  <c r="B229" i="2"/>
  <c r="C229" i="2"/>
  <c r="B230" i="2"/>
  <c r="C230" i="2"/>
  <c r="B231" i="2"/>
  <c r="C231" i="2"/>
  <c r="B232" i="2"/>
  <c r="C232" i="2"/>
  <c r="B233" i="2"/>
  <c r="C233" i="2"/>
  <c r="B234" i="2"/>
  <c r="C234" i="2"/>
  <c r="B235" i="2"/>
  <c r="C235" i="2"/>
  <c r="B236" i="2"/>
  <c r="C236" i="2"/>
  <c r="B237" i="2"/>
  <c r="C237" i="2"/>
  <c r="B238" i="2"/>
  <c r="C238" i="2"/>
  <c r="B239" i="2"/>
  <c r="C239" i="2"/>
  <c r="B240" i="2"/>
  <c r="C240" i="2"/>
  <c r="B241" i="2"/>
  <c r="C241" i="2"/>
  <c r="B242" i="2"/>
  <c r="C242" i="2"/>
  <c r="B243" i="2"/>
  <c r="C243" i="2"/>
  <c r="B244" i="2"/>
  <c r="C244" i="2"/>
  <c r="B245" i="2"/>
  <c r="C245" i="2"/>
  <c r="B246" i="2"/>
  <c r="C246" i="2"/>
  <c r="B247" i="2"/>
  <c r="C247" i="2"/>
  <c r="B248" i="2"/>
  <c r="C248" i="2"/>
  <c r="B249" i="2"/>
  <c r="C249" i="2"/>
  <c r="B250" i="2"/>
  <c r="C250" i="2"/>
  <c r="B251" i="2"/>
  <c r="C251" i="2"/>
  <c r="B252" i="2"/>
  <c r="C252" i="2"/>
  <c r="B253" i="2"/>
  <c r="C253" i="2"/>
  <c r="B254" i="2"/>
  <c r="C254" i="2"/>
  <c r="B255" i="2"/>
  <c r="C255" i="2"/>
  <c r="B256" i="2"/>
  <c r="C256" i="2"/>
  <c r="B257" i="2"/>
  <c r="C257" i="2"/>
  <c r="B258" i="2"/>
  <c r="C258" i="2"/>
  <c r="B259" i="2"/>
  <c r="C259" i="2"/>
  <c r="B260" i="2"/>
  <c r="C260" i="2"/>
  <c r="B261" i="2"/>
  <c r="C261" i="2"/>
  <c r="B262" i="2"/>
  <c r="C262" i="2"/>
  <c r="B263" i="2"/>
  <c r="C263" i="2"/>
  <c r="B264" i="2"/>
  <c r="C264" i="2"/>
  <c r="B265" i="2"/>
  <c r="C265" i="2"/>
  <c r="B266" i="2"/>
  <c r="C266" i="2"/>
  <c r="B267" i="2"/>
  <c r="C267" i="2"/>
  <c r="B268" i="2"/>
  <c r="C268" i="2"/>
  <c r="B269" i="2"/>
  <c r="C269" i="2"/>
  <c r="B270" i="2"/>
  <c r="C270" i="2"/>
  <c r="B271" i="2"/>
  <c r="C271" i="2"/>
  <c r="B272" i="2"/>
  <c r="C272" i="2"/>
  <c r="B273" i="2"/>
  <c r="C273" i="2"/>
  <c r="B274" i="2"/>
  <c r="C274" i="2"/>
  <c r="B275" i="2"/>
  <c r="C275" i="2"/>
  <c r="B276" i="2"/>
  <c r="C276" i="2"/>
  <c r="B277" i="2"/>
  <c r="C277" i="2"/>
  <c r="B278" i="2"/>
  <c r="C278" i="2"/>
  <c r="B279" i="2"/>
  <c r="C279" i="2"/>
  <c r="B280" i="2"/>
  <c r="C280" i="2"/>
  <c r="B281" i="2"/>
  <c r="C281" i="2"/>
  <c r="B282" i="2"/>
  <c r="C282" i="2"/>
  <c r="B283" i="2"/>
  <c r="C283" i="2"/>
  <c r="B284" i="2"/>
  <c r="C284" i="2"/>
  <c r="B285" i="2"/>
  <c r="C285" i="2"/>
  <c r="B286" i="2"/>
  <c r="C286" i="2"/>
  <c r="B287" i="2"/>
  <c r="C287" i="2"/>
  <c r="B288" i="2"/>
  <c r="C288" i="2"/>
  <c r="B289" i="2"/>
  <c r="C289" i="2"/>
  <c r="B290" i="2"/>
  <c r="C290" i="2"/>
  <c r="B291" i="2"/>
  <c r="C291" i="2"/>
  <c r="B292" i="2"/>
  <c r="C292" i="2"/>
  <c r="B293" i="2"/>
  <c r="C293" i="2"/>
  <c r="B294" i="2"/>
  <c r="C294" i="2"/>
  <c r="B295" i="2"/>
  <c r="C295" i="2"/>
  <c r="B296" i="2"/>
  <c r="C296" i="2"/>
  <c r="B297" i="2"/>
  <c r="C297" i="2"/>
  <c r="B298" i="2"/>
  <c r="C298" i="2"/>
  <c r="B299" i="2"/>
  <c r="C299" i="2"/>
  <c r="B300" i="2"/>
  <c r="C300" i="2"/>
  <c r="B301" i="2"/>
  <c r="C301" i="2"/>
  <c r="B302" i="2"/>
  <c r="C302" i="2"/>
  <c r="B303" i="2"/>
  <c r="C303" i="2"/>
  <c r="B304" i="2"/>
  <c r="C304" i="2"/>
  <c r="B305" i="2"/>
  <c r="C305" i="2"/>
  <c r="B306" i="2"/>
  <c r="C306" i="2"/>
  <c r="B307" i="2"/>
  <c r="C307" i="2"/>
  <c r="B308" i="2"/>
  <c r="C308" i="2"/>
  <c r="B309" i="2"/>
  <c r="C309" i="2"/>
  <c r="B310" i="2"/>
  <c r="C310" i="2"/>
  <c r="B311" i="2"/>
  <c r="C311" i="2"/>
  <c r="B312" i="2"/>
  <c r="C312" i="2"/>
  <c r="B313" i="2"/>
  <c r="C313" i="2"/>
  <c r="B314" i="2"/>
  <c r="C314" i="2"/>
  <c r="B315" i="2"/>
  <c r="C315" i="2"/>
  <c r="B316" i="2"/>
  <c r="C316" i="2"/>
  <c r="B317" i="2"/>
  <c r="C317" i="2"/>
  <c r="B318" i="2"/>
  <c r="C318" i="2"/>
  <c r="B319" i="2"/>
  <c r="C319" i="2"/>
  <c r="B320" i="2"/>
  <c r="C320" i="2"/>
  <c r="B321" i="2"/>
  <c r="C321" i="2"/>
  <c r="B322" i="2"/>
  <c r="C322" i="2"/>
  <c r="B323" i="2"/>
  <c r="C323" i="2"/>
  <c r="B324" i="2"/>
  <c r="C324" i="2"/>
  <c r="B325" i="2"/>
  <c r="C325" i="2"/>
  <c r="B326" i="2"/>
  <c r="C326" i="2"/>
  <c r="B327" i="2"/>
  <c r="C327" i="2"/>
  <c r="B328" i="2"/>
  <c r="C328" i="2"/>
  <c r="B329" i="2"/>
  <c r="C329" i="2"/>
  <c r="B330" i="2"/>
  <c r="C330" i="2"/>
  <c r="B331" i="2"/>
  <c r="C331" i="2"/>
  <c r="B332" i="2"/>
  <c r="C332" i="2"/>
  <c r="B333" i="2"/>
  <c r="C333" i="2"/>
  <c r="B334" i="2"/>
  <c r="C334" i="2"/>
  <c r="B335" i="2"/>
  <c r="C335" i="2"/>
  <c r="B336" i="2"/>
  <c r="C336" i="2"/>
  <c r="B337" i="2"/>
  <c r="C337" i="2"/>
  <c r="B338" i="2"/>
  <c r="C338" i="2"/>
  <c r="B339" i="2"/>
  <c r="C339" i="2"/>
  <c r="B340" i="2"/>
  <c r="C340" i="2"/>
  <c r="B341" i="2"/>
  <c r="C341" i="2"/>
  <c r="B342" i="2"/>
  <c r="C342" i="2"/>
  <c r="B343" i="2"/>
  <c r="C343" i="2"/>
  <c r="B344" i="2"/>
  <c r="C344" i="2"/>
  <c r="B345" i="2"/>
  <c r="C345" i="2"/>
  <c r="B346" i="2"/>
  <c r="C346" i="2"/>
  <c r="B347" i="2"/>
  <c r="C347" i="2"/>
  <c r="B348" i="2"/>
  <c r="C348" i="2"/>
  <c r="B349" i="2"/>
  <c r="C349" i="2"/>
  <c r="B350" i="2"/>
  <c r="C350" i="2"/>
  <c r="B351" i="2"/>
  <c r="C351" i="2"/>
  <c r="B352" i="2"/>
  <c r="C352" i="2"/>
  <c r="B353" i="2"/>
  <c r="C353" i="2"/>
  <c r="B354" i="2"/>
  <c r="C354" i="2"/>
  <c r="B355" i="2"/>
  <c r="C355" i="2"/>
  <c r="B356" i="2"/>
  <c r="C356" i="2"/>
  <c r="B357" i="2"/>
  <c r="C357" i="2"/>
  <c r="B358" i="2"/>
  <c r="C358" i="2"/>
  <c r="B359" i="2"/>
  <c r="C359" i="2"/>
  <c r="B360" i="2"/>
  <c r="C360" i="2"/>
  <c r="B361" i="2"/>
  <c r="C361" i="2"/>
  <c r="B362" i="2"/>
  <c r="C362" i="2"/>
  <c r="B363" i="2"/>
  <c r="C363" i="2"/>
  <c r="B364" i="2"/>
  <c r="C364" i="2"/>
  <c r="B365" i="2"/>
  <c r="C365" i="2"/>
  <c r="B366" i="2"/>
  <c r="C366" i="2"/>
  <c r="B367" i="2"/>
  <c r="C367" i="2"/>
  <c r="B368" i="2"/>
  <c r="C368" i="2"/>
  <c r="B369" i="2"/>
  <c r="C369" i="2"/>
  <c r="B370" i="2"/>
  <c r="C370" i="2"/>
  <c r="B371" i="2"/>
  <c r="C371" i="2"/>
  <c r="B372" i="2"/>
  <c r="C372" i="2"/>
  <c r="B373" i="2"/>
  <c r="C373" i="2"/>
  <c r="B374" i="2"/>
  <c r="C374" i="2"/>
  <c r="B375" i="2"/>
  <c r="C375" i="2"/>
  <c r="B376" i="2"/>
  <c r="C376" i="2"/>
  <c r="B377" i="2"/>
  <c r="C377" i="2"/>
  <c r="B378" i="2"/>
  <c r="C378" i="2"/>
  <c r="B379" i="2"/>
  <c r="C379" i="2"/>
  <c r="B380" i="2"/>
  <c r="C380" i="2"/>
  <c r="B381" i="2"/>
  <c r="C381" i="2"/>
  <c r="B382" i="2"/>
  <c r="C382" i="2"/>
  <c r="B383" i="2"/>
  <c r="C383" i="2"/>
  <c r="B384" i="2"/>
  <c r="C384" i="2"/>
  <c r="B385" i="2"/>
  <c r="C385" i="2"/>
  <c r="B386" i="2"/>
  <c r="C386" i="2"/>
  <c r="B387" i="2"/>
  <c r="C387" i="2"/>
  <c r="B388" i="2"/>
  <c r="C388" i="2"/>
  <c r="B389" i="2"/>
  <c r="C389" i="2"/>
  <c r="B390" i="2"/>
  <c r="C390" i="2"/>
  <c r="B391" i="2"/>
  <c r="C391" i="2"/>
  <c r="B392" i="2"/>
  <c r="C392" i="2"/>
  <c r="B393" i="2"/>
  <c r="C393" i="2"/>
  <c r="B394" i="2"/>
  <c r="C394" i="2"/>
  <c r="B395" i="2"/>
  <c r="C395" i="2"/>
  <c r="B396" i="2"/>
  <c r="C396" i="2"/>
  <c r="B397" i="2"/>
  <c r="C397" i="2"/>
  <c r="B398" i="2"/>
  <c r="C398" i="2"/>
  <c r="B399" i="2"/>
  <c r="C399" i="2"/>
  <c r="B400" i="2"/>
  <c r="C400" i="2"/>
  <c r="B401" i="2"/>
  <c r="C401" i="2"/>
  <c r="B402" i="2"/>
  <c r="C402" i="2"/>
  <c r="B403" i="2"/>
  <c r="C403" i="2"/>
  <c r="B404" i="2"/>
  <c r="C404" i="2"/>
  <c r="B405" i="2"/>
  <c r="C405" i="2"/>
  <c r="B406" i="2"/>
  <c r="C406" i="2"/>
  <c r="B407" i="2"/>
  <c r="C407" i="2"/>
  <c r="B408" i="2"/>
  <c r="C408" i="2"/>
  <c r="B409" i="2"/>
  <c r="C409" i="2"/>
  <c r="B410" i="2"/>
  <c r="C410" i="2"/>
  <c r="B411" i="2"/>
  <c r="C411" i="2"/>
  <c r="B412" i="2"/>
  <c r="C412" i="2"/>
  <c r="B413" i="2"/>
  <c r="C413" i="2"/>
  <c r="B414" i="2"/>
  <c r="C414" i="2"/>
  <c r="B415" i="2"/>
  <c r="C415" i="2"/>
  <c r="B416" i="2"/>
  <c r="C416" i="2"/>
  <c r="B417" i="2"/>
  <c r="C417" i="2"/>
  <c r="B418" i="2"/>
  <c r="C418" i="2"/>
  <c r="B419" i="2"/>
  <c r="C419" i="2"/>
  <c r="B420" i="2"/>
  <c r="C420" i="2"/>
  <c r="B421" i="2"/>
  <c r="C421" i="2"/>
  <c r="B422" i="2"/>
  <c r="C422" i="2"/>
  <c r="B423" i="2"/>
  <c r="C423" i="2"/>
  <c r="B424" i="2"/>
  <c r="C424" i="2"/>
  <c r="B425" i="2"/>
  <c r="C425" i="2"/>
  <c r="B426" i="2"/>
  <c r="C426" i="2"/>
  <c r="B427" i="2"/>
  <c r="C427" i="2"/>
  <c r="B428" i="2"/>
  <c r="C428" i="2"/>
  <c r="B429" i="2"/>
  <c r="C429" i="2"/>
  <c r="B430" i="2"/>
  <c r="C430" i="2"/>
  <c r="B431" i="2"/>
  <c r="C431" i="2"/>
  <c r="B432" i="2"/>
  <c r="C432" i="2"/>
  <c r="B433" i="2"/>
  <c r="C433" i="2"/>
  <c r="B434" i="2"/>
  <c r="C434" i="2"/>
  <c r="B435" i="2"/>
  <c r="C435" i="2"/>
  <c r="B436" i="2"/>
  <c r="C436" i="2"/>
  <c r="B437" i="2"/>
  <c r="C437" i="2"/>
  <c r="B438" i="2"/>
  <c r="C438" i="2"/>
  <c r="B439" i="2"/>
  <c r="C439" i="2"/>
  <c r="B440" i="2"/>
  <c r="C440" i="2"/>
  <c r="B441" i="2"/>
  <c r="C441" i="2"/>
  <c r="B442" i="2"/>
  <c r="C442" i="2"/>
  <c r="B443" i="2"/>
  <c r="C443" i="2"/>
  <c r="B444" i="2"/>
  <c r="C444" i="2"/>
  <c r="B445" i="2"/>
  <c r="C445" i="2"/>
  <c r="B446" i="2"/>
  <c r="C446" i="2"/>
  <c r="B447" i="2"/>
  <c r="C447" i="2"/>
  <c r="B448" i="2"/>
  <c r="C448" i="2"/>
  <c r="B449" i="2"/>
  <c r="C449" i="2"/>
  <c r="B450" i="2"/>
  <c r="C450" i="2"/>
  <c r="B451" i="2"/>
  <c r="C451" i="2"/>
  <c r="B452" i="2"/>
  <c r="C452" i="2"/>
  <c r="B453" i="2"/>
  <c r="C453" i="2"/>
  <c r="B454" i="2"/>
  <c r="C454" i="2"/>
  <c r="B455" i="2"/>
  <c r="C455" i="2"/>
  <c r="B456" i="2"/>
  <c r="C456" i="2"/>
  <c r="B457" i="2"/>
  <c r="C457" i="2"/>
  <c r="B458" i="2"/>
  <c r="C458" i="2"/>
  <c r="B459" i="2"/>
  <c r="C459" i="2"/>
  <c r="B460" i="2"/>
  <c r="C460" i="2"/>
  <c r="B461" i="2"/>
  <c r="C461" i="2"/>
  <c r="B462" i="2"/>
  <c r="C462" i="2"/>
  <c r="B463" i="2"/>
  <c r="C463" i="2"/>
  <c r="B464" i="2"/>
  <c r="C464" i="2"/>
  <c r="B465" i="2"/>
  <c r="C465" i="2"/>
  <c r="B466" i="2"/>
  <c r="C466" i="2"/>
  <c r="B467" i="2"/>
  <c r="C467" i="2"/>
  <c r="B468" i="2"/>
  <c r="C468" i="2"/>
  <c r="B469" i="2"/>
  <c r="C469" i="2"/>
  <c r="B470" i="2"/>
  <c r="C470" i="2"/>
  <c r="B471" i="2"/>
  <c r="C471" i="2"/>
  <c r="B472" i="2"/>
  <c r="C472" i="2"/>
  <c r="B473" i="2"/>
  <c r="C473" i="2"/>
  <c r="B474" i="2"/>
  <c r="C474" i="2"/>
  <c r="B475" i="2"/>
  <c r="C475" i="2"/>
  <c r="B476" i="2"/>
  <c r="C476" i="2"/>
  <c r="B477" i="2"/>
  <c r="C477" i="2"/>
  <c r="B478" i="2"/>
  <c r="C478" i="2"/>
  <c r="B479" i="2"/>
  <c r="C479" i="2"/>
  <c r="B480" i="2"/>
  <c r="C480" i="2"/>
  <c r="B481" i="2"/>
  <c r="C481" i="2"/>
  <c r="B482" i="2"/>
  <c r="C482" i="2"/>
  <c r="B483" i="2"/>
  <c r="C483" i="2"/>
  <c r="B484" i="2"/>
  <c r="C484" i="2"/>
  <c r="B485" i="2"/>
  <c r="C485" i="2"/>
  <c r="B486" i="2"/>
  <c r="C486" i="2"/>
  <c r="B487" i="2"/>
  <c r="C487" i="2"/>
  <c r="B488" i="2"/>
  <c r="C488" i="2"/>
  <c r="B489" i="2"/>
  <c r="C489" i="2"/>
  <c r="B490" i="2"/>
  <c r="C490" i="2"/>
  <c r="B491" i="2"/>
  <c r="C491" i="2"/>
  <c r="B492" i="2"/>
  <c r="C492" i="2"/>
  <c r="B493" i="2"/>
  <c r="C493" i="2"/>
  <c r="B494" i="2"/>
  <c r="C494" i="2"/>
  <c r="B495" i="2"/>
  <c r="C495" i="2"/>
  <c r="B496" i="2"/>
  <c r="C496" i="2"/>
  <c r="B497" i="2"/>
  <c r="C497" i="2"/>
  <c r="B498" i="2"/>
  <c r="C498" i="2"/>
  <c r="B499" i="2"/>
  <c r="C499" i="2"/>
  <c r="B500" i="2"/>
  <c r="C500" i="2"/>
  <c r="G8" i="6" l="1"/>
  <c r="D10" i="6"/>
  <c r="E9" i="6"/>
  <c r="F9" i="6"/>
  <c r="B4" i="2"/>
  <c r="L4" i="2" l="1"/>
  <c r="G9" i="6"/>
  <c r="D4" i="2"/>
  <c r="D11" i="6"/>
  <c r="E10" i="6"/>
  <c r="F10" i="6"/>
  <c r="B5" i="2"/>
  <c r="C5" i="2"/>
  <c r="B6" i="2"/>
  <c r="C6" i="2"/>
  <c r="C4" i="2"/>
  <c r="B2" i="2"/>
  <c r="L5" i="2" l="1"/>
  <c r="G10" i="6"/>
  <c r="D5" i="2"/>
  <c r="D12" i="6"/>
  <c r="E11" i="6"/>
  <c r="F11" i="6"/>
  <c r="G11" i="6" l="1"/>
  <c r="D6" i="2"/>
  <c r="D13" i="6"/>
  <c r="E12" i="6"/>
  <c r="F12" i="6"/>
  <c r="G12" i="6" l="1"/>
  <c r="D7" i="2"/>
  <c r="G6" i="2"/>
  <c r="F6" i="2"/>
  <c r="L6" i="2" s="1"/>
  <c r="D14" i="6"/>
  <c r="E13" i="6"/>
  <c r="F13" i="6"/>
  <c r="G13" i="6" l="1"/>
  <c r="D8" i="2"/>
  <c r="G7" i="2"/>
  <c r="F7" i="2"/>
  <c r="L7" i="2" s="1"/>
  <c r="D15" i="6"/>
  <c r="E14" i="6"/>
  <c r="F14" i="6"/>
  <c r="G14" i="6" l="1"/>
  <c r="D9" i="2"/>
  <c r="G8" i="2"/>
  <c r="F8" i="2"/>
  <c r="L8" i="2" s="1"/>
  <c r="D16" i="6"/>
  <c r="E15" i="6"/>
  <c r="F15" i="6"/>
  <c r="G15" i="6" l="1"/>
  <c r="D10" i="2"/>
  <c r="G9" i="2"/>
  <c r="F9" i="2"/>
  <c r="L9" i="2" s="1"/>
  <c r="D17" i="6"/>
  <c r="E16" i="6"/>
  <c r="F16" i="6"/>
  <c r="G16" i="6" l="1"/>
  <c r="D11" i="2"/>
  <c r="G10" i="2"/>
  <c r="F10" i="2"/>
  <c r="L10" i="2" s="1"/>
  <c r="D18" i="6"/>
  <c r="E17" i="6"/>
  <c r="F17" i="6"/>
  <c r="G17" i="6" l="1"/>
  <c r="D12" i="2"/>
  <c r="G11" i="2"/>
  <c r="F11" i="2"/>
  <c r="L11" i="2" s="1"/>
  <c r="D19" i="6"/>
  <c r="E18" i="6"/>
  <c r="F18" i="6"/>
  <c r="G18" i="6" l="1"/>
  <c r="D13" i="2"/>
  <c r="G12" i="2"/>
  <c r="F12" i="2"/>
  <c r="L12" i="2" s="1"/>
  <c r="D20" i="6"/>
  <c r="E19" i="6"/>
  <c r="F19" i="6"/>
  <c r="G19" i="6" l="1"/>
  <c r="D14" i="2"/>
  <c r="G13" i="2"/>
  <c r="F13" i="2"/>
  <c r="L13" i="2" s="1"/>
  <c r="D21" i="6"/>
  <c r="E20" i="6"/>
  <c r="F20" i="6"/>
  <c r="G20" i="6" l="1"/>
  <c r="D15" i="2"/>
  <c r="G14" i="2"/>
  <c r="F14" i="2"/>
  <c r="L14" i="2" s="1"/>
  <c r="D22" i="6"/>
  <c r="E21" i="6"/>
  <c r="F21" i="6"/>
  <c r="G21" i="6" l="1"/>
  <c r="D16" i="2"/>
  <c r="G15" i="2"/>
  <c r="F15" i="2"/>
  <c r="L15" i="2" s="1"/>
  <c r="D23" i="6"/>
  <c r="E22" i="6"/>
  <c r="F22" i="6"/>
  <c r="G22" i="6" l="1"/>
  <c r="D17" i="2"/>
  <c r="G16" i="2"/>
  <c r="F16" i="2"/>
  <c r="L16" i="2" s="1"/>
  <c r="D24" i="6"/>
  <c r="E23" i="6"/>
  <c r="F23" i="6"/>
  <c r="G23" i="6" l="1"/>
  <c r="D18" i="2"/>
  <c r="G17" i="2"/>
  <c r="F17" i="2"/>
  <c r="L17" i="2" s="1"/>
  <c r="D25" i="6"/>
  <c r="E24" i="6"/>
  <c r="F24" i="6"/>
  <c r="G24" i="6" l="1"/>
  <c r="D19" i="2"/>
  <c r="G18" i="2"/>
  <c r="F18" i="2"/>
  <c r="L18" i="2" s="1"/>
  <c r="D26" i="6"/>
  <c r="E25" i="6"/>
  <c r="F25" i="6"/>
  <c r="G25" i="6" l="1"/>
  <c r="D20" i="2"/>
  <c r="G19" i="2"/>
  <c r="F19" i="2"/>
  <c r="L19" i="2" s="1"/>
  <c r="D27" i="6"/>
  <c r="E26" i="6"/>
  <c r="F26" i="6"/>
  <c r="G26" i="6" l="1"/>
  <c r="D21" i="2"/>
  <c r="G20" i="2"/>
  <c r="F20" i="2"/>
  <c r="L20" i="2" s="1"/>
  <c r="D28" i="6"/>
  <c r="E27" i="6"/>
  <c r="F27" i="6"/>
  <c r="G27" i="6" l="1"/>
  <c r="D22" i="2"/>
  <c r="G21" i="2"/>
  <c r="F21" i="2"/>
  <c r="L21" i="2" s="1"/>
  <c r="D29" i="6"/>
  <c r="E28" i="6"/>
  <c r="F28" i="6"/>
  <c r="G28" i="6" l="1"/>
  <c r="D23" i="2"/>
  <c r="G22" i="2"/>
  <c r="F22" i="2"/>
  <c r="L22" i="2" s="1"/>
  <c r="D30" i="6"/>
  <c r="E29" i="6"/>
  <c r="F29" i="6"/>
  <c r="G29" i="6" l="1"/>
  <c r="D24" i="2"/>
  <c r="G23" i="2"/>
  <c r="F23" i="2"/>
  <c r="L23" i="2" s="1"/>
  <c r="D31" i="6"/>
  <c r="E30" i="6"/>
  <c r="F30" i="6"/>
  <c r="G30" i="6" l="1"/>
  <c r="D25" i="2"/>
  <c r="G24" i="2"/>
  <c r="F24" i="2"/>
  <c r="L24" i="2" s="1"/>
  <c r="D32" i="6"/>
  <c r="E31" i="6"/>
  <c r="F31" i="6"/>
  <c r="G31" i="6" l="1"/>
  <c r="D26" i="2"/>
  <c r="G25" i="2"/>
  <c r="F25" i="2"/>
  <c r="L25" i="2" s="1"/>
  <c r="D33" i="6"/>
  <c r="E32" i="6"/>
  <c r="F32" i="6"/>
  <c r="G32" i="6" l="1"/>
  <c r="D27" i="2"/>
  <c r="G26" i="2"/>
  <c r="F26" i="2"/>
  <c r="L26" i="2" s="1"/>
  <c r="D34" i="6"/>
  <c r="E33" i="6"/>
  <c r="F33" i="6"/>
  <c r="G33" i="6" l="1"/>
  <c r="D28" i="2"/>
  <c r="G27" i="2"/>
  <c r="F27" i="2"/>
  <c r="L27" i="2" s="1"/>
  <c r="D35" i="6"/>
  <c r="E34" i="6"/>
  <c r="F34" i="6"/>
  <c r="G34" i="6" l="1"/>
  <c r="D29" i="2"/>
  <c r="G28" i="2"/>
  <c r="F28" i="2"/>
  <c r="L28" i="2" s="1"/>
  <c r="D36" i="6"/>
  <c r="E35" i="6"/>
  <c r="F35" i="6"/>
  <c r="G35" i="6" l="1"/>
  <c r="D30" i="2"/>
  <c r="G29" i="2"/>
  <c r="F29" i="2"/>
  <c r="L29" i="2" s="1"/>
  <c r="D37" i="6"/>
  <c r="E36" i="6"/>
  <c r="F36" i="6"/>
  <c r="G36" i="6" l="1"/>
  <c r="D31" i="2"/>
  <c r="G30" i="2"/>
  <c r="F30" i="2"/>
  <c r="L30" i="2" s="1"/>
  <c r="D38" i="6"/>
  <c r="E37" i="6"/>
  <c r="F37" i="6"/>
  <c r="G37" i="6" l="1"/>
  <c r="D32" i="2"/>
  <c r="G31" i="2"/>
  <c r="F31" i="2"/>
  <c r="L31" i="2" s="1"/>
  <c r="D39" i="6"/>
  <c r="E38" i="6"/>
  <c r="F38" i="6"/>
  <c r="G38" i="6" l="1"/>
  <c r="D33" i="2"/>
  <c r="G32" i="2"/>
  <c r="F32" i="2"/>
  <c r="L32" i="2" s="1"/>
  <c r="D40" i="6"/>
  <c r="E39" i="6"/>
  <c r="F39" i="6"/>
  <c r="G39" i="6" l="1"/>
  <c r="D34" i="2"/>
  <c r="G33" i="2"/>
  <c r="F33" i="2"/>
  <c r="L33" i="2" s="1"/>
  <c r="D41" i="6"/>
  <c r="E40" i="6"/>
  <c r="F40" i="6"/>
  <c r="G40" i="6" l="1"/>
  <c r="D35" i="2"/>
  <c r="G34" i="2"/>
  <c r="F34" i="2"/>
  <c r="L34" i="2" s="1"/>
  <c r="D42" i="6"/>
  <c r="E41" i="6"/>
  <c r="F41" i="6"/>
  <c r="G41" i="6" l="1"/>
  <c r="D36" i="2"/>
  <c r="G35" i="2"/>
  <c r="F35" i="2"/>
  <c r="L35" i="2" s="1"/>
  <c r="D43" i="6"/>
  <c r="E42" i="6"/>
  <c r="F42" i="6"/>
  <c r="G42" i="6" l="1"/>
  <c r="D37" i="2"/>
  <c r="G36" i="2"/>
  <c r="F36" i="2"/>
  <c r="L36" i="2" s="1"/>
  <c r="D44" i="6"/>
  <c r="E43" i="6"/>
  <c r="F43" i="6"/>
  <c r="G43" i="6" l="1"/>
  <c r="D38" i="2"/>
  <c r="G37" i="2"/>
  <c r="F37" i="2"/>
  <c r="L37" i="2" s="1"/>
  <c r="D45" i="6"/>
  <c r="E44" i="6"/>
  <c r="F44" i="6"/>
  <c r="G44" i="6" l="1"/>
  <c r="D39" i="2"/>
  <c r="G38" i="2"/>
  <c r="F38" i="2"/>
  <c r="L38" i="2" s="1"/>
  <c r="D46" i="6"/>
  <c r="E45" i="6"/>
  <c r="F45" i="6"/>
  <c r="G45" i="6" l="1"/>
  <c r="D40" i="2"/>
  <c r="G39" i="2"/>
  <c r="F39" i="2"/>
  <c r="L39" i="2" s="1"/>
  <c r="D47" i="6"/>
  <c r="E46" i="6"/>
  <c r="F46" i="6"/>
  <c r="G46" i="6" l="1"/>
  <c r="D41" i="2"/>
  <c r="G40" i="2"/>
  <c r="F40" i="2"/>
  <c r="L40" i="2" s="1"/>
  <c r="D48" i="6"/>
  <c r="E47" i="6"/>
  <c r="F47" i="6"/>
  <c r="G47" i="6" l="1"/>
  <c r="D42" i="2"/>
  <c r="G41" i="2"/>
  <c r="F41" i="2"/>
  <c r="L41" i="2" s="1"/>
  <c r="D49" i="6"/>
  <c r="E48" i="6"/>
  <c r="F48" i="6"/>
  <c r="G48" i="6" l="1"/>
  <c r="D43" i="2"/>
  <c r="G42" i="2"/>
  <c r="F42" i="2"/>
  <c r="L42" i="2" s="1"/>
  <c r="D50" i="6"/>
  <c r="E49" i="6"/>
  <c r="F49" i="6"/>
  <c r="G49" i="6" l="1"/>
  <c r="D44" i="2"/>
  <c r="G43" i="2"/>
  <c r="F43" i="2"/>
  <c r="L43" i="2" s="1"/>
  <c r="D51" i="6"/>
  <c r="E50" i="6"/>
  <c r="F50" i="6"/>
  <c r="G50" i="6" l="1"/>
  <c r="D45" i="2"/>
  <c r="G44" i="2"/>
  <c r="F44" i="2"/>
  <c r="L44" i="2" s="1"/>
  <c r="D52" i="6"/>
  <c r="E51" i="6"/>
  <c r="F51" i="6"/>
  <c r="G51" i="6" l="1"/>
  <c r="D46" i="2"/>
  <c r="G45" i="2"/>
  <c r="F45" i="2"/>
  <c r="L45" i="2" s="1"/>
  <c r="D53" i="6"/>
  <c r="E52" i="6"/>
  <c r="F52" i="6"/>
  <c r="G52" i="6" l="1"/>
  <c r="D47" i="2"/>
  <c r="G46" i="2"/>
  <c r="F46" i="2"/>
  <c r="L46" i="2" s="1"/>
  <c r="D54" i="6"/>
  <c r="E53" i="6"/>
  <c r="F53" i="6"/>
  <c r="G53" i="6" l="1"/>
  <c r="D48" i="2"/>
  <c r="G47" i="2"/>
  <c r="F47" i="2"/>
  <c r="L47" i="2" s="1"/>
  <c r="D55" i="6"/>
  <c r="E54" i="6"/>
  <c r="F54" i="6"/>
  <c r="G54" i="6" l="1"/>
  <c r="D49" i="2"/>
  <c r="G48" i="2"/>
  <c r="F48" i="2"/>
  <c r="L48" i="2" s="1"/>
  <c r="D56" i="6"/>
  <c r="E55" i="6"/>
  <c r="F55" i="6"/>
  <c r="G55" i="6" l="1"/>
  <c r="D50" i="2"/>
  <c r="G49" i="2"/>
  <c r="F49" i="2"/>
  <c r="L49" i="2" s="1"/>
  <c r="D57" i="6"/>
  <c r="E56" i="6"/>
  <c r="F56" i="6"/>
  <c r="G56" i="6" l="1"/>
  <c r="D51" i="2"/>
  <c r="G50" i="2"/>
  <c r="F50" i="2"/>
  <c r="L50" i="2" s="1"/>
  <c r="D58" i="6"/>
  <c r="E57" i="6"/>
  <c r="F57" i="6"/>
  <c r="G57" i="6" l="1"/>
  <c r="D52" i="2"/>
  <c r="G51" i="2"/>
  <c r="F51" i="2"/>
  <c r="L51" i="2" s="1"/>
  <c r="D59" i="6"/>
  <c r="E58" i="6"/>
  <c r="F58" i="6"/>
  <c r="G58" i="6" l="1"/>
  <c r="D53" i="2"/>
  <c r="G52" i="2"/>
  <c r="F52" i="2"/>
  <c r="L52" i="2" s="1"/>
  <c r="D60" i="6"/>
  <c r="E59" i="6"/>
  <c r="F59" i="6"/>
  <c r="G59" i="6" l="1"/>
  <c r="D54" i="2"/>
  <c r="G53" i="2"/>
  <c r="F53" i="2"/>
  <c r="L53" i="2" s="1"/>
  <c r="D61" i="6"/>
  <c r="E60" i="6"/>
  <c r="F60" i="6"/>
  <c r="G60" i="6" l="1"/>
  <c r="D55" i="2"/>
  <c r="G54" i="2"/>
  <c r="F54" i="2"/>
  <c r="L54" i="2" s="1"/>
  <c r="D62" i="6"/>
  <c r="E61" i="6"/>
  <c r="F61" i="6"/>
  <c r="G61" i="6" l="1"/>
  <c r="D56" i="2"/>
  <c r="G55" i="2"/>
  <c r="F55" i="2"/>
  <c r="L55" i="2" s="1"/>
  <c r="D63" i="6"/>
  <c r="E62" i="6"/>
  <c r="F62" i="6"/>
  <c r="G62" i="6" l="1"/>
  <c r="D57" i="2"/>
  <c r="G56" i="2"/>
  <c r="F56" i="2"/>
  <c r="L56" i="2" s="1"/>
  <c r="D64" i="6"/>
  <c r="E63" i="6"/>
  <c r="F63" i="6"/>
  <c r="G63" i="6" l="1"/>
  <c r="D58" i="2"/>
  <c r="G57" i="2"/>
  <c r="F57" i="2"/>
  <c r="L57" i="2" s="1"/>
  <c r="D65" i="6"/>
  <c r="E64" i="6"/>
  <c r="F64" i="6"/>
  <c r="G64" i="6" l="1"/>
  <c r="D59" i="2"/>
  <c r="G58" i="2"/>
  <c r="F58" i="2"/>
  <c r="L58" i="2" s="1"/>
  <c r="D66" i="6"/>
  <c r="E65" i="6"/>
  <c r="F65" i="6"/>
  <c r="G65" i="6" l="1"/>
  <c r="D60" i="2"/>
  <c r="G59" i="2"/>
  <c r="F59" i="2"/>
  <c r="L59" i="2" s="1"/>
  <c r="D67" i="6"/>
  <c r="E66" i="6"/>
  <c r="F66" i="6"/>
  <c r="G66" i="6" l="1"/>
  <c r="D61" i="2"/>
  <c r="G60" i="2"/>
  <c r="F60" i="2"/>
  <c r="L60" i="2" s="1"/>
  <c r="D68" i="6"/>
  <c r="E67" i="6"/>
  <c r="F67" i="6"/>
  <c r="G67" i="6" l="1"/>
  <c r="D62" i="2"/>
  <c r="G61" i="2"/>
  <c r="F61" i="2"/>
  <c r="L61" i="2" s="1"/>
  <c r="D69" i="6"/>
  <c r="E68" i="6"/>
  <c r="F68" i="6"/>
  <c r="G68" i="6" l="1"/>
  <c r="D63" i="2"/>
  <c r="G62" i="2"/>
  <c r="F62" i="2"/>
  <c r="L62" i="2" s="1"/>
  <c r="D70" i="6"/>
  <c r="E69" i="6"/>
  <c r="F69" i="6"/>
  <c r="G69" i="6" l="1"/>
  <c r="D64" i="2"/>
  <c r="G63" i="2"/>
  <c r="F63" i="2"/>
  <c r="L63" i="2" s="1"/>
  <c r="D71" i="6"/>
  <c r="E70" i="6"/>
  <c r="F70" i="6"/>
  <c r="G70" i="6" l="1"/>
  <c r="D65" i="2"/>
  <c r="G64" i="2"/>
  <c r="F64" i="2"/>
  <c r="L64" i="2" s="1"/>
  <c r="D72" i="6"/>
  <c r="E71" i="6"/>
  <c r="F71" i="6"/>
  <c r="G71" i="6" l="1"/>
  <c r="D66" i="2"/>
  <c r="G65" i="2"/>
  <c r="F65" i="2"/>
  <c r="L65" i="2" s="1"/>
  <c r="D73" i="6"/>
  <c r="E72" i="6"/>
  <c r="F72" i="6"/>
  <c r="G72" i="6" l="1"/>
  <c r="D67" i="2"/>
  <c r="G66" i="2"/>
  <c r="F66" i="2"/>
  <c r="L66" i="2" s="1"/>
  <c r="D74" i="6"/>
  <c r="E73" i="6"/>
  <c r="F73" i="6"/>
  <c r="G73" i="6" l="1"/>
  <c r="D68" i="2"/>
  <c r="G67" i="2"/>
  <c r="F67" i="2"/>
  <c r="L67" i="2" s="1"/>
  <c r="D75" i="6"/>
  <c r="E74" i="6"/>
  <c r="F74" i="6"/>
  <c r="G74" i="6" l="1"/>
  <c r="D69" i="2"/>
  <c r="G68" i="2"/>
  <c r="F68" i="2"/>
  <c r="L68" i="2" s="1"/>
  <c r="D76" i="6"/>
  <c r="E75" i="6"/>
  <c r="F75" i="6"/>
  <c r="G75" i="6" l="1"/>
  <c r="D70" i="2"/>
  <c r="G69" i="2"/>
  <c r="F69" i="2"/>
  <c r="L69" i="2" s="1"/>
  <c r="D77" i="6"/>
  <c r="E76" i="6"/>
  <c r="F76" i="6"/>
  <c r="G76" i="6" l="1"/>
  <c r="D71" i="2"/>
  <c r="G70" i="2"/>
  <c r="F70" i="2"/>
  <c r="L70" i="2" s="1"/>
  <c r="D78" i="6"/>
  <c r="E77" i="6"/>
  <c r="F77" i="6"/>
  <c r="G77" i="6" l="1"/>
  <c r="D72" i="2"/>
  <c r="G71" i="2"/>
  <c r="F71" i="2"/>
  <c r="L71" i="2" s="1"/>
  <c r="D79" i="6"/>
  <c r="E78" i="6"/>
  <c r="F78" i="6"/>
  <c r="G78" i="6" l="1"/>
  <c r="D73" i="2"/>
  <c r="G72" i="2"/>
  <c r="F72" i="2"/>
  <c r="L72" i="2" s="1"/>
  <c r="D80" i="6"/>
  <c r="E79" i="6"/>
  <c r="F79" i="6"/>
  <c r="G79" i="6" l="1"/>
  <c r="D74" i="2"/>
  <c r="G73" i="2"/>
  <c r="F73" i="2"/>
  <c r="L73" i="2" s="1"/>
  <c r="D81" i="6"/>
  <c r="E80" i="6"/>
  <c r="F80" i="6"/>
  <c r="G80" i="6" l="1"/>
  <c r="D75" i="2"/>
  <c r="G74" i="2"/>
  <c r="F74" i="2"/>
  <c r="L74" i="2" s="1"/>
  <c r="D82" i="6"/>
  <c r="E81" i="6"/>
  <c r="F81" i="6"/>
  <c r="G81" i="6" l="1"/>
  <c r="D76" i="2"/>
  <c r="G75" i="2"/>
  <c r="F75" i="2"/>
  <c r="L75" i="2" s="1"/>
  <c r="D83" i="6"/>
  <c r="E82" i="6"/>
  <c r="F82" i="6"/>
  <c r="G82" i="6" l="1"/>
  <c r="D77" i="2"/>
  <c r="G76" i="2"/>
  <c r="F76" i="2"/>
  <c r="L76" i="2" s="1"/>
  <c r="D84" i="6"/>
  <c r="E83" i="6"/>
  <c r="F83" i="6"/>
  <c r="G83" i="6" l="1"/>
  <c r="D78" i="2"/>
  <c r="G77" i="2"/>
  <c r="F77" i="2"/>
  <c r="L77" i="2" s="1"/>
  <c r="D85" i="6"/>
  <c r="E84" i="6"/>
  <c r="F84" i="6"/>
  <c r="G84" i="6" l="1"/>
  <c r="D79" i="2"/>
  <c r="G78" i="2"/>
  <c r="F78" i="2"/>
  <c r="L78" i="2" s="1"/>
  <c r="D86" i="6"/>
  <c r="E85" i="6"/>
  <c r="F85" i="6"/>
  <c r="G85" i="6" l="1"/>
  <c r="D80" i="2"/>
  <c r="G79" i="2"/>
  <c r="F79" i="2"/>
  <c r="L79" i="2" s="1"/>
  <c r="D87" i="6"/>
  <c r="E86" i="6"/>
  <c r="F86" i="6"/>
  <c r="G86" i="6" l="1"/>
  <c r="D81" i="2"/>
  <c r="G80" i="2"/>
  <c r="F80" i="2"/>
  <c r="L80" i="2" s="1"/>
  <c r="D88" i="6"/>
  <c r="E87" i="6"/>
  <c r="F87" i="6"/>
  <c r="G87" i="6" l="1"/>
  <c r="D82" i="2"/>
  <c r="G81" i="2"/>
  <c r="F81" i="2"/>
  <c r="L81" i="2" s="1"/>
  <c r="D89" i="6"/>
  <c r="E88" i="6"/>
  <c r="F88" i="6"/>
  <c r="G88" i="6" l="1"/>
  <c r="D83" i="2"/>
  <c r="G82" i="2"/>
  <c r="F82" i="2"/>
  <c r="L82" i="2" s="1"/>
  <c r="D90" i="6"/>
  <c r="E89" i="6"/>
  <c r="F89" i="6"/>
  <c r="G89" i="6" l="1"/>
  <c r="D84" i="2"/>
  <c r="G83" i="2"/>
  <c r="F83" i="2"/>
  <c r="L83" i="2" s="1"/>
  <c r="D91" i="6"/>
  <c r="E90" i="6"/>
  <c r="F90" i="6"/>
  <c r="G90" i="6" l="1"/>
  <c r="D85" i="2"/>
  <c r="G84" i="2"/>
  <c r="F84" i="2"/>
  <c r="L84" i="2" s="1"/>
  <c r="D92" i="6"/>
  <c r="E91" i="6"/>
  <c r="F91" i="6"/>
  <c r="G91" i="6" l="1"/>
  <c r="D86" i="2"/>
  <c r="G85" i="2"/>
  <c r="F85" i="2"/>
  <c r="L85" i="2" s="1"/>
  <c r="D93" i="6"/>
  <c r="E92" i="6"/>
  <c r="F92" i="6"/>
  <c r="G92" i="6" l="1"/>
  <c r="D87" i="2"/>
  <c r="G86" i="2"/>
  <c r="F86" i="2"/>
  <c r="L86" i="2" s="1"/>
  <c r="D94" i="6"/>
  <c r="E93" i="6"/>
  <c r="F93" i="6"/>
  <c r="G93" i="6" l="1"/>
  <c r="D88" i="2"/>
  <c r="G87" i="2"/>
  <c r="F87" i="2"/>
  <c r="L87" i="2" s="1"/>
  <c r="D95" i="6"/>
  <c r="E94" i="6"/>
  <c r="F94" i="6"/>
  <c r="G94" i="6" l="1"/>
  <c r="D89" i="2"/>
  <c r="G88" i="2"/>
  <c r="F88" i="2"/>
  <c r="L88" i="2" s="1"/>
  <c r="D96" i="6"/>
  <c r="E95" i="6"/>
  <c r="F95" i="6"/>
  <c r="G95" i="6" l="1"/>
  <c r="D90" i="2"/>
  <c r="G89" i="2"/>
  <c r="F89" i="2"/>
  <c r="L89" i="2" s="1"/>
  <c r="D97" i="6"/>
  <c r="E96" i="6"/>
  <c r="F96" i="6"/>
  <c r="G96" i="6" l="1"/>
  <c r="D91" i="2"/>
  <c r="G90" i="2"/>
  <c r="F90" i="2"/>
  <c r="L90" i="2" s="1"/>
  <c r="D98" i="6"/>
  <c r="E97" i="6"/>
  <c r="F97" i="6"/>
  <c r="G97" i="6" l="1"/>
  <c r="D92" i="2"/>
  <c r="G91" i="2"/>
  <c r="F91" i="2"/>
  <c r="L91" i="2" s="1"/>
  <c r="D99" i="6"/>
  <c r="E98" i="6"/>
  <c r="F98" i="6"/>
  <c r="G98" i="6" l="1"/>
  <c r="D93" i="2"/>
  <c r="G92" i="2"/>
  <c r="F92" i="2"/>
  <c r="L92" i="2" s="1"/>
  <c r="D100" i="6"/>
  <c r="E99" i="6"/>
  <c r="F99" i="6"/>
  <c r="G99" i="6" l="1"/>
  <c r="D94" i="2"/>
  <c r="G93" i="2"/>
  <c r="F93" i="2"/>
  <c r="L93" i="2" s="1"/>
  <c r="D101" i="6"/>
  <c r="E100" i="6"/>
  <c r="F100" i="6"/>
  <c r="G100" i="6" l="1"/>
  <c r="D95" i="2"/>
  <c r="G94" i="2"/>
  <c r="F94" i="2"/>
  <c r="L94" i="2" s="1"/>
  <c r="D102" i="6"/>
  <c r="E101" i="6"/>
  <c r="F101" i="6"/>
  <c r="G101" i="6" l="1"/>
  <c r="D96" i="2"/>
  <c r="G95" i="2"/>
  <c r="F95" i="2"/>
  <c r="L95" i="2" s="1"/>
  <c r="D103" i="6"/>
  <c r="E102" i="6"/>
  <c r="F102" i="6"/>
  <c r="G102" i="6" l="1"/>
  <c r="D97" i="2"/>
  <c r="G96" i="2"/>
  <c r="F96" i="2"/>
  <c r="L96" i="2" s="1"/>
  <c r="D104" i="6"/>
  <c r="E103" i="6"/>
  <c r="F103" i="6"/>
  <c r="G103" i="6" l="1"/>
  <c r="D98" i="2"/>
  <c r="G97" i="2"/>
  <c r="F97" i="2"/>
  <c r="L97" i="2" s="1"/>
  <c r="D105" i="6"/>
  <c r="E104" i="6"/>
  <c r="F104" i="6"/>
  <c r="G104" i="6" l="1"/>
  <c r="D99" i="2"/>
  <c r="G98" i="2"/>
  <c r="F98" i="2"/>
  <c r="L98" i="2" s="1"/>
  <c r="D106" i="6"/>
  <c r="E105" i="6"/>
  <c r="F105" i="6"/>
  <c r="G105" i="6" l="1"/>
  <c r="D100" i="2"/>
  <c r="G99" i="2"/>
  <c r="F99" i="2"/>
  <c r="L99" i="2" s="1"/>
  <c r="D107" i="6"/>
  <c r="E106" i="6"/>
  <c r="F106" i="6"/>
  <c r="G106" i="6" l="1"/>
  <c r="D101" i="2"/>
  <c r="G100" i="2"/>
  <c r="F100" i="2"/>
  <c r="L100" i="2" s="1"/>
  <c r="D108" i="6"/>
  <c r="E107" i="6"/>
  <c r="F107" i="6"/>
  <c r="G107" i="6" l="1"/>
  <c r="D102" i="2"/>
  <c r="G101" i="2"/>
  <c r="F101" i="2"/>
  <c r="L101" i="2" s="1"/>
  <c r="D109" i="6"/>
  <c r="E108" i="6"/>
  <c r="F108" i="6"/>
  <c r="G108" i="6" l="1"/>
  <c r="D103" i="2"/>
  <c r="G102" i="2"/>
  <c r="F102" i="2"/>
  <c r="L102" i="2" s="1"/>
  <c r="D110" i="6"/>
  <c r="E109" i="6"/>
  <c r="F109" i="6"/>
  <c r="G109" i="6" l="1"/>
  <c r="D104" i="2"/>
  <c r="G103" i="2"/>
  <c r="F103" i="2"/>
  <c r="L103" i="2" s="1"/>
  <c r="D111" i="6"/>
  <c r="E110" i="6"/>
  <c r="F110" i="6"/>
  <c r="G110" i="6" l="1"/>
  <c r="D105" i="2"/>
  <c r="G104" i="2"/>
  <c r="F104" i="2"/>
  <c r="L104" i="2" s="1"/>
  <c r="D112" i="6"/>
  <c r="E111" i="6"/>
  <c r="F111" i="6"/>
  <c r="G111" i="6" l="1"/>
  <c r="D106" i="2"/>
  <c r="G105" i="2"/>
  <c r="F105" i="2"/>
  <c r="L105" i="2" s="1"/>
  <c r="D113" i="6"/>
  <c r="E112" i="6"/>
  <c r="F112" i="6"/>
  <c r="G112" i="6" l="1"/>
  <c r="D107" i="2"/>
  <c r="G106" i="2"/>
  <c r="F106" i="2"/>
  <c r="L106" i="2" s="1"/>
  <c r="D114" i="6"/>
  <c r="E113" i="6"/>
  <c r="F113" i="6"/>
  <c r="G113" i="6" l="1"/>
  <c r="D108" i="2"/>
  <c r="G107" i="2"/>
  <c r="F107" i="2"/>
  <c r="L107" i="2" s="1"/>
  <c r="D115" i="6"/>
  <c r="E114" i="6"/>
  <c r="F114" i="6"/>
  <c r="G114" i="6" l="1"/>
  <c r="D109" i="2"/>
  <c r="G108" i="2"/>
  <c r="F108" i="2"/>
  <c r="L108" i="2" s="1"/>
  <c r="D116" i="6"/>
  <c r="E115" i="6"/>
  <c r="F115" i="6"/>
  <c r="G115" i="6" l="1"/>
  <c r="D110" i="2"/>
  <c r="G109" i="2"/>
  <c r="F109" i="2"/>
  <c r="L109" i="2" s="1"/>
  <c r="D117" i="6"/>
  <c r="E116" i="6"/>
  <c r="F116" i="6"/>
  <c r="G116" i="6" l="1"/>
  <c r="D111" i="2"/>
  <c r="G110" i="2"/>
  <c r="F110" i="2"/>
  <c r="L110" i="2" s="1"/>
  <c r="D118" i="6"/>
  <c r="E117" i="6"/>
  <c r="F117" i="6"/>
  <c r="G117" i="6" l="1"/>
  <c r="D112" i="2"/>
  <c r="G111" i="2"/>
  <c r="F111" i="2"/>
  <c r="L111" i="2" s="1"/>
  <c r="D119" i="6"/>
  <c r="E118" i="6"/>
  <c r="F118" i="6"/>
  <c r="G118" i="6" l="1"/>
  <c r="D113" i="2"/>
  <c r="G112" i="2"/>
  <c r="F112" i="2"/>
  <c r="L112" i="2" s="1"/>
  <c r="D120" i="6"/>
  <c r="E119" i="6"/>
  <c r="F119" i="6"/>
  <c r="G119" i="6" l="1"/>
  <c r="D114" i="2"/>
  <c r="G113" i="2"/>
  <c r="F113" i="2"/>
  <c r="L113" i="2" s="1"/>
  <c r="D121" i="6"/>
  <c r="E120" i="6"/>
  <c r="F120" i="6"/>
  <c r="G120" i="6" l="1"/>
  <c r="D115" i="2"/>
  <c r="G114" i="2"/>
  <c r="F114" i="2"/>
  <c r="L114" i="2" s="1"/>
  <c r="D122" i="6"/>
  <c r="E121" i="6"/>
  <c r="F121" i="6"/>
  <c r="G121" i="6" l="1"/>
  <c r="D116" i="2"/>
  <c r="G115" i="2"/>
  <c r="F115" i="2"/>
  <c r="L115" i="2" s="1"/>
  <c r="D123" i="6"/>
  <c r="E122" i="6"/>
  <c r="F122" i="6"/>
  <c r="G122" i="6" l="1"/>
  <c r="D117" i="2"/>
  <c r="G116" i="2"/>
  <c r="F116" i="2"/>
  <c r="L116" i="2" s="1"/>
  <c r="D124" i="6"/>
  <c r="E123" i="6"/>
  <c r="F123" i="6"/>
  <c r="G123" i="6" l="1"/>
  <c r="D118" i="2"/>
  <c r="G117" i="2"/>
  <c r="F117" i="2"/>
  <c r="L117" i="2" s="1"/>
  <c r="D125" i="6"/>
  <c r="E124" i="6"/>
  <c r="F124" i="6"/>
  <c r="G124" i="6" l="1"/>
  <c r="D119" i="2"/>
  <c r="G118" i="2"/>
  <c r="F118" i="2"/>
  <c r="L118" i="2" s="1"/>
  <c r="D126" i="6"/>
  <c r="E125" i="6"/>
  <c r="F125" i="6"/>
  <c r="G125" i="6" l="1"/>
  <c r="D120" i="2"/>
  <c r="G119" i="2"/>
  <c r="F119" i="2"/>
  <c r="L119" i="2" s="1"/>
  <c r="D127" i="6"/>
  <c r="E126" i="6"/>
  <c r="F126" i="6"/>
  <c r="G126" i="6" l="1"/>
  <c r="D121" i="2"/>
  <c r="G120" i="2"/>
  <c r="F120" i="2"/>
  <c r="L120" i="2" s="1"/>
  <c r="D128" i="6"/>
  <c r="E127" i="6"/>
  <c r="F127" i="6"/>
  <c r="G127" i="6" l="1"/>
  <c r="D122" i="2"/>
  <c r="G121" i="2"/>
  <c r="F121" i="2"/>
  <c r="L121" i="2" s="1"/>
  <c r="D129" i="6"/>
  <c r="E128" i="6"/>
  <c r="F128" i="6"/>
  <c r="G128" i="6" l="1"/>
  <c r="D123" i="2"/>
  <c r="G122" i="2"/>
  <c r="F122" i="2"/>
  <c r="L122" i="2" s="1"/>
  <c r="D130" i="6"/>
  <c r="E129" i="6"/>
  <c r="F129" i="6"/>
  <c r="G129" i="6" l="1"/>
  <c r="D124" i="2"/>
  <c r="G123" i="2"/>
  <c r="F123" i="2"/>
  <c r="L123" i="2" s="1"/>
  <c r="D131" i="6"/>
  <c r="E130" i="6"/>
  <c r="F130" i="6"/>
  <c r="G130" i="6" l="1"/>
  <c r="D125" i="2"/>
  <c r="G124" i="2"/>
  <c r="F124" i="2"/>
  <c r="L124" i="2" s="1"/>
  <c r="D132" i="6"/>
  <c r="E131" i="6"/>
  <c r="F131" i="6"/>
  <c r="G131" i="6" l="1"/>
  <c r="D126" i="2"/>
  <c r="G125" i="2"/>
  <c r="F125" i="2"/>
  <c r="L125" i="2" s="1"/>
  <c r="D133" i="6"/>
  <c r="E132" i="6"/>
  <c r="F132" i="6"/>
  <c r="G132" i="6" l="1"/>
  <c r="D127" i="2"/>
  <c r="G126" i="2"/>
  <c r="F126" i="2"/>
  <c r="L126" i="2" s="1"/>
  <c r="D134" i="6"/>
  <c r="E133" i="6"/>
  <c r="F133" i="6"/>
  <c r="G133" i="6" l="1"/>
  <c r="D128" i="2"/>
  <c r="G127" i="2"/>
  <c r="F127" i="2"/>
  <c r="L127" i="2" s="1"/>
  <c r="D135" i="6"/>
  <c r="E134" i="6"/>
  <c r="F134" i="6"/>
  <c r="G134" i="6" l="1"/>
  <c r="D129" i="2"/>
  <c r="G128" i="2"/>
  <c r="F128" i="2"/>
  <c r="L128" i="2" s="1"/>
  <c r="D136" i="6"/>
  <c r="E135" i="6"/>
  <c r="F135" i="6"/>
  <c r="G135" i="6" l="1"/>
  <c r="D130" i="2"/>
  <c r="G129" i="2"/>
  <c r="F129" i="2"/>
  <c r="L129" i="2" s="1"/>
  <c r="D137" i="6"/>
  <c r="E136" i="6"/>
  <c r="F136" i="6"/>
  <c r="G136" i="6" l="1"/>
  <c r="D131" i="2"/>
  <c r="G130" i="2"/>
  <c r="F130" i="2"/>
  <c r="L130" i="2" s="1"/>
  <c r="D138" i="6"/>
  <c r="E137" i="6"/>
  <c r="F137" i="6"/>
  <c r="G137" i="6" l="1"/>
  <c r="D132" i="2"/>
  <c r="G131" i="2"/>
  <c r="F131" i="2"/>
  <c r="L131" i="2" s="1"/>
  <c r="D139" i="6"/>
  <c r="E138" i="6"/>
  <c r="F138" i="6"/>
  <c r="G138" i="6" l="1"/>
  <c r="D133" i="2"/>
  <c r="G132" i="2"/>
  <c r="F132" i="2"/>
  <c r="L132" i="2" s="1"/>
  <c r="D140" i="6"/>
  <c r="E139" i="6"/>
  <c r="F139" i="6"/>
  <c r="G139" i="6" l="1"/>
  <c r="D134" i="2"/>
  <c r="G133" i="2"/>
  <c r="F133" i="2"/>
  <c r="L133" i="2" s="1"/>
  <c r="D141" i="6"/>
  <c r="E140" i="6"/>
  <c r="F140" i="6"/>
  <c r="G140" i="6" l="1"/>
  <c r="D135" i="2"/>
  <c r="G134" i="2"/>
  <c r="F134" i="2"/>
  <c r="L134" i="2" s="1"/>
  <c r="D142" i="6"/>
  <c r="E141" i="6"/>
  <c r="F141" i="6"/>
  <c r="G141" i="6" l="1"/>
  <c r="D136" i="2"/>
  <c r="G135" i="2"/>
  <c r="F135" i="2"/>
  <c r="L135" i="2" s="1"/>
  <c r="D143" i="6"/>
  <c r="E142" i="6"/>
  <c r="F142" i="6"/>
  <c r="G142" i="6" l="1"/>
  <c r="D137" i="2"/>
  <c r="G136" i="2"/>
  <c r="F136" i="2"/>
  <c r="L136" i="2" s="1"/>
  <c r="D144" i="6"/>
  <c r="E143" i="6"/>
  <c r="F143" i="6"/>
  <c r="G143" i="6" l="1"/>
  <c r="D138" i="2"/>
  <c r="G137" i="2"/>
  <c r="F137" i="2"/>
  <c r="L137" i="2" s="1"/>
  <c r="D145" i="6"/>
  <c r="E144" i="6"/>
  <c r="F144" i="6"/>
  <c r="G144" i="6" l="1"/>
  <c r="D139" i="2"/>
  <c r="G138" i="2"/>
  <c r="F138" i="2"/>
  <c r="L138" i="2" s="1"/>
  <c r="D146" i="6"/>
  <c r="E145" i="6"/>
  <c r="F145" i="6"/>
  <c r="G145" i="6" l="1"/>
  <c r="D140" i="2"/>
  <c r="G139" i="2"/>
  <c r="F139" i="2"/>
  <c r="L139" i="2" s="1"/>
  <c r="D147" i="6"/>
  <c r="E146" i="6"/>
  <c r="F146" i="6"/>
  <c r="G146" i="6" l="1"/>
  <c r="D141" i="2"/>
  <c r="G140" i="2"/>
  <c r="F140" i="2"/>
  <c r="L140" i="2" s="1"/>
  <c r="D148" i="6"/>
  <c r="E147" i="6"/>
  <c r="F147" i="6"/>
  <c r="G147" i="6" l="1"/>
  <c r="D142" i="2"/>
  <c r="G141" i="2"/>
  <c r="F141" i="2"/>
  <c r="L141" i="2" s="1"/>
  <c r="D149" i="6"/>
  <c r="E148" i="6"/>
  <c r="F148" i="6"/>
  <c r="G148" i="6" l="1"/>
  <c r="D143" i="2"/>
  <c r="G142" i="2"/>
  <c r="F142" i="2"/>
  <c r="L142" i="2" s="1"/>
  <c r="D150" i="6"/>
  <c r="E149" i="6"/>
  <c r="F149" i="6"/>
  <c r="G149" i="6" l="1"/>
  <c r="D144" i="2"/>
  <c r="G143" i="2"/>
  <c r="F143" i="2"/>
  <c r="L143" i="2" s="1"/>
  <c r="D151" i="6"/>
  <c r="E150" i="6"/>
  <c r="F150" i="6"/>
  <c r="G150" i="6" l="1"/>
  <c r="D145" i="2"/>
  <c r="G144" i="2"/>
  <c r="F144" i="2"/>
  <c r="L144" i="2" s="1"/>
  <c r="D152" i="6"/>
  <c r="E151" i="6"/>
  <c r="F151" i="6"/>
  <c r="G151" i="6" l="1"/>
  <c r="D146" i="2"/>
  <c r="G145" i="2"/>
  <c r="F145" i="2"/>
  <c r="L145" i="2" s="1"/>
  <c r="D153" i="6"/>
  <c r="E152" i="6"/>
  <c r="F152" i="6"/>
  <c r="G152" i="6" l="1"/>
  <c r="D147" i="2"/>
  <c r="G146" i="2"/>
  <c r="F146" i="2"/>
  <c r="L146" i="2" s="1"/>
  <c r="D154" i="6"/>
  <c r="E153" i="6"/>
  <c r="F153" i="6"/>
  <c r="G153" i="6" l="1"/>
  <c r="D148" i="2"/>
  <c r="G147" i="2"/>
  <c r="F147" i="2"/>
  <c r="L147" i="2" s="1"/>
  <c r="D155" i="6"/>
  <c r="E154" i="6"/>
  <c r="F154" i="6"/>
  <c r="G154" i="6" l="1"/>
  <c r="D149" i="2"/>
  <c r="G148" i="2"/>
  <c r="F148" i="2"/>
  <c r="L148" i="2" s="1"/>
  <c r="D156" i="6"/>
  <c r="E155" i="6"/>
  <c r="F155" i="6"/>
  <c r="G155" i="6" l="1"/>
  <c r="D150" i="2"/>
  <c r="G149" i="2"/>
  <c r="F149" i="2"/>
  <c r="L149" i="2" s="1"/>
  <c r="D157" i="6"/>
  <c r="E156" i="6"/>
  <c r="F156" i="6"/>
  <c r="G156" i="6" l="1"/>
  <c r="D151" i="2"/>
  <c r="G150" i="2"/>
  <c r="F150" i="2"/>
  <c r="L150" i="2" s="1"/>
  <c r="D158" i="6"/>
  <c r="E157" i="6"/>
  <c r="F157" i="6"/>
  <c r="G157" i="6" l="1"/>
  <c r="D152" i="2"/>
  <c r="G151" i="2"/>
  <c r="F151" i="2"/>
  <c r="L151" i="2" s="1"/>
  <c r="D159" i="6"/>
  <c r="E158" i="6"/>
  <c r="F158" i="6"/>
  <c r="G158" i="6" l="1"/>
  <c r="D153" i="2"/>
  <c r="G152" i="2"/>
  <c r="F152" i="2"/>
  <c r="L152" i="2" s="1"/>
  <c r="D160" i="6"/>
  <c r="E159" i="6"/>
  <c r="F159" i="6"/>
  <c r="G159" i="6" l="1"/>
  <c r="D154" i="2"/>
  <c r="G153" i="2"/>
  <c r="F153" i="2"/>
  <c r="L153" i="2" s="1"/>
  <c r="D161" i="6"/>
  <c r="E160" i="6"/>
  <c r="F160" i="6"/>
  <c r="G160" i="6" l="1"/>
  <c r="D155" i="2"/>
  <c r="G154" i="2"/>
  <c r="F154" i="2"/>
  <c r="L154" i="2" s="1"/>
  <c r="D162" i="6"/>
  <c r="E161" i="6"/>
  <c r="F161" i="6"/>
  <c r="G161" i="6" l="1"/>
  <c r="D156" i="2"/>
  <c r="G155" i="2"/>
  <c r="F155" i="2"/>
  <c r="L155" i="2" s="1"/>
  <c r="D163" i="6"/>
  <c r="E162" i="6"/>
  <c r="F162" i="6"/>
  <c r="G162" i="6" l="1"/>
  <c r="D157" i="2"/>
  <c r="G156" i="2"/>
  <c r="F156" i="2"/>
  <c r="L156" i="2" s="1"/>
  <c r="D164" i="6"/>
  <c r="E163" i="6"/>
  <c r="F163" i="6"/>
  <c r="G163" i="6" l="1"/>
  <c r="D158" i="2"/>
  <c r="G157" i="2"/>
  <c r="F157" i="2"/>
  <c r="L157" i="2" s="1"/>
  <c r="D165" i="6"/>
  <c r="E164" i="6"/>
  <c r="F164" i="6"/>
  <c r="G164" i="6" l="1"/>
  <c r="D159" i="2"/>
  <c r="G158" i="2"/>
  <c r="F158" i="2"/>
  <c r="L158" i="2" s="1"/>
  <c r="D166" i="6"/>
  <c r="E165" i="6"/>
  <c r="F165" i="6"/>
  <c r="G165" i="6" l="1"/>
  <c r="D160" i="2"/>
  <c r="G159" i="2"/>
  <c r="F159" i="2"/>
  <c r="L159" i="2" s="1"/>
  <c r="D167" i="6"/>
  <c r="E166" i="6"/>
  <c r="F166" i="6"/>
  <c r="G166" i="6" l="1"/>
  <c r="D161" i="2"/>
  <c r="G160" i="2"/>
  <c r="F160" i="2"/>
  <c r="L160" i="2" s="1"/>
  <c r="D168" i="6"/>
  <c r="E167" i="6"/>
  <c r="F167" i="6"/>
  <c r="G167" i="6" l="1"/>
  <c r="D162" i="2"/>
  <c r="G161" i="2"/>
  <c r="F161" i="2"/>
  <c r="L161" i="2" s="1"/>
  <c r="D169" i="6"/>
  <c r="E168" i="6"/>
  <c r="F168" i="6"/>
  <c r="G168" i="6" l="1"/>
  <c r="D163" i="2"/>
  <c r="G162" i="2"/>
  <c r="F162" i="2"/>
  <c r="L162" i="2" s="1"/>
  <c r="D170" i="6"/>
  <c r="E169" i="6"/>
  <c r="F169" i="6"/>
  <c r="G169" i="6" l="1"/>
  <c r="D164" i="2"/>
  <c r="G163" i="2"/>
  <c r="F163" i="2"/>
  <c r="L163" i="2" s="1"/>
  <c r="D171" i="6"/>
  <c r="E170" i="6"/>
  <c r="F170" i="6"/>
  <c r="G170" i="6" l="1"/>
  <c r="D165" i="2"/>
  <c r="G164" i="2"/>
  <c r="F164" i="2"/>
  <c r="L164" i="2" s="1"/>
  <c r="D172" i="6"/>
  <c r="E171" i="6"/>
  <c r="F171" i="6"/>
  <c r="G171" i="6" l="1"/>
  <c r="D166" i="2"/>
  <c r="G165" i="2"/>
  <c r="F165" i="2"/>
  <c r="L165" i="2" s="1"/>
  <c r="D173" i="6"/>
  <c r="E172" i="6"/>
  <c r="F172" i="6"/>
  <c r="G172" i="6" l="1"/>
  <c r="D167" i="2"/>
  <c r="G166" i="2"/>
  <c r="F166" i="2"/>
  <c r="L166" i="2" s="1"/>
  <c r="D174" i="6"/>
  <c r="E173" i="6"/>
  <c r="F173" i="6"/>
  <c r="G173" i="6" l="1"/>
  <c r="D168" i="2"/>
  <c r="G167" i="2"/>
  <c r="F167" i="2"/>
  <c r="L167" i="2" s="1"/>
  <c r="D175" i="6"/>
  <c r="E174" i="6"/>
  <c r="F174" i="6"/>
  <c r="G174" i="6" l="1"/>
  <c r="D169" i="2"/>
  <c r="G168" i="2"/>
  <c r="F168" i="2"/>
  <c r="L168" i="2" s="1"/>
  <c r="D176" i="6"/>
  <c r="E175" i="6"/>
  <c r="F175" i="6"/>
  <c r="G175" i="6" l="1"/>
  <c r="D170" i="2"/>
  <c r="G169" i="2"/>
  <c r="F169" i="2"/>
  <c r="L169" i="2" s="1"/>
  <c r="D177" i="6"/>
  <c r="E176" i="6"/>
  <c r="F176" i="6"/>
  <c r="G176" i="6" l="1"/>
  <c r="D171" i="2"/>
  <c r="G170" i="2"/>
  <c r="F170" i="2"/>
  <c r="L170" i="2" s="1"/>
  <c r="D178" i="6"/>
  <c r="E177" i="6"/>
  <c r="F177" i="6"/>
  <c r="G177" i="6" l="1"/>
  <c r="D172" i="2"/>
  <c r="G171" i="2"/>
  <c r="F171" i="2"/>
  <c r="L171" i="2" s="1"/>
  <c r="D179" i="6"/>
  <c r="E178" i="6"/>
  <c r="F178" i="6"/>
  <c r="G178" i="6" l="1"/>
  <c r="D173" i="2"/>
  <c r="G172" i="2"/>
  <c r="F172" i="2"/>
  <c r="L172" i="2" s="1"/>
  <c r="D180" i="6"/>
  <c r="E179" i="6"/>
  <c r="F179" i="6"/>
  <c r="G179" i="6" l="1"/>
  <c r="D174" i="2"/>
  <c r="G173" i="2"/>
  <c r="F173" i="2"/>
  <c r="L173" i="2" s="1"/>
  <c r="D181" i="6"/>
  <c r="E180" i="6"/>
  <c r="F180" i="6"/>
  <c r="G180" i="6" l="1"/>
  <c r="D175" i="2"/>
  <c r="G174" i="2"/>
  <c r="F174" i="2"/>
  <c r="L174" i="2" s="1"/>
  <c r="D182" i="6"/>
  <c r="E181" i="6"/>
  <c r="F181" i="6"/>
  <c r="G181" i="6" l="1"/>
  <c r="D176" i="2"/>
  <c r="G175" i="2"/>
  <c r="F175" i="2"/>
  <c r="L175" i="2" s="1"/>
  <c r="D183" i="6"/>
  <c r="E182" i="6"/>
  <c r="F182" i="6"/>
  <c r="G182" i="6" l="1"/>
  <c r="D177" i="2"/>
  <c r="G176" i="2"/>
  <c r="F176" i="2"/>
  <c r="L176" i="2" s="1"/>
  <c r="D184" i="6"/>
  <c r="E183" i="6"/>
  <c r="F183" i="6"/>
  <c r="G183" i="6" l="1"/>
  <c r="D178" i="2"/>
  <c r="G177" i="2"/>
  <c r="F177" i="2"/>
  <c r="L177" i="2" s="1"/>
  <c r="D185" i="6"/>
  <c r="E184" i="6"/>
  <c r="F184" i="6"/>
  <c r="G184" i="6" l="1"/>
  <c r="D179" i="2"/>
  <c r="G178" i="2"/>
  <c r="F178" i="2"/>
  <c r="L178" i="2" s="1"/>
  <c r="D186" i="6"/>
  <c r="E185" i="6"/>
  <c r="F185" i="6"/>
  <c r="G185" i="6" l="1"/>
  <c r="D180" i="2"/>
  <c r="G179" i="2"/>
  <c r="F179" i="2"/>
  <c r="L179" i="2" s="1"/>
  <c r="D187" i="6"/>
  <c r="E186" i="6"/>
  <c r="F186" i="6"/>
  <c r="G186" i="6" l="1"/>
  <c r="D181" i="2"/>
  <c r="G180" i="2"/>
  <c r="F180" i="2"/>
  <c r="L180" i="2" s="1"/>
  <c r="D188" i="6"/>
  <c r="E187" i="6"/>
  <c r="F187" i="6"/>
  <c r="G187" i="6" l="1"/>
  <c r="D182" i="2"/>
  <c r="G181" i="2"/>
  <c r="F181" i="2"/>
  <c r="L181" i="2" s="1"/>
  <c r="D189" i="6"/>
  <c r="E188" i="6"/>
  <c r="F188" i="6"/>
  <c r="G188" i="6" l="1"/>
  <c r="D183" i="2"/>
  <c r="G182" i="2"/>
  <c r="F182" i="2"/>
  <c r="L182" i="2" s="1"/>
  <c r="D190" i="6"/>
  <c r="E189" i="6"/>
  <c r="F189" i="6"/>
  <c r="G189" i="6" l="1"/>
  <c r="D184" i="2"/>
  <c r="G183" i="2"/>
  <c r="F183" i="2"/>
  <c r="L183" i="2" s="1"/>
  <c r="D191" i="6"/>
  <c r="E190" i="6"/>
  <c r="F190" i="6"/>
  <c r="G190" i="6" l="1"/>
  <c r="D185" i="2"/>
  <c r="G184" i="2"/>
  <c r="F184" i="2"/>
  <c r="L184" i="2" s="1"/>
  <c r="D192" i="6"/>
  <c r="E191" i="6"/>
  <c r="F191" i="6"/>
  <c r="G191" i="6" l="1"/>
  <c r="D186" i="2"/>
  <c r="G185" i="2"/>
  <c r="F185" i="2"/>
  <c r="L185" i="2" s="1"/>
  <c r="D193" i="6"/>
  <c r="E192" i="6"/>
  <c r="F192" i="6"/>
  <c r="G192" i="6" l="1"/>
  <c r="D187" i="2"/>
  <c r="G186" i="2"/>
  <c r="F186" i="2"/>
  <c r="L186" i="2" s="1"/>
  <c r="D194" i="6"/>
  <c r="E193" i="6"/>
  <c r="F193" i="6"/>
  <c r="G193" i="6" l="1"/>
  <c r="D188" i="2"/>
  <c r="G187" i="2"/>
  <c r="F187" i="2"/>
  <c r="L187" i="2" s="1"/>
  <c r="D195" i="6"/>
  <c r="E194" i="6"/>
  <c r="F194" i="6"/>
  <c r="G194" i="6" l="1"/>
  <c r="D189" i="2"/>
  <c r="G188" i="2"/>
  <c r="F188" i="2"/>
  <c r="L188" i="2" s="1"/>
  <c r="D196" i="6"/>
  <c r="E195" i="6"/>
  <c r="F195" i="6"/>
  <c r="G195" i="6" l="1"/>
  <c r="D190" i="2"/>
  <c r="G189" i="2"/>
  <c r="F189" i="2"/>
  <c r="L189" i="2" s="1"/>
  <c r="D197" i="6"/>
  <c r="E196" i="6"/>
  <c r="F196" i="6"/>
  <c r="G196" i="6" l="1"/>
  <c r="D191" i="2"/>
  <c r="G190" i="2"/>
  <c r="F190" i="2"/>
  <c r="L190" i="2" s="1"/>
  <c r="D198" i="6"/>
  <c r="E197" i="6"/>
  <c r="F197" i="6"/>
  <c r="G197" i="6" l="1"/>
  <c r="D192" i="2"/>
  <c r="G191" i="2"/>
  <c r="F191" i="2"/>
  <c r="L191" i="2" s="1"/>
  <c r="D199" i="6"/>
  <c r="E198" i="6"/>
  <c r="F198" i="6"/>
  <c r="G198" i="6" l="1"/>
  <c r="D193" i="2"/>
  <c r="G192" i="2"/>
  <c r="F192" i="2"/>
  <c r="L192" i="2" s="1"/>
  <c r="D200" i="6"/>
  <c r="E199" i="6"/>
  <c r="F199" i="6"/>
  <c r="G199" i="6" l="1"/>
  <c r="D194" i="2"/>
  <c r="G193" i="2"/>
  <c r="F193" i="2"/>
  <c r="L193" i="2" s="1"/>
  <c r="D201" i="6"/>
  <c r="E200" i="6"/>
  <c r="F200" i="6"/>
  <c r="G200" i="6" l="1"/>
  <c r="D195" i="2"/>
  <c r="G194" i="2"/>
  <c r="F194" i="2"/>
  <c r="L194" i="2" s="1"/>
  <c r="D202" i="6"/>
  <c r="E201" i="6"/>
  <c r="F201" i="6"/>
  <c r="G201" i="6" l="1"/>
  <c r="D196" i="2"/>
  <c r="G195" i="2"/>
  <c r="F195" i="2"/>
  <c r="L195" i="2" s="1"/>
  <c r="D203" i="6"/>
  <c r="E202" i="6"/>
  <c r="F202" i="6"/>
  <c r="G202" i="6" l="1"/>
  <c r="D197" i="2"/>
  <c r="G196" i="2"/>
  <c r="F196" i="2"/>
  <c r="L196" i="2" s="1"/>
  <c r="D204" i="6"/>
  <c r="E203" i="6"/>
  <c r="F203" i="6"/>
  <c r="G203" i="6" l="1"/>
  <c r="D198" i="2"/>
  <c r="G197" i="2"/>
  <c r="F197" i="2"/>
  <c r="L197" i="2" s="1"/>
  <c r="D205" i="6"/>
  <c r="E204" i="6"/>
  <c r="F204" i="6"/>
  <c r="G204" i="6" l="1"/>
  <c r="D199" i="2"/>
  <c r="G198" i="2"/>
  <c r="F198" i="2"/>
  <c r="L198" i="2" s="1"/>
  <c r="D206" i="6"/>
  <c r="E205" i="6"/>
  <c r="F205" i="6"/>
  <c r="G205" i="6" l="1"/>
  <c r="D200" i="2"/>
  <c r="G199" i="2"/>
  <c r="F199" i="2"/>
  <c r="L199" i="2" s="1"/>
  <c r="D207" i="6"/>
  <c r="E206" i="6"/>
  <c r="F206" i="6"/>
  <c r="G206" i="6" l="1"/>
  <c r="D201" i="2"/>
  <c r="G200" i="2"/>
  <c r="F200" i="2"/>
  <c r="L200" i="2" s="1"/>
  <c r="D208" i="6"/>
  <c r="E207" i="6"/>
  <c r="F207" i="6"/>
  <c r="G207" i="6" l="1"/>
  <c r="D202" i="2"/>
  <c r="G201" i="2"/>
  <c r="F201" i="2"/>
  <c r="L201" i="2" s="1"/>
  <c r="D209" i="6"/>
  <c r="E208" i="6"/>
  <c r="F208" i="6"/>
  <c r="G208" i="6" l="1"/>
  <c r="D203" i="2"/>
  <c r="G202" i="2"/>
  <c r="F202" i="2"/>
  <c r="L202" i="2" s="1"/>
  <c r="D210" i="6"/>
  <c r="E209" i="6"/>
  <c r="F209" i="6"/>
  <c r="G209" i="6" l="1"/>
  <c r="D204" i="2"/>
  <c r="G203" i="2"/>
  <c r="F203" i="2"/>
  <c r="L203" i="2" s="1"/>
  <c r="D211" i="6"/>
  <c r="E210" i="6"/>
  <c r="F210" i="6"/>
  <c r="G210" i="6" l="1"/>
  <c r="D205" i="2"/>
  <c r="G204" i="2"/>
  <c r="F204" i="2"/>
  <c r="L204" i="2" s="1"/>
  <c r="D212" i="6"/>
  <c r="E211" i="6"/>
  <c r="F211" i="6"/>
  <c r="G211" i="6" l="1"/>
  <c r="D206" i="2"/>
  <c r="G205" i="2"/>
  <c r="F205" i="2"/>
  <c r="L205" i="2" s="1"/>
  <c r="D213" i="6"/>
  <c r="E212" i="6"/>
  <c r="F212" i="6"/>
  <c r="G212" i="6" l="1"/>
  <c r="D207" i="2"/>
  <c r="G206" i="2"/>
  <c r="F206" i="2"/>
  <c r="L206" i="2" s="1"/>
  <c r="D214" i="6"/>
  <c r="E213" i="6"/>
  <c r="F213" i="6"/>
  <c r="G213" i="6" l="1"/>
  <c r="D208" i="2"/>
  <c r="G207" i="2"/>
  <c r="F207" i="2"/>
  <c r="L207" i="2" s="1"/>
  <c r="D215" i="6"/>
  <c r="E214" i="6"/>
  <c r="F214" i="6"/>
  <c r="G214" i="6" l="1"/>
  <c r="D209" i="2"/>
  <c r="G208" i="2"/>
  <c r="F208" i="2"/>
  <c r="L208" i="2" s="1"/>
  <c r="D216" i="6"/>
  <c r="E215" i="6"/>
  <c r="F215" i="6"/>
  <c r="G215" i="6" l="1"/>
  <c r="D210" i="2"/>
  <c r="G209" i="2"/>
  <c r="F209" i="2"/>
  <c r="L209" i="2" s="1"/>
  <c r="D217" i="6"/>
  <c r="E216" i="6"/>
  <c r="F216" i="6"/>
  <c r="G216" i="6" l="1"/>
  <c r="D211" i="2"/>
  <c r="G210" i="2"/>
  <c r="F210" i="2"/>
  <c r="L210" i="2" s="1"/>
  <c r="D218" i="6"/>
  <c r="E217" i="6"/>
  <c r="F217" i="6"/>
  <c r="G217" i="6" l="1"/>
  <c r="D212" i="2"/>
  <c r="G211" i="2"/>
  <c r="F211" i="2"/>
  <c r="L211" i="2" s="1"/>
  <c r="D219" i="6"/>
  <c r="E218" i="6"/>
  <c r="F218" i="6"/>
  <c r="G218" i="6" l="1"/>
  <c r="D213" i="2"/>
  <c r="G212" i="2"/>
  <c r="F212" i="2"/>
  <c r="L212" i="2" s="1"/>
  <c r="D220" i="6"/>
  <c r="E219" i="6"/>
  <c r="F219" i="6"/>
  <c r="G219" i="6" l="1"/>
  <c r="D214" i="2"/>
  <c r="G213" i="2"/>
  <c r="F213" i="2"/>
  <c r="L213" i="2" s="1"/>
  <c r="D221" i="6"/>
  <c r="E220" i="6"/>
  <c r="F220" i="6"/>
  <c r="G220" i="6" l="1"/>
  <c r="D215" i="2"/>
  <c r="G214" i="2"/>
  <c r="F214" i="2"/>
  <c r="L214" i="2" s="1"/>
  <c r="D222" i="6"/>
  <c r="E221" i="6"/>
  <c r="F221" i="6"/>
  <c r="G221" i="6" l="1"/>
  <c r="D216" i="2"/>
  <c r="G215" i="2"/>
  <c r="F215" i="2"/>
  <c r="L215" i="2" s="1"/>
  <c r="D223" i="6"/>
  <c r="E222" i="6"/>
  <c r="F222" i="6"/>
  <c r="G222" i="6" l="1"/>
  <c r="D217" i="2"/>
  <c r="G216" i="2"/>
  <c r="F216" i="2"/>
  <c r="L216" i="2" s="1"/>
  <c r="D224" i="6"/>
  <c r="E223" i="6"/>
  <c r="F223" i="6"/>
  <c r="G223" i="6" l="1"/>
  <c r="D218" i="2"/>
  <c r="G217" i="2"/>
  <c r="F217" i="2"/>
  <c r="L217" i="2" s="1"/>
  <c r="D225" i="6"/>
  <c r="E224" i="6"/>
  <c r="F224" i="6"/>
  <c r="G224" i="6" l="1"/>
  <c r="D219" i="2"/>
  <c r="G218" i="2"/>
  <c r="F218" i="2"/>
  <c r="L218" i="2" s="1"/>
  <c r="D226" i="6"/>
  <c r="E225" i="6"/>
  <c r="F225" i="6"/>
  <c r="G225" i="6" l="1"/>
  <c r="D220" i="2"/>
  <c r="G219" i="2"/>
  <c r="F219" i="2"/>
  <c r="L219" i="2" s="1"/>
  <c r="D227" i="6"/>
  <c r="E226" i="6"/>
  <c r="F226" i="6"/>
  <c r="G226" i="6" l="1"/>
  <c r="D221" i="2"/>
  <c r="G220" i="2"/>
  <c r="F220" i="2"/>
  <c r="L220" i="2" s="1"/>
  <c r="D228" i="6"/>
  <c r="E227" i="6"/>
  <c r="F227" i="6"/>
  <c r="G227" i="6" l="1"/>
  <c r="D222" i="2"/>
  <c r="G221" i="2"/>
  <c r="F221" i="2"/>
  <c r="L221" i="2" s="1"/>
  <c r="D229" i="6"/>
  <c r="E228" i="6"/>
  <c r="F228" i="6"/>
  <c r="G228" i="6" l="1"/>
  <c r="D223" i="2"/>
  <c r="G222" i="2"/>
  <c r="F222" i="2"/>
  <c r="L222" i="2" s="1"/>
  <c r="D230" i="6"/>
  <c r="E229" i="6"/>
  <c r="F229" i="6"/>
  <c r="G229" i="6" l="1"/>
  <c r="D224" i="2"/>
  <c r="G223" i="2"/>
  <c r="F223" i="2"/>
  <c r="L223" i="2" s="1"/>
  <c r="D231" i="6"/>
  <c r="E230" i="6"/>
  <c r="F230" i="6"/>
  <c r="G230" i="6" l="1"/>
  <c r="D225" i="2"/>
  <c r="G224" i="2"/>
  <c r="F224" i="2"/>
  <c r="L224" i="2" s="1"/>
  <c r="D232" i="6"/>
  <c r="E231" i="6"/>
  <c r="F231" i="6"/>
  <c r="G231" i="6" l="1"/>
  <c r="D226" i="2"/>
  <c r="G225" i="2"/>
  <c r="F225" i="2"/>
  <c r="L225" i="2" s="1"/>
  <c r="D233" i="6"/>
  <c r="E232" i="6"/>
  <c r="F232" i="6"/>
  <c r="G232" i="6" l="1"/>
  <c r="D227" i="2"/>
  <c r="G226" i="2"/>
  <c r="F226" i="2"/>
  <c r="L226" i="2" s="1"/>
  <c r="D234" i="6"/>
  <c r="E233" i="6"/>
  <c r="F233" i="6"/>
  <c r="G233" i="6" l="1"/>
  <c r="D228" i="2"/>
  <c r="G227" i="2"/>
  <c r="F227" i="2"/>
  <c r="L227" i="2" s="1"/>
  <c r="D235" i="6"/>
  <c r="E234" i="6"/>
  <c r="F234" i="6"/>
  <c r="G234" i="6" l="1"/>
  <c r="D229" i="2"/>
  <c r="G228" i="2"/>
  <c r="F228" i="2"/>
  <c r="L228" i="2" s="1"/>
  <c r="D236" i="6"/>
  <c r="E235" i="6"/>
  <c r="F235" i="6"/>
  <c r="G235" i="6" l="1"/>
  <c r="D230" i="2"/>
  <c r="G229" i="2"/>
  <c r="F229" i="2"/>
  <c r="L229" i="2" s="1"/>
  <c r="D237" i="6"/>
  <c r="E236" i="6"/>
  <c r="F236" i="6"/>
  <c r="G236" i="6" l="1"/>
  <c r="D231" i="2"/>
  <c r="G230" i="2"/>
  <c r="F230" i="2"/>
  <c r="L230" i="2" s="1"/>
  <c r="D238" i="6"/>
  <c r="E237" i="6"/>
  <c r="F237" i="6"/>
  <c r="G237" i="6" l="1"/>
  <c r="D232" i="2"/>
  <c r="G231" i="2"/>
  <c r="F231" i="2"/>
  <c r="L231" i="2" s="1"/>
  <c r="D239" i="6"/>
  <c r="E238" i="6"/>
  <c r="F238" i="6"/>
  <c r="G238" i="6" l="1"/>
  <c r="D233" i="2"/>
  <c r="G232" i="2"/>
  <c r="F232" i="2"/>
  <c r="L232" i="2" s="1"/>
  <c r="D240" i="6"/>
  <c r="E239" i="6"/>
  <c r="F239" i="6"/>
  <c r="G239" i="6" l="1"/>
  <c r="D234" i="2"/>
  <c r="G233" i="2"/>
  <c r="F233" i="2"/>
  <c r="L233" i="2" s="1"/>
  <c r="D241" i="6"/>
  <c r="E240" i="6"/>
  <c r="F240" i="6"/>
  <c r="G240" i="6" l="1"/>
  <c r="D235" i="2"/>
  <c r="G234" i="2"/>
  <c r="F234" i="2"/>
  <c r="L234" i="2" s="1"/>
  <c r="D242" i="6"/>
  <c r="E241" i="6"/>
  <c r="F241" i="6"/>
  <c r="G241" i="6" l="1"/>
  <c r="D236" i="2"/>
  <c r="G235" i="2"/>
  <c r="F235" i="2"/>
  <c r="L235" i="2" s="1"/>
  <c r="D243" i="6"/>
  <c r="E242" i="6"/>
  <c r="F242" i="6"/>
  <c r="G242" i="6" l="1"/>
  <c r="D237" i="2"/>
  <c r="G236" i="2"/>
  <c r="F236" i="2"/>
  <c r="L236" i="2" s="1"/>
  <c r="D244" i="6"/>
  <c r="E243" i="6"/>
  <c r="F243" i="6"/>
  <c r="G243" i="6" l="1"/>
  <c r="D238" i="2"/>
  <c r="G237" i="2"/>
  <c r="F237" i="2"/>
  <c r="L237" i="2" s="1"/>
  <c r="D245" i="6"/>
  <c r="E244" i="6"/>
  <c r="F244" i="6"/>
  <c r="G244" i="6" l="1"/>
  <c r="D239" i="2"/>
  <c r="G238" i="2"/>
  <c r="F238" i="2"/>
  <c r="L238" i="2" s="1"/>
  <c r="D246" i="6"/>
  <c r="E245" i="6"/>
  <c r="F245" i="6"/>
  <c r="G245" i="6" l="1"/>
  <c r="D240" i="2"/>
  <c r="G239" i="2"/>
  <c r="F239" i="2"/>
  <c r="L239" i="2" s="1"/>
  <c r="D247" i="6"/>
  <c r="E246" i="6"/>
  <c r="F246" i="6"/>
  <c r="G246" i="6" l="1"/>
  <c r="D241" i="2"/>
  <c r="G240" i="2"/>
  <c r="F240" i="2"/>
  <c r="L240" i="2" s="1"/>
  <c r="D248" i="6"/>
  <c r="E247" i="6"/>
  <c r="F247" i="6"/>
  <c r="G247" i="6" l="1"/>
  <c r="D242" i="2"/>
  <c r="G241" i="2"/>
  <c r="F241" i="2"/>
  <c r="L241" i="2" s="1"/>
  <c r="D249" i="6"/>
  <c r="E248" i="6"/>
  <c r="F248" i="6"/>
  <c r="G248" i="6" l="1"/>
  <c r="D243" i="2"/>
  <c r="G242" i="2"/>
  <c r="F242" i="2"/>
  <c r="L242" i="2" s="1"/>
  <c r="D250" i="6"/>
  <c r="E249" i="6"/>
  <c r="F249" i="6"/>
  <c r="G249" i="6" l="1"/>
  <c r="D244" i="2"/>
  <c r="G243" i="2"/>
  <c r="F243" i="2"/>
  <c r="L243" i="2" s="1"/>
  <c r="D251" i="6"/>
  <c r="E250" i="6"/>
  <c r="F250" i="6"/>
  <c r="G250" i="6" l="1"/>
  <c r="D245" i="2"/>
  <c r="G244" i="2"/>
  <c r="F244" i="2"/>
  <c r="L244" i="2" s="1"/>
  <c r="D252" i="6"/>
  <c r="E251" i="6"/>
  <c r="F251" i="6"/>
  <c r="G251" i="6" l="1"/>
  <c r="D246" i="2"/>
  <c r="G245" i="2"/>
  <c r="F245" i="2"/>
  <c r="L245" i="2" s="1"/>
  <c r="D253" i="6"/>
  <c r="E252" i="6"/>
  <c r="F252" i="6"/>
  <c r="G252" i="6" l="1"/>
  <c r="D247" i="2"/>
  <c r="G246" i="2"/>
  <c r="F246" i="2"/>
  <c r="L246" i="2" s="1"/>
  <c r="D254" i="6"/>
  <c r="E253" i="6"/>
  <c r="F253" i="6"/>
  <c r="G253" i="6" l="1"/>
  <c r="D248" i="2"/>
  <c r="G247" i="2"/>
  <c r="F247" i="2"/>
  <c r="L247" i="2" s="1"/>
  <c r="D255" i="6"/>
  <c r="E254" i="6"/>
  <c r="F254" i="6"/>
  <c r="G254" i="6" l="1"/>
  <c r="D249" i="2"/>
  <c r="G248" i="2"/>
  <c r="F248" i="2"/>
  <c r="L248" i="2" s="1"/>
  <c r="D256" i="6"/>
  <c r="E255" i="6"/>
  <c r="F255" i="6"/>
  <c r="G255" i="6" l="1"/>
  <c r="D250" i="2"/>
  <c r="G249" i="2"/>
  <c r="F249" i="2"/>
  <c r="L249" i="2" s="1"/>
  <c r="D257" i="6"/>
  <c r="E256" i="6"/>
  <c r="F256" i="6"/>
  <c r="G256" i="6" l="1"/>
  <c r="D251" i="2"/>
  <c r="G250" i="2"/>
  <c r="F250" i="2"/>
  <c r="L250" i="2" s="1"/>
  <c r="D258" i="6"/>
  <c r="E257" i="6"/>
  <c r="F257" i="6"/>
  <c r="G257" i="6" l="1"/>
  <c r="D252" i="2"/>
  <c r="G251" i="2"/>
  <c r="F251" i="2"/>
  <c r="L251" i="2" s="1"/>
  <c r="D259" i="6"/>
  <c r="E258" i="6"/>
  <c r="F258" i="6"/>
  <c r="G258" i="6" l="1"/>
  <c r="D253" i="2"/>
  <c r="G252" i="2"/>
  <c r="F252" i="2"/>
  <c r="L252" i="2" s="1"/>
  <c r="D260" i="6"/>
  <c r="E259" i="6"/>
  <c r="F259" i="6"/>
  <c r="G259" i="6" l="1"/>
  <c r="D254" i="2"/>
  <c r="G253" i="2"/>
  <c r="F253" i="2"/>
  <c r="L253" i="2" s="1"/>
  <c r="D261" i="6"/>
  <c r="E260" i="6"/>
  <c r="F260" i="6"/>
  <c r="G260" i="6" l="1"/>
  <c r="D255" i="2"/>
  <c r="G254" i="2"/>
  <c r="F254" i="2"/>
  <c r="L254" i="2" s="1"/>
  <c r="D262" i="6"/>
  <c r="E261" i="6"/>
  <c r="F261" i="6"/>
  <c r="G261" i="6" l="1"/>
  <c r="D256" i="2"/>
  <c r="G255" i="2"/>
  <c r="F255" i="2"/>
  <c r="L255" i="2" s="1"/>
  <c r="D263" i="6"/>
  <c r="E262" i="6"/>
  <c r="F262" i="6"/>
  <c r="G262" i="6" l="1"/>
  <c r="D257" i="2"/>
  <c r="G256" i="2"/>
  <c r="F256" i="2"/>
  <c r="L256" i="2" s="1"/>
  <c r="D264" i="6"/>
  <c r="E263" i="6"/>
  <c r="F263" i="6"/>
  <c r="G263" i="6" l="1"/>
  <c r="D258" i="2"/>
  <c r="G257" i="2"/>
  <c r="F257" i="2"/>
  <c r="L257" i="2" s="1"/>
  <c r="D265" i="6"/>
  <c r="E264" i="6"/>
  <c r="F264" i="6"/>
  <c r="G264" i="6" l="1"/>
  <c r="D259" i="2"/>
  <c r="G258" i="2"/>
  <c r="F258" i="2"/>
  <c r="L258" i="2" s="1"/>
  <c r="D266" i="6"/>
  <c r="E265" i="6"/>
  <c r="F265" i="6"/>
  <c r="G265" i="6" l="1"/>
  <c r="D260" i="2"/>
  <c r="G259" i="2"/>
  <c r="F259" i="2"/>
  <c r="L259" i="2" s="1"/>
  <c r="D267" i="6"/>
  <c r="E266" i="6"/>
  <c r="F266" i="6"/>
  <c r="G266" i="6" l="1"/>
  <c r="D261" i="2"/>
  <c r="G260" i="2"/>
  <c r="F260" i="2"/>
  <c r="L260" i="2" s="1"/>
  <c r="D268" i="6"/>
  <c r="E267" i="6"/>
  <c r="F267" i="6"/>
  <c r="G267" i="6" l="1"/>
  <c r="D262" i="2"/>
  <c r="G261" i="2"/>
  <c r="F261" i="2"/>
  <c r="L261" i="2" s="1"/>
  <c r="D269" i="6"/>
  <c r="E268" i="6"/>
  <c r="F268" i="6"/>
  <c r="G268" i="6" l="1"/>
  <c r="D263" i="2"/>
  <c r="G262" i="2"/>
  <c r="F262" i="2"/>
  <c r="L262" i="2" s="1"/>
  <c r="D270" i="6"/>
  <c r="E269" i="6"/>
  <c r="F269" i="6"/>
  <c r="G269" i="6" l="1"/>
  <c r="D264" i="2"/>
  <c r="G263" i="2"/>
  <c r="F263" i="2"/>
  <c r="L263" i="2" s="1"/>
  <c r="D271" i="6"/>
  <c r="E270" i="6"/>
  <c r="F270" i="6"/>
  <c r="G270" i="6" l="1"/>
  <c r="D265" i="2"/>
  <c r="G264" i="2"/>
  <c r="F264" i="2"/>
  <c r="L264" i="2" s="1"/>
  <c r="D272" i="6"/>
  <c r="E271" i="6"/>
  <c r="F271" i="6"/>
  <c r="G271" i="6" l="1"/>
  <c r="D266" i="2"/>
  <c r="G265" i="2"/>
  <c r="F265" i="2"/>
  <c r="L265" i="2" s="1"/>
  <c r="D273" i="6"/>
  <c r="E272" i="6"/>
  <c r="F272" i="6"/>
  <c r="G272" i="6" l="1"/>
  <c r="D267" i="2"/>
  <c r="G266" i="2"/>
  <c r="F266" i="2"/>
  <c r="L266" i="2" s="1"/>
  <c r="D274" i="6"/>
  <c r="E273" i="6"/>
  <c r="F273" i="6"/>
  <c r="G273" i="6" l="1"/>
  <c r="D268" i="2"/>
  <c r="G267" i="2"/>
  <c r="F267" i="2"/>
  <c r="L267" i="2" s="1"/>
  <c r="D275" i="6"/>
  <c r="E274" i="6"/>
  <c r="F274" i="6"/>
  <c r="G274" i="6" l="1"/>
  <c r="D269" i="2"/>
  <c r="G268" i="2"/>
  <c r="F268" i="2"/>
  <c r="L268" i="2" s="1"/>
  <c r="D276" i="6"/>
  <c r="E275" i="6"/>
  <c r="F275" i="6"/>
  <c r="G275" i="6" l="1"/>
  <c r="D270" i="2"/>
  <c r="G269" i="2"/>
  <c r="F269" i="2"/>
  <c r="L269" i="2" s="1"/>
  <c r="D277" i="6"/>
  <c r="E276" i="6"/>
  <c r="F276" i="6"/>
  <c r="G276" i="6" l="1"/>
  <c r="D271" i="2"/>
  <c r="G270" i="2"/>
  <c r="F270" i="2"/>
  <c r="L270" i="2" s="1"/>
  <c r="D278" i="6"/>
  <c r="E277" i="6"/>
  <c r="F277" i="6"/>
  <c r="G277" i="6" l="1"/>
  <c r="D272" i="2"/>
  <c r="G271" i="2"/>
  <c r="F271" i="2"/>
  <c r="L271" i="2" s="1"/>
  <c r="D279" i="6"/>
  <c r="E278" i="6"/>
  <c r="F278" i="6"/>
  <c r="G278" i="6" l="1"/>
  <c r="D273" i="2"/>
  <c r="G272" i="2"/>
  <c r="F272" i="2"/>
  <c r="L272" i="2" s="1"/>
  <c r="D280" i="6"/>
  <c r="E279" i="6"/>
  <c r="F279" i="6"/>
  <c r="G279" i="6" l="1"/>
  <c r="D274" i="2"/>
  <c r="G273" i="2"/>
  <c r="F273" i="2"/>
  <c r="L273" i="2" s="1"/>
  <c r="D281" i="6"/>
  <c r="E280" i="6"/>
  <c r="F280" i="6"/>
  <c r="G280" i="6" l="1"/>
  <c r="D275" i="2"/>
  <c r="G274" i="2"/>
  <c r="F274" i="2"/>
  <c r="L274" i="2" s="1"/>
  <c r="D282" i="6"/>
  <c r="E281" i="6"/>
  <c r="F281" i="6"/>
  <c r="G281" i="6" l="1"/>
  <c r="D276" i="2"/>
  <c r="G275" i="2"/>
  <c r="F275" i="2"/>
  <c r="L275" i="2" s="1"/>
  <c r="D283" i="6"/>
  <c r="E282" i="6"/>
  <c r="F282" i="6"/>
  <c r="G282" i="6" l="1"/>
  <c r="D277" i="2"/>
  <c r="G276" i="2"/>
  <c r="F276" i="2"/>
  <c r="L276" i="2" s="1"/>
  <c r="D284" i="6"/>
  <c r="E283" i="6"/>
  <c r="F283" i="6"/>
  <c r="G283" i="6" l="1"/>
  <c r="D278" i="2"/>
  <c r="G277" i="2"/>
  <c r="F277" i="2"/>
  <c r="L277" i="2" s="1"/>
  <c r="D285" i="6"/>
  <c r="E284" i="6"/>
  <c r="F284" i="6"/>
  <c r="G284" i="6" l="1"/>
  <c r="D279" i="2"/>
  <c r="G278" i="2"/>
  <c r="F278" i="2"/>
  <c r="L278" i="2" s="1"/>
  <c r="D286" i="6"/>
  <c r="E285" i="6"/>
  <c r="F285" i="6"/>
  <c r="G285" i="6" l="1"/>
  <c r="D280" i="2"/>
  <c r="G279" i="2"/>
  <c r="F279" i="2"/>
  <c r="L279" i="2" s="1"/>
  <c r="D287" i="6"/>
  <c r="E286" i="6"/>
  <c r="F286" i="6"/>
  <c r="G286" i="6" l="1"/>
  <c r="D281" i="2"/>
  <c r="G280" i="2"/>
  <c r="F280" i="2"/>
  <c r="L280" i="2" s="1"/>
  <c r="D288" i="6"/>
  <c r="E287" i="6"/>
  <c r="F287" i="6"/>
  <c r="G287" i="6" l="1"/>
  <c r="D282" i="2"/>
  <c r="G281" i="2"/>
  <c r="F281" i="2"/>
  <c r="L281" i="2" s="1"/>
  <c r="D289" i="6"/>
  <c r="E288" i="6"/>
  <c r="F288" i="6"/>
  <c r="G288" i="6" l="1"/>
  <c r="D283" i="2"/>
  <c r="G282" i="2"/>
  <c r="F282" i="2"/>
  <c r="L282" i="2" s="1"/>
  <c r="D290" i="6"/>
  <c r="E289" i="6"/>
  <c r="F289" i="6"/>
  <c r="G289" i="6" l="1"/>
  <c r="D284" i="2"/>
  <c r="G283" i="2"/>
  <c r="F283" i="2"/>
  <c r="L283" i="2" s="1"/>
  <c r="D291" i="6"/>
  <c r="E290" i="6"/>
  <c r="F290" i="6"/>
  <c r="G290" i="6" l="1"/>
  <c r="D285" i="2"/>
  <c r="G284" i="2"/>
  <c r="F284" i="2"/>
  <c r="L284" i="2" s="1"/>
  <c r="D292" i="6"/>
  <c r="E291" i="6"/>
  <c r="F291" i="6"/>
  <c r="G291" i="6" l="1"/>
  <c r="D286" i="2"/>
  <c r="G285" i="2"/>
  <c r="F285" i="2"/>
  <c r="L285" i="2" s="1"/>
  <c r="D293" i="6"/>
  <c r="E292" i="6"/>
  <c r="F292" i="6"/>
  <c r="G292" i="6" l="1"/>
  <c r="D287" i="2"/>
  <c r="G286" i="2"/>
  <c r="F286" i="2"/>
  <c r="L286" i="2" s="1"/>
  <c r="D294" i="6"/>
  <c r="E293" i="6"/>
  <c r="F293" i="6"/>
  <c r="G293" i="6" l="1"/>
  <c r="D288" i="2"/>
  <c r="G287" i="2"/>
  <c r="F287" i="2"/>
  <c r="L287" i="2" s="1"/>
  <c r="D295" i="6"/>
  <c r="E294" i="6"/>
  <c r="F294" i="6"/>
  <c r="G294" i="6" l="1"/>
  <c r="D289" i="2"/>
  <c r="G288" i="2"/>
  <c r="F288" i="2"/>
  <c r="L288" i="2" s="1"/>
  <c r="D296" i="6"/>
  <c r="E295" i="6"/>
  <c r="F295" i="6"/>
  <c r="G295" i="6" l="1"/>
  <c r="D290" i="2"/>
  <c r="G289" i="2"/>
  <c r="F289" i="2"/>
  <c r="L289" i="2" s="1"/>
  <c r="D297" i="6"/>
  <c r="E296" i="6"/>
  <c r="F296" i="6"/>
  <c r="G296" i="6" l="1"/>
  <c r="D291" i="2"/>
  <c r="G290" i="2"/>
  <c r="F290" i="2"/>
  <c r="L290" i="2" s="1"/>
  <c r="D298" i="6"/>
  <c r="E297" i="6"/>
  <c r="F297" i="6"/>
  <c r="G297" i="6" l="1"/>
  <c r="D292" i="2"/>
  <c r="G291" i="2"/>
  <c r="F291" i="2"/>
  <c r="L291" i="2" s="1"/>
  <c r="D299" i="6"/>
  <c r="E298" i="6"/>
  <c r="F298" i="6"/>
  <c r="G298" i="6" l="1"/>
  <c r="D293" i="2"/>
  <c r="G292" i="2"/>
  <c r="F292" i="2"/>
  <c r="L292" i="2" s="1"/>
  <c r="D300" i="6"/>
  <c r="E299" i="6"/>
  <c r="F299" i="6"/>
  <c r="G299" i="6" l="1"/>
  <c r="D294" i="2"/>
  <c r="G293" i="2"/>
  <c r="F293" i="2"/>
  <c r="L293" i="2" s="1"/>
  <c r="D301" i="6"/>
  <c r="E300" i="6"/>
  <c r="F300" i="6"/>
  <c r="G300" i="6" l="1"/>
  <c r="D295" i="2"/>
  <c r="G294" i="2"/>
  <c r="F294" i="2"/>
  <c r="L294" i="2" s="1"/>
  <c r="D302" i="6"/>
  <c r="E301" i="6"/>
  <c r="F301" i="6"/>
  <c r="G301" i="6" l="1"/>
  <c r="D296" i="2"/>
  <c r="G295" i="2"/>
  <c r="F295" i="2"/>
  <c r="L295" i="2" s="1"/>
  <c r="D303" i="6"/>
  <c r="E302" i="6"/>
  <c r="F302" i="6"/>
  <c r="G302" i="6" l="1"/>
  <c r="D297" i="2"/>
  <c r="G296" i="2"/>
  <c r="F296" i="2"/>
  <c r="L296" i="2" s="1"/>
  <c r="D304" i="6"/>
  <c r="E303" i="6"/>
  <c r="F303" i="6"/>
  <c r="G303" i="6" l="1"/>
  <c r="D298" i="2"/>
  <c r="G297" i="2"/>
  <c r="F297" i="2"/>
  <c r="L297" i="2" s="1"/>
  <c r="D305" i="6"/>
  <c r="E304" i="6"/>
  <c r="F304" i="6"/>
  <c r="G304" i="6" l="1"/>
  <c r="D299" i="2"/>
  <c r="G298" i="2"/>
  <c r="F298" i="2"/>
  <c r="L298" i="2" s="1"/>
  <c r="D306" i="6"/>
  <c r="E305" i="6"/>
  <c r="F305" i="6"/>
  <c r="G305" i="6" l="1"/>
  <c r="D300" i="2"/>
  <c r="G299" i="2"/>
  <c r="F299" i="2"/>
  <c r="L299" i="2" s="1"/>
  <c r="D307" i="6"/>
  <c r="E306" i="6"/>
  <c r="F306" i="6"/>
  <c r="G306" i="6" l="1"/>
  <c r="D301" i="2"/>
  <c r="G300" i="2"/>
  <c r="F300" i="2"/>
  <c r="L300" i="2" s="1"/>
  <c r="D308" i="6"/>
  <c r="E307" i="6"/>
  <c r="F307" i="6"/>
  <c r="G307" i="6" l="1"/>
  <c r="D302" i="2"/>
  <c r="G301" i="2"/>
  <c r="F301" i="2"/>
  <c r="L301" i="2" s="1"/>
  <c r="D309" i="6"/>
  <c r="E308" i="6"/>
  <c r="F308" i="6"/>
  <c r="G308" i="6" l="1"/>
  <c r="D303" i="2"/>
  <c r="G302" i="2"/>
  <c r="F302" i="2"/>
  <c r="L302" i="2" s="1"/>
  <c r="D310" i="6"/>
  <c r="E309" i="6"/>
  <c r="F309" i="6"/>
  <c r="G309" i="6" l="1"/>
  <c r="D304" i="2"/>
  <c r="G303" i="2"/>
  <c r="F303" i="2"/>
  <c r="L303" i="2" s="1"/>
  <c r="D311" i="6"/>
  <c r="E310" i="6"/>
  <c r="F310" i="6"/>
  <c r="G310" i="6" l="1"/>
  <c r="D305" i="2"/>
  <c r="G304" i="2"/>
  <c r="F304" i="2"/>
  <c r="L304" i="2" s="1"/>
  <c r="D312" i="6"/>
  <c r="E311" i="6"/>
  <c r="F311" i="6"/>
  <c r="G311" i="6" l="1"/>
  <c r="D306" i="2"/>
  <c r="G305" i="2"/>
  <c r="F305" i="2"/>
  <c r="L305" i="2" s="1"/>
  <c r="D313" i="6"/>
  <c r="E312" i="6"/>
  <c r="F312" i="6"/>
  <c r="G312" i="6" l="1"/>
  <c r="D307" i="2"/>
  <c r="G306" i="2"/>
  <c r="F306" i="2"/>
  <c r="L306" i="2" s="1"/>
  <c r="D314" i="6"/>
  <c r="E313" i="6"/>
  <c r="F313" i="6"/>
  <c r="G313" i="6" l="1"/>
  <c r="D308" i="2"/>
  <c r="G307" i="2"/>
  <c r="F307" i="2"/>
  <c r="L307" i="2" s="1"/>
  <c r="D315" i="6"/>
  <c r="E314" i="6"/>
  <c r="F314" i="6"/>
  <c r="G314" i="6" l="1"/>
  <c r="D309" i="2"/>
  <c r="G308" i="2"/>
  <c r="F308" i="2"/>
  <c r="L308" i="2" s="1"/>
  <c r="D316" i="6"/>
  <c r="E315" i="6"/>
  <c r="F315" i="6"/>
  <c r="G315" i="6" l="1"/>
  <c r="D310" i="2"/>
  <c r="G309" i="2"/>
  <c r="F309" i="2"/>
  <c r="L309" i="2" s="1"/>
  <c r="D317" i="6"/>
  <c r="E316" i="6"/>
  <c r="F316" i="6"/>
  <c r="G316" i="6" l="1"/>
  <c r="D311" i="2"/>
  <c r="G310" i="2"/>
  <c r="F310" i="2"/>
  <c r="L310" i="2" s="1"/>
  <c r="D318" i="6"/>
  <c r="E317" i="6"/>
  <c r="F317" i="6"/>
  <c r="G317" i="6" l="1"/>
  <c r="D312" i="2"/>
  <c r="G311" i="2"/>
  <c r="F311" i="2"/>
  <c r="L311" i="2" s="1"/>
  <c r="D319" i="6"/>
  <c r="E318" i="6"/>
  <c r="F318" i="6"/>
  <c r="G318" i="6" l="1"/>
  <c r="D313" i="2"/>
  <c r="G312" i="2"/>
  <c r="F312" i="2"/>
  <c r="L312" i="2" s="1"/>
  <c r="D320" i="6"/>
  <c r="E319" i="6"/>
  <c r="F319" i="6"/>
  <c r="G319" i="6" l="1"/>
  <c r="D314" i="2"/>
  <c r="G313" i="2"/>
  <c r="F313" i="2"/>
  <c r="L313" i="2" s="1"/>
  <c r="D321" i="6"/>
  <c r="E320" i="6"/>
  <c r="F320" i="6"/>
  <c r="G320" i="6" l="1"/>
  <c r="D315" i="2"/>
  <c r="G314" i="2"/>
  <c r="F314" i="2"/>
  <c r="L314" i="2" s="1"/>
  <c r="D322" i="6"/>
  <c r="E321" i="6"/>
  <c r="F321" i="6"/>
  <c r="G321" i="6" l="1"/>
  <c r="D316" i="2"/>
  <c r="G315" i="2"/>
  <c r="F315" i="2"/>
  <c r="L315" i="2" s="1"/>
  <c r="D323" i="6"/>
  <c r="E322" i="6"/>
  <c r="F322" i="6"/>
  <c r="G322" i="6" l="1"/>
  <c r="D317" i="2"/>
  <c r="G316" i="2"/>
  <c r="F316" i="2"/>
  <c r="L316" i="2" s="1"/>
  <c r="D324" i="6"/>
  <c r="E323" i="6"/>
  <c r="F323" i="6"/>
  <c r="G323" i="6" l="1"/>
  <c r="D318" i="2"/>
  <c r="G317" i="2"/>
  <c r="F317" i="2"/>
  <c r="L317" i="2" s="1"/>
  <c r="D325" i="6"/>
  <c r="E324" i="6"/>
  <c r="F324" i="6"/>
  <c r="G324" i="6" l="1"/>
  <c r="D319" i="2"/>
  <c r="G318" i="2"/>
  <c r="F318" i="2"/>
  <c r="L318" i="2" s="1"/>
  <c r="D326" i="6"/>
  <c r="E325" i="6"/>
  <c r="F325" i="6"/>
  <c r="G325" i="6" l="1"/>
  <c r="D320" i="2"/>
  <c r="G319" i="2"/>
  <c r="F319" i="2"/>
  <c r="L319" i="2" s="1"/>
  <c r="D327" i="6"/>
  <c r="E326" i="6"/>
  <c r="F326" i="6"/>
  <c r="G326" i="6" l="1"/>
  <c r="D321" i="2"/>
  <c r="G320" i="2"/>
  <c r="F320" i="2"/>
  <c r="L320" i="2" s="1"/>
  <c r="D328" i="6"/>
  <c r="E327" i="6"/>
  <c r="F327" i="6"/>
  <c r="G327" i="6" l="1"/>
  <c r="D322" i="2"/>
  <c r="G321" i="2"/>
  <c r="F321" i="2"/>
  <c r="L321" i="2" s="1"/>
  <c r="D329" i="6"/>
  <c r="E328" i="6"/>
  <c r="F328" i="6"/>
  <c r="G328" i="6" l="1"/>
  <c r="D323" i="2"/>
  <c r="G322" i="2"/>
  <c r="F322" i="2"/>
  <c r="L322" i="2" s="1"/>
  <c r="D330" i="6"/>
  <c r="E329" i="6"/>
  <c r="F329" i="6"/>
  <c r="G329" i="6" l="1"/>
  <c r="D324" i="2"/>
  <c r="G323" i="2"/>
  <c r="F323" i="2"/>
  <c r="L323" i="2" s="1"/>
  <c r="D331" i="6"/>
  <c r="E330" i="6"/>
  <c r="F330" i="6"/>
  <c r="G330" i="6" l="1"/>
  <c r="D325" i="2"/>
  <c r="G324" i="2"/>
  <c r="F324" i="2"/>
  <c r="L324" i="2" s="1"/>
  <c r="D332" i="6"/>
  <c r="E331" i="6"/>
  <c r="F331" i="6"/>
  <c r="G331" i="6" l="1"/>
  <c r="D326" i="2"/>
  <c r="G325" i="2"/>
  <c r="F325" i="2"/>
  <c r="L325" i="2" s="1"/>
  <c r="D333" i="6"/>
  <c r="E332" i="6"/>
  <c r="F332" i="6"/>
  <c r="G332" i="6" l="1"/>
  <c r="D327" i="2"/>
  <c r="G326" i="2"/>
  <c r="F326" i="2"/>
  <c r="L326" i="2" s="1"/>
  <c r="D334" i="6"/>
  <c r="E333" i="6"/>
  <c r="F333" i="6"/>
  <c r="G333" i="6" l="1"/>
  <c r="D328" i="2"/>
  <c r="G327" i="2"/>
  <c r="F327" i="2"/>
  <c r="L327" i="2" s="1"/>
  <c r="D335" i="6"/>
  <c r="E334" i="6"/>
  <c r="F334" i="6"/>
  <c r="G334" i="6" l="1"/>
  <c r="D329" i="2"/>
  <c r="G328" i="2"/>
  <c r="F328" i="2"/>
  <c r="L328" i="2" s="1"/>
  <c r="D336" i="6"/>
  <c r="E335" i="6"/>
  <c r="F335" i="6"/>
  <c r="G335" i="6" l="1"/>
  <c r="D330" i="2"/>
  <c r="G329" i="2"/>
  <c r="F329" i="2"/>
  <c r="L329" i="2" s="1"/>
  <c r="D337" i="6"/>
  <c r="E336" i="6"/>
  <c r="F336" i="6"/>
  <c r="G336" i="6" l="1"/>
  <c r="D331" i="2"/>
  <c r="G330" i="2"/>
  <c r="F330" i="2"/>
  <c r="L330" i="2" s="1"/>
  <c r="D338" i="6"/>
  <c r="E337" i="6"/>
  <c r="F337" i="6"/>
  <c r="G337" i="6" l="1"/>
  <c r="D332" i="2"/>
  <c r="G331" i="2"/>
  <c r="F331" i="2"/>
  <c r="L331" i="2" s="1"/>
  <c r="D339" i="6"/>
  <c r="E338" i="6"/>
  <c r="F338" i="6"/>
  <c r="G338" i="6" l="1"/>
  <c r="D333" i="2"/>
  <c r="G332" i="2"/>
  <c r="F332" i="2"/>
  <c r="L332" i="2" s="1"/>
  <c r="D340" i="6"/>
  <c r="E339" i="6"/>
  <c r="F339" i="6"/>
  <c r="G339" i="6" l="1"/>
  <c r="D334" i="2"/>
  <c r="G333" i="2"/>
  <c r="F333" i="2"/>
  <c r="L333" i="2" s="1"/>
  <c r="D341" i="6"/>
  <c r="E340" i="6"/>
  <c r="F340" i="6"/>
  <c r="G340" i="6" l="1"/>
  <c r="D335" i="2"/>
  <c r="G334" i="2"/>
  <c r="F334" i="2"/>
  <c r="L334" i="2" s="1"/>
  <c r="D342" i="6"/>
  <c r="E341" i="6"/>
  <c r="F341" i="6"/>
  <c r="G341" i="6" l="1"/>
  <c r="D336" i="2"/>
  <c r="G335" i="2"/>
  <c r="F335" i="2"/>
  <c r="L335" i="2" s="1"/>
  <c r="D343" i="6"/>
  <c r="E342" i="6"/>
  <c r="F342" i="6"/>
  <c r="G342" i="6" l="1"/>
  <c r="D337" i="2"/>
  <c r="G336" i="2"/>
  <c r="F336" i="2"/>
  <c r="L336" i="2" s="1"/>
  <c r="D344" i="6"/>
  <c r="E343" i="6"/>
  <c r="F343" i="6"/>
  <c r="G343" i="6" l="1"/>
  <c r="D338" i="2"/>
  <c r="G337" i="2"/>
  <c r="F337" i="2"/>
  <c r="L337" i="2" s="1"/>
  <c r="D345" i="6"/>
  <c r="E344" i="6"/>
  <c r="F344" i="6"/>
  <c r="G344" i="6" l="1"/>
  <c r="D339" i="2"/>
  <c r="G338" i="2"/>
  <c r="F338" i="2"/>
  <c r="L338" i="2" s="1"/>
  <c r="D346" i="6"/>
  <c r="E345" i="6"/>
  <c r="F345" i="6"/>
  <c r="G345" i="6" l="1"/>
  <c r="D340" i="2"/>
  <c r="G339" i="2"/>
  <c r="F339" i="2"/>
  <c r="L339" i="2" s="1"/>
  <c r="D347" i="6"/>
  <c r="E346" i="6"/>
  <c r="F346" i="6"/>
  <c r="G346" i="6" l="1"/>
  <c r="D341" i="2"/>
  <c r="G340" i="2"/>
  <c r="F340" i="2"/>
  <c r="L340" i="2" s="1"/>
  <c r="D348" i="6"/>
  <c r="E347" i="6"/>
  <c r="F347" i="6"/>
  <c r="G347" i="6" l="1"/>
  <c r="D342" i="2"/>
  <c r="G341" i="2"/>
  <c r="F341" i="2"/>
  <c r="L341" i="2" s="1"/>
  <c r="D349" i="6"/>
  <c r="E348" i="6"/>
  <c r="F348" i="6"/>
  <c r="G348" i="6" l="1"/>
  <c r="D343" i="2"/>
  <c r="G342" i="2"/>
  <c r="F342" i="2"/>
  <c r="L342" i="2" s="1"/>
  <c r="D350" i="6"/>
  <c r="E349" i="6"/>
  <c r="F349" i="6"/>
  <c r="G349" i="6" l="1"/>
  <c r="D344" i="2"/>
  <c r="G343" i="2"/>
  <c r="F343" i="2"/>
  <c r="L343" i="2" s="1"/>
  <c r="D351" i="6"/>
  <c r="E350" i="6"/>
  <c r="F350" i="6"/>
  <c r="G350" i="6" l="1"/>
  <c r="D345" i="2"/>
  <c r="G344" i="2"/>
  <c r="F344" i="2"/>
  <c r="L344" i="2" s="1"/>
  <c r="D352" i="6"/>
  <c r="E351" i="6"/>
  <c r="F351" i="6"/>
  <c r="G351" i="6" l="1"/>
  <c r="D346" i="2"/>
  <c r="G345" i="2"/>
  <c r="F345" i="2"/>
  <c r="L345" i="2" s="1"/>
  <c r="D353" i="6"/>
  <c r="E352" i="6"/>
  <c r="F352" i="6"/>
  <c r="G352" i="6" l="1"/>
  <c r="D347" i="2"/>
  <c r="G346" i="2"/>
  <c r="F346" i="2"/>
  <c r="L346" i="2" s="1"/>
  <c r="D354" i="6"/>
  <c r="E353" i="6"/>
  <c r="F353" i="6"/>
  <c r="G353" i="6" l="1"/>
  <c r="D348" i="2"/>
  <c r="G347" i="2"/>
  <c r="F347" i="2"/>
  <c r="L347" i="2" s="1"/>
  <c r="D355" i="6"/>
  <c r="E354" i="6"/>
  <c r="F354" i="6"/>
  <c r="G354" i="6" l="1"/>
  <c r="D349" i="2"/>
  <c r="G348" i="2"/>
  <c r="F348" i="2"/>
  <c r="L348" i="2" s="1"/>
  <c r="D356" i="6"/>
  <c r="E355" i="6"/>
  <c r="F355" i="6"/>
  <c r="G355" i="6" l="1"/>
  <c r="D350" i="2"/>
  <c r="G349" i="2"/>
  <c r="F349" i="2"/>
  <c r="L349" i="2" s="1"/>
  <c r="D357" i="6"/>
  <c r="E356" i="6"/>
  <c r="F356" i="6"/>
  <c r="G356" i="6" l="1"/>
  <c r="D351" i="2"/>
  <c r="G350" i="2"/>
  <c r="F350" i="2"/>
  <c r="L350" i="2" s="1"/>
  <c r="D358" i="6"/>
  <c r="E357" i="6"/>
  <c r="F357" i="6"/>
  <c r="G357" i="6" l="1"/>
  <c r="D352" i="2"/>
  <c r="G351" i="2"/>
  <c r="F351" i="2"/>
  <c r="L351" i="2" s="1"/>
  <c r="D359" i="6"/>
  <c r="E358" i="6"/>
  <c r="F358" i="6"/>
  <c r="G358" i="6" l="1"/>
  <c r="D353" i="2"/>
  <c r="G352" i="2"/>
  <c r="F352" i="2"/>
  <c r="L352" i="2" s="1"/>
  <c r="D360" i="6"/>
  <c r="E359" i="6"/>
  <c r="F359" i="6"/>
  <c r="G359" i="6" l="1"/>
  <c r="D354" i="2"/>
  <c r="G353" i="2"/>
  <c r="F353" i="2"/>
  <c r="L353" i="2" s="1"/>
  <c r="D361" i="6"/>
  <c r="E360" i="6"/>
  <c r="F360" i="6"/>
  <c r="G360" i="6" l="1"/>
  <c r="D355" i="2"/>
  <c r="G354" i="2"/>
  <c r="F354" i="2"/>
  <c r="L354" i="2" s="1"/>
  <c r="D362" i="6"/>
  <c r="E361" i="6"/>
  <c r="F361" i="6"/>
  <c r="G361" i="6" l="1"/>
  <c r="D356" i="2"/>
  <c r="G355" i="2"/>
  <c r="F355" i="2"/>
  <c r="L355" i="2" s="1"/>
  <c r="D363" i="6"/>
  <c r="E362" i="6"/>
  <c r="F362" i="6"/>
  <c r="G362" i="6" l="1"/>
  <c r="D357" i="2"/>
  <c r="G356" i="2"/>
  <c r="F356" i="2"/>
  <c r="L356" i="2" s="1"/>
  <c r="D364" i="6"/>
  <c r="E363" i="6"/>
  <c r="F363" i="6"/>
  <c r="G363" i="6" l="1"/>
  <c r="D358" i="2"/>
  <c r="G357" i="2"/>
  <c r="F357" i="2"/>
  <c r="L357" i="2" s="1"/>
  <c r="D365" i="6"/>
  <c r="E364" i="6"/>
  <c r="F364" i="6"/>
  <c r="G364" i="6" l="1"/>
  <c r="D359" i="2"/>
  <c r="G358" i="2"/>
  <c r="F358" i="2"/>
  <c r="L358" i="2" s="1"/>
  <c r="D366" i="6"/>
  <c r="E365" i="6"/>
  <c r="F365" i="6"/>
  <c r="G365" i="6" l="1"/>
  <c r="D360" i="2"/>
  <c r="G359" i="2"/>
  <c r="F359" i="2"/>
  <c r="L359" i="2" s="1"/>
  <c r="D367" i="6"/>
  <c r="E366" i="6"/>
  <c r="F366" i="6"/>
  <c r="G366" i="6" l="1"/>
  <c r="D361" i="2"/>
  <c r="G360" i="2"/>
  <c r="F360" i="2"/>
  <c r="L360" i="2" s="1"/>
  <c r="D368" i="6"/>
  <c r="E367" i="6"/>
  <c r="F367" i="6"/>
  <c r="G367" i="6" l="1"/>
  <c r="D362" i="2"/>
  <c r="G361" i="2"/>
  <c r="F361" i="2"/>
  <c r="L361" i="2" s="1"/>
  <c r="D369" i="6"/>
  <c r="E368" i="6"/>
  <c r="F368" i="6"/>
  <c r="G368" i="6" l="1"/>
  <c r="D363" i="2"/>
  <c r="G362" i="2"/>
  <c r="F362" i="2"/>
  <c r="L362" i="2" s="1"/>
  <c r="D370" i="6"/>
  <c r="E369" i="6"/>
  <c r="F369" i="6"/>
  <c r="G369" i="6" l="1"/>
  <c r="D364" i="2"/>
  <c r="G363" i="2"/>
  <c r="F363" i="2"/>
  <c r="L363" i="2" s="1"/>
  <c r="D371" i="6"/>
  <c r="E370" i="6"/>
  <c r="F370" i="6"/>
  <c r="G370" i="6" l="1"/>
  <c r="D365" i="2"/>
  <c r="G364" i="2"/>
  <c r="F364" i="2"/>
  <c r="L364" i="2" s="1"/>
  <c r="D372" i="6"/>
  <c r="E371" i="6"/>
  <c r="F371" i="6"/>
  <c r="G371" i="6" l="1"/>
  <c r="D366" i="2"/>
  <c r="G365" i="2"/>
  <c r="F365" i="2"/>
  <c r="L365" i="2" s="1"/>
  <c r="D373" i="6"/>
  <c r="E372" i="6"/>
  <c r="F372" i="6"/>
  <c r="G372" i="6" l="1"/>
  <c r="D367" i="2"/>
  <c r="G366" i="2"/>
  <c r="F366" i="2"/>
  <c r="L366" i="2" s="1"/>
  <c r="D374" i="6"/>
  <c r="E373" i="6"/>
  <c r="F373" i="6"/>
  <c r="G373" i="6" l="1"/>
  <c r="D368" i="2"/>
  <c r="G367" i="2"/>
  <c r="F367" i="2"/>
  <c r="L367" i="2" s="1"/>
  <c r="D375" i="6"/>
  <c r="E374" i="6"/>
  <c r="F374" i="6"/>
  <c r="G374" i="6" l="1"/>
  <c r="D369" i="2"/>
  <c r="G368" i="2"/>
  <c r="F368" i="2"/>
  <c r="L368" i="2" s="1"/>
  <c r="D376" i="6"/>
  <c r="E375" i="6"/>
  <c r="F375" i="6"/>
  <c r="G375" i="6" l="1"/>
  <c r="D370" i="2"/>
  <c r="G369" i="2"/>
  <c r="F369" i="2"/>
  <c r="L369" i="2" s="1"/>
  <c r="D377" i="6"/>
  <c r="E376" i="6"/>
  <c r="F376" i="6"/>
  <c r="G376" i="6" l="1"/>
  <c r="D371" i="2"/>
  <c r="G370" i="2"/>
  <c r="F370" i="2"/>
  <c r="L370" i="2" s="1"/>
  <c r="D378" i="6"/>
  <c r="E377" i="6"/>
  <c r="F377" i="6"/>
  <c r="G377" i="6" l="1"/>
  <c r="D372" i="2"/>
  <c r="G371" i="2"/>
  <c r="F371" i="2"/>
  <c r="L371" i="2" s="1"/>
  <c r="D379" i="6"/>
  <c r="E378" i="6"/>
  <c r="F378" i="6"/>
  <c r="G378" i="6" l="1"/>
  <c r="D373" i="2"/>
  <c r="G372" i="2"/>
  <c r="F372" i="2"/>
  <c r="L372" i="2" s="1"/>
  <c r="D380" i="6"/>
  <c r="E379" i="6"/>
  <c r="F379" i="6"/>
  <c r="G379" i="6" l="1"/>
  <c r="D374" i="2"/>
  <c r="G373" i="2"/>
  <c r="F373" i="2"/>
  <c r="L373" i="2" s="1"/>
  <c r="D381" i="6"/>
  <c r="E380" i="6"/>
  <c r="F380" i="6"/>
  <c r="G380" i="6" l="1"/>
  <c r="D375" i="2"/>
  <c r="G374" i="2"/>
  <c r="F374" i="2"/>
  <c r="L374" i="2" s="1"/>
  <c r="D382" i="6"/>
  <c r="E381" i="6"/>
  <c r="F381" i="6"/>
  <c r="G381" i="6" l="1"/>
  <c r="D376" i="2"/>
  <c r="G375" i="2"/>
  <c r="F375" i="2"/>
  <c r="L375" i="2" s="1"/>
  <c r="D383" i="6"/>
  <c r="E382" i="6"/>
  <c r="F382" i="6"/>
  <c r="G382" i="6" l="1"/>
  <c r="D377" i="2"/>
  <c r="G376" i="2"/>
  <c r="F376" i="2"/>
  <c r="L376" i="2" s="1"/>
  <c r="D384" i="6"/>
  <c r="E383" i="6"/>
  <c r="F383" i="6"/>
  <c r="G383" i="6" l="1"/>
  <c r="D378" i="2"/>
  <c r="G377" i="2"/>
  <c r="F377" i="2"/>
  <c r="L377" i="2" s="1"/>
  <c r="D385" i="6"/>
  <c r="E384" i="6"/>
  <c r="F384" i="6"/>
  <c r="G384" i="6" l="1"/>
  <c r="D379" i="2"/>
  <c r="G378" i="2"/>
  <c r="F378" i="2"/>
  <c r="L378" i="2" s="1"/>
  <c r="D386" i="6"/>
  <c r="E385" i="6"/>
  <c r="F385" i="6"/>
  <c r="G385" i="6" l="1"/>
  <c r="D380" i="2"/>
  <c r="G379" i="2"/>
  <c r="F379" i="2"/>
  <c r="L379" i="2" s="1"/>
  <c r="D387" i="6"/>
  <c r="E386" i="6"/>
  <c r="F386" i="6"/>
  <c r="G386" i="6" l="1"/>
  <c r="D381" i="2"/>
  <c r="G380" i="2"/>
  <c r="F380" i="2"/>
  <c r="L380" i="2" s="1"/>
  <c r="D388" i="6"/>
  <c r="E387" i="6"/>
  <c r="F387" i="6"/>
  <c r="G387" i="6" l="1"/>
  <c r="D382" i="2"/>
  <c r="G381" i="2"/>
  <c r="F381" i="2"/>
  <c r="L381" i="2" s="1"/>
  <c r="D389" i="6"/>
  <c r="E388" i="6"/>
  <c r="F388" i="6"/>
  <c r="G388" i="6" l="1"/>
  <c r="D383" i="2"/>
  <c r="G382" i="2"/>
  <c r="F382" i="2"/>
  <c r="L382" i="2" s="1"/>
  <c r="D390" i="6"/>
  <c r="E389" i="6"/>
  <c r="F389" i="6"/>
  <c r="G389" i="6" l="1"/>
  <c r="D384" i="2"/>
  <c r="G383" i="2"/>
  <c r="F383" i="2"/>
  <c r="L383" i="2" s="1"/>
  <c r="D391" i="6"/>
  <c r="E390" i="6"/>
  <c r="F390" i="6"/>
  <c r="G390" i="6" l="1"/>
  <c r="D385" i="2"/>
  <c r="G384" i="2"/>
  <c r="F384" i="2"/>
  <c r="L384" i="2" s="1"/>
  <c r="D392" i="6"/>
  <c r="E391" i="6"/>
  <c r="F391" i="6"/>
  <c r="G391" i="6" l="1"/>
  <c r="D386" i="2"/>
  <c r="G385" i="2"/>
  <c r="F385" i="2"/>
  <c r="L385" i="2" s="1"/>
  <c r="D393" i="6"/>
  <c r="E392" i="6"/>
  <c r="F392" i="6"/>
  <c r="G392" i="6" l="1"/>
  <c r="D387" i="2"/>
  <c r="G386" i="2"/>
  <c r="F386" i="2"/>
  <c r="L386" i="2" s="1"/>
  <c r="D394" i="6"/>
  <c r="E393" i="6"/>
  <c r="F393" i="6"/>
  <c r="G393" i="6" l="1"/>
  <c r="D388" i="2"/>
  <c r="G387" i="2"/>
  <c r="F387" i="2"/>
  <c r="L387" i="2" s="1"/>
  <c r="D395" i="6"/>
  <c r="E394" i="6"/>
  <c r="F394" i="6"/>
  <c r="G394" i="6" l="1"/>
  <c r="D389" i="2"/>
  <c r="G388" i="2"/>
  <c r="F388" i="2"/>
  <c r="L388" i="2" s="1"/>
  <c r="D396" i="6"/>
  <c r="E395" i="6"/>
  <c r="F395" i="6"/>
  <c r="G395" i="6" l="1"/>
  <c r="D390" i="2"/>
  <c r="G389" i="2"/>
  <c r="F389" i="2"/>
  <c r="L389" i="2" s="1"/>
  <c r="D397" i="6"/>
  <c r="E396" i="6"/>
  <c r="F396" i="6"/>
  <c r="G396" i="6" l="1"/>
  <c r="D391" i="2"/>
  <c r="G390" i="2"/>
  <c r="F390" i="2"/>
  <c r="L390" i="2" s="1"/>
  <c r="D398" i="6"/>
  <c r="E397" i="6"/>
  <c r="F397" i="6"/>
  <c r="G397" i="6" l="1"/>
  <c r="D392" i="2"/>
  <c r="G391" i="2"/>
  <c r="F391" i="2"/>
  <c r="L391" i="2" s="1"/>
  <c r="D399" i="6"/>
  <c r="E398" i="6"/>
  <c r="F398" i="6"/>
  <c r="G398" i="6" l="1"/>
  <c r="D393" i="2"/>
  <c r="G392" i="2"/>
  <c r="F392" i="2"/>
  <c r="L392" i="2" s="1"/>
  <c r="D400" i="6"/>
  <c r="E399" i="6"/>
  <c r="F399" i="6"/>
  <c r="G399" i="6" l="1"/>
  <c r="D394" i="2"/>
  <c r="G393" i="2"/>
  <c r="F393" i="2"/>
  <c r="L393" i="2" s="1"/>
  <c r="D401" i="6"/>
  <c r="E400" i="6"/>
  <c r="F400" i="6"/>
  <c r="G400" i="6" l="1"/>
  <c r="D395" i="2"/>
  <c r="G394" i="2"/>
  <c r="F394" i="2"/>
  <c r="L394" i="2" s="1"/>
  <c r="D402" i="6"/>
  <c r="E401" i="6"/>
  <c r="F401" i="6"/>
  <c r="G401" i="6" l="1"/>
  <c r="D396" i="2"/>
  <c r="G395" i="2"/>
  <c r="F395" i="2"/>
  <c r="L395" i="2" s="1"/>
  <c r="D403" i="6"/>
  <c r="E402" i="6"/>
  <c r="F402" i="6"/>
  <c r="G402" i="6" l="1"/>
  <c r="D397" i="2"/>
  <c r="G396" i="2"/>
  <c r="F396" i="2"/>
  <c r="L396" i="2" s="1"/>
  <c r="D404" i="6"/>
  <c r="E403" i="6"/>
  <c r="F403" i="6"/>
  <c r="G403" i="6" l="1"/>
  <c r="D398" i="2"/>
  <c r="G397" i="2"/>
  <c r="F397" i="2"/>
  <c r="L397" i="2" s="1"/>
  <c r="D405" i="6"/>
  <c r="E404" i="6"/>
  <c r="F404" i="6"/>
  <c r="G404" i="6" l="1"/>
  <c r="D399" i="2"/>
  <c r="G398" i="2"/>
  <c r="F398" i="2"/>
  <c r="L398" i="2" s="1"/>
  <c r="D406" i="6"/>
  <c r="E405" i="6"/>
  <c r="F405" i="6"/>
  <c r="G405" i="6" l="1"/>
  <c r="D400" i="2"/>
  <c r="G399" i="2"/>
  <c r="F399" i="2"/>
  <c r="L399" i="2" s="1"/>
  <c r="D407" i="6"/>
  <c r="E406" i="6"/>
  <c r="F406" i="6"/>
  <c r="G406" i="6" l="1"/>
  <c r="D401" i="2"/>
  <c r="G400" i="2"/>
  <c r="F400" i="2"/>
  <c r="L400" i="2" s="1"/>
  <c r="D408" i="6"/>
  <c r="E407" i="6"/>
  <c r="F407" i="6"/>
  <c r="G407" i="6" l="1"/>
  <c r="D402" i="2"/>
  <c r="G401" i="2"/>
  <c r="F401" i="2"/>
  <c r="L401" i="2" s="1"/>
  <c r="D409" i="6"/>
  <c r="E408" i="6"/>
  <c r="F408" i="6"/>
  <c r="G408" i="6" l="1"/>
  <c r="D403" i="2"/>
  <c r="G402" i="2"/>
  <c r="F402" i="2"/>
  <c r="L402" i="2" s="1"/>
  <c r="D410" i="6"/>
  <c r="E409" i="6"/>
  <c r="F409" i="6"/>
  <c r="G409" i="6" l="1"/>
  <c r="D404" i="2"/>
  <c r="G403" i="2"/>
  <c r="F403" i="2"/>
  <c r="L403" i="2" s="1"/>
  <c r="D411" i="6"/>
  <c r="E410" i="6"/>
  <c r="F410" i="6"/>
  <c r="G410" i="6" l="1"/>
  <c r="D405" i="2"/>
  <c r="G404" i="2"/>
  <c r="F404" i="2"/>
  <c r="L404" i="2" s="1"/>
  <c r="D412" i="6"/>
  <c r="E411" i="6"/>
  <c r="F411" i="6"/>
  <c r="G411" i="6" l="1"/>
  <c r="D406" i="2"/>
  <c r="G405" i="2"/>
  <c r="F405" i="2"/>
  <c r="L405" i="2" s="1"/>
  <c r="D413" i="6"/>
  <c r="E412" i="6"/>
  <c r="F412" i="6"/>
  <c r="G412" i="6" l="1"/>
  <c r="D407" i="2"/>
  <c r="G406" i="2"/>
  <c r="F406" i="2"/>
  <c r="L406" i="2" s="1"/>
  <c r="D414" i="6"/>
  <c r="E413" i="6"/>
  <c r="F413" i="6"/>
  <c r="G413" i="6" l="1"/>
  <c r="D408" i="2"/>
  <c r="G407" i="2"/>
  <c r="F407" i="2"/>
  <c r="L407" i="2" s="1"/>
  <c r="D415" i="6"/>
  <c r="E414" i="6"/>
  <c r="F414" i="6"/>
  <c r="G414" i="6" l="1"/>
  <c r="D409" i="2"/>
  <c r="G408" i="2"/>
  <c r="F408" i="2"/>
  <c r="L408" i="2" s="1"/>
  <c r="D416" i="6"/>
  <c r="E415" i="6"/>
  <c r="F415" i="6"/>
  <c r="G415" i="6" l="1"/>
  <c r="D410" i="2"/>
  <c r="G409" i="2"/>
  <c r="F409" i="2"/>
  <c r="L409" i="2" s="1"/>
  <c r="D417" i="6"/>
  <c r="E416" i="6"/>
  <c r="F416" i="6"/>
  <c r="G416" i="6" l="1"/>
  <c r="D411" i="2"/>
  <c r="G410" i="2"/>
  <c r="F410" i="2"/>
  <c r="L410" i="2" s="1"/>
  <c r="D418" i="6"/>
  <c r="E417" i="6"/>
  <c r="F417" i="6"/>
  <c r="G417" i="6" l="1"/>
  <c r="D412" i="2"/>
  <c r="G411" i="2"/>
  <c r="F411" i="2"/>
  <c r="L411" i="2" s="1"/>
  <c r="D419" i="6"/>
  <c r="E418" i="6"/>
  <c r="F418" i="6"/>
  <c r="G418" i="6" l="1"/>
  <c r="D413" i="2"/>
  <c r="G412" i="2"/>
  <c r="F412" i="2"/>
  <c r="L412" i="2" s="1"/>
  <c r="D420" i="6"/>
  <c r="E419" i="6"/>
  <c r="F419" i="6"/>
  <c r="G419" i="6" l="1"/>
  <c r="D414" i="2"/>
  <c r="G413" i="2"/>
  <c r="F413" i="2"/>
  <c r="L413" i="2" s="1"/>
  <c r="D421" i="6"/>
  <c r="E420" i="6"/>
  <c r="F420" i="6"/>
  <c r="G420" i="6" l="1"/>
  <c r="D415" i="2"/>
  <c r="G414" i="2"/>
  <c r="F414" i="2"/>
  <c r="L414" i="2" s="1"/>
  <c r="D422" i="6"/>
  <c r="E421" i="6"/>
  <c r="F421" i="6"/>
  <c r="G421" i="6" l="1"/>
  <c r="D416" i="2"/>
  <c r="G415" i="2"/>
  <c r="F415" i="2"/>
  <c r="L415" i="2" s="1"/>
  <c r="D423" i="6"/>
  <c r="E422" i="6"/>
  <c r="F422" i="6"/>
  <c r="G422" i="6" l="1"/>
  <c r="D417" i="2"/>
  <c r="G416" i="2"/>
  <c r="F416" i="2"/>
  <c r="L416" i="2" s="1"/>
  <c r="D424" i="6"/>
  <c r="E423" i="6"/>
  <c r="F423" i="6"/>
  <c r="G423" i="6" l="1"/>
  <c r="D418" i="2"/>
  <c r="G417" i="2"/>
  <c r="F417" i="2"/>
  <c r="L417" i="2" s="1"/>
  <c r="D425" i="6"/>
  <c r="E424" i="6"/>
  <c r="F424" i="6"/>
  <c r="G424" i="6" l="1"/>
  <c r="D419" i="2"/>
  <c r="G418" i="2"/>
  <c r="F418" i="2"/>
  <c r="L418" i="2" s="1"/>
  <c r="D426" i="6"/>
  <c r="E425" i="6"/>
  <c r="F425" i="6"/>
  <c r="G425" i="6" l="1"/>
  <c r="D420" i="2"/>
  <c r="G419" i="2"/>
  <c r="F419" i="2"/>
  <c r="L419" i="2" s="1"/>
  <c r="D427" i="6"/>
  <c r="E426" i="6"/>
  <c r="F426" i="6"/>
  <c r="G426" i="6" l="1"/>
  <c r="D421" i="2"/>
  <c r="G420" i="2"/>
  <c r="F420" i="2"/>
  <c r="L420" i="2" s="1"/>
  <c r="D428" i="6"/>
  <c r="E427" i="6"/>
  <c r="F427" i="6"/>
  <c r="G427" i="6" l="1"/>
  <c r="D422" i="2"/>
  <c r="G421" i="2"/>
  <c r="F421" i="2"/>
  <c r="L421" i="2" s="1"/>
  <c r="D429" i="6"/>
  <c r="E428" i="6"/>
  <c r="F428" i="6"/>
  <c r="G428" i="6" l="1"/>
  <c r="D423" i="2"/>
  <c r="G422" i="2"/>
  <c r="F422" i="2"/>
  <c r="L422" i="2" s="1"/>
  <c r="D430" i="6"/>
  <c r="E429" i="6"/>
  <c r="F429" i="6"/>
  <c r="G429" i="6" l="1"/>
  <c r="D424" i="2"/>
  <c r="G423" i="2"/>
  <c r="F423" i="2"/>
  <c r="L423" i="2" s="1"/>
  <c r="D431" i="6"/>
  <c r="E430" i="6"/>
  <c r="F430" i="6"/>
  <c r="G430" i="6" l="1"/>
  <c r="D425" i="2"/>
  <c r="G424" i="2"/>
  <c r="F424" i="2"/>
  <c r="L424" i="2" s="1"/>
  <c r="D432" i="6"/>
  <c r="E431" i="6"/>
  <c r="F431" i="6"/>
  <c r="G431" i="6" l="1"/>
  <c r="D426" i="2"/>
  <c r="G425" i="2"/>
  <c r="F425" i="2"/>
  <c r="L425" i="2" s="1"/>
  <c r="D433" i="6"/>
  <c r="E432" i="6"/>
  <c r="F432" i="6"/>
  <c r="G432" i="6" l="1"/>
  <c r="D427" i="2"/>
  <c r="G426" i="2"/>
  <c r="F426" i="2"/>
  <c r="L426" i="2" s="1"/>
  <c r="D434" i="6"/>
  <c r="E433" i="6"/>
  <c r="F433" i="6"/>
  <c r="G433" i="6" l="1"/>
  <c r="D428" i="2"/>
  <c r="G427" i="2"/>
  <c r="F427" i="2"/>
  <c r="L427" i="2" s="1"/>
  <c r="D435" i="6"/>
  <c r="E434" i="6"/>
  <c r="F434" i="6"/>
  <c r="G434" i="6" l="1"/>
  <c r="D429" i="2"/>
  <c r="G428" i="2"/>
  <c r="F428" i="2"/>
  <c r="L428" i="2" s="1"/>
  <c r="D436" i="6"/>
  <c r="E435" i="6"/>
  <c r="F435" i="6"/>
  <c r="G435" i="6" l="1"/>
  <c r="D430" i="2"/>
  <c r="G429" i="2"/>
  <c r="F429" i="2"/>
  <c r="L429" i="2" s="1"/>
  <c r="D437" i="6"/>
  <c r="E436" i="6"/>
  <c r="F436" i="6"/>
  <c r="G436" i="6" l="1"/>
  <c r="D431" i="2"/>
  <c r="G430" i="2"/>
  <c r="F430" i="2"/>
  <c r="L430" i="2" s="1"/>
  <c r="D438" i="6"/>
  <c r="E437" i="6"/>
  <c r="F437" i="6"/>
  <c r="G437" i="6" l="1"/>
  <c r="D432" i="2"/>
  <c r="G431" i="2"/>
  <c r="F431" i="2"/>
  <c r="L431" i="2" s="1"/>
  <c r="D439" i="6"/>
  <c r="E438" i="6"/>
  <c r="F438" i="6"/>
  <c r="G438" i="6" l="1"/>
  <c r="D433" i="2"/>
  <c r="G432" i="2"/>
  <c r="F432" i="2"/>
  <c r="L432" i="2" s="1"/>
  <c r="D440" i="6"/>
  <c r="E439" i="6"/>
  <c r="F439" i="6"/>
  <c r="G439" i="6" l="1"/>
  <c r="D434" i="2"/>
  <c r="G433" i="2"/>
  <c r="F433" i="2"/>
  <c r="L433" i="2" s="1"/>
  <c r="D441" i="6"/>
  <c r="E440" i="6"/>
  <c r="F440" i="6"/>
  <c r="G440" i="6" l="1"/>
  <c r="D435" i="2"/>
  <c r="G434" i="2"/>
  <c r="F434" i="2"/>
  <c r="L434" i="2" s="1"/>
  <c r="D442" i="6"/>
  <c r="E441" i="6"/>
  <c r="F441" i="6"/>
  <c r="G441" i="6" l="1"/>
  <c r="D436" i="2"/>
  <c r="G435" i="2"/>
  <c r="F435" i="2"/>
  <c r="L435" i="2" s="1"/>
  <c r="D443" i="6"/>
  <c r="E442" i="6"/>
  <c r="F442" i="6"/>
  <c r="G442" i="6" l="1"/>
  <c r="D437" i="2"/>
  <c r="G436" i="2"/>
  <c r="F436" i="2"/>
  <c r="L436" i="2" s="1"/>
  <c r="D444" i="6"/>
  <c r="E443" i="6"/>
  <c r="F443" i="6"/>
  <c r="G443" i="6" l="1"/>
  <c r="D438" i="2"/>
  <c r="G437" i="2"/>
  <c r="F437" i="2"/>
  <c r="L437" i="2" s="1"/>
  <c r="D445" i="6"/>
  <c r="E444" i="6"/>
  <c r="F444" i="6"/>
  <c r="G444" i="6" l="1"/>
  <c r="D439" i="2"/>
  <c r="G438" i="2"/>
  <c r="F438" i="2"/>
  <c r="L438" i="2" s="1"/>
  <c r="D446" i="6"/>
  <c r="E445" i="6"/>
  <c r="F445" i="6"/>
  <c r="G445" i="6" l="1"/>
  <c r="D440" i="2"/>
  <c r="G439" i="2"/>
  <c r="F439" i="2"/>
  <c r="L439" i="2" s="1"/>
  <c r="D447" i="6"/>
  <c r="E446" i="6"/>
  <c r="F446" i="6"/>
  <c r="G446" i="6" l="1"/>
  <c r="D441" i="2"/>
  <c r="G440" i="2"/>
  <c r="F440" i="2"/>
  <c r="L440" i="2" s="1"/>
  <c r="D448" i="6"/>
  <c r="E447" i="6"/>
  <c r="F447" i="6"/>
  <c r="G447" i="6" l="1"/>
  <c r="D442" i="2"/>
  <c r="G441" i="2"/>
  <c r="F441" i="2"/>
  <c r="L441" i="2" s="1"/>
  <c r="D449" i="6"/>
  <c r="E448" i="6"/>
  <c r="F448" i="6"/>
  <c r="G448" i="6" l="1"/>
  <c r="D443" i="2"/>
  <c r="G442" i="2"/>
  <c r="F442" i="2"/>
  <c r="L442" i="2" s="1"/>
  <c r="D450" i="6"/>
  <c r="E449" i="6"/>
  <c r="F449" i="6"/>
  <c r="G449" i="6" l="1"/>
  <c r="D444" i="2"/>
  <c r="G443" i="2"/>
  <c r="F443" i="2"/>
  <c r="L443" i="2" s="1"/>
  <c r="D451" i="6"/>
  <c r="E450" i="6"/>
  <c r="F450" i="6"/>
  <c r="G450" i="6" l="1"/>
  <c r="D445" i="2"/>
  <c r="G444" i="2"/>
  <c r="F444" i="2"/>
  <c r="L444" i="2" s="1"/>
  <c r="D452" i="6"/>
  <c r="E451" i="6"/>
  <c r="F451" i="6"/>
  <c r="G451" i="6" l="1"/>
  <c r="D446" i="2"/>
  <c r="G445" i="2"/>
  <c r="F445" i="2"/>
  <c r="L445" i="2" s="1"/>
  <c r="D453" i="6"/>
  <c r="E452" i="6"/>
  <c r="F452" i="6"/>
  <c r="G452" i="6" l="1"/>
  <c r="D447" i="2"/>
  <c r="G446" i="2"/>
  <c r="F446" i="2"/>
  <c r="L446" i="2" s="1"/>
  <c r="D454" i="6"/>
  <c r="E453" i="6"/>
  <c r="F453" i="6"/>
  <c r="G453" i="6" l="1"/>
  <c r="D448" i="2"/>
  <c r="G447" i="2"/>
  <c r="F447" i="2"/>
  <c r="L447" i="2" s="1"/>
  <c r="D455" i="6"/>
  <c r="E454" i="6"/>
  <c r="F454" i="6"/>
  <c r="G454" i="6" l="1"/>
  <c r="D449" i="2"/>
  <c r="G448" i="2"/>
  <c r="F448" i="2"/>
  <c r="L448" i="2" s="1"/>
  <c r="D456" i="6"/>
  <c r="E455" i="6"/>
  <c r="F455" i="6"/>
  <c r="G455" i="6" l="1"/>
  <c r="D450" i="2"/>
  <c r="G449" i="2"/>
  <c r="F449" i="2"/>
  <c r="L449" i="2" s="1"/>
  <c r="D457" i="6"/>
  <c r="E456" i="6"/>
  <c r="F456" i="6"/>
  <c r="G456" i="6" l="1"/>
  <c r="D451" i="2"/>
  <c r="G450" i="2"/>
  <c r="F450" i="2"/>
  <c r="L450" i="2" s="1"/>
  <c r="D458" i="6"/>
  <c r="E457" i="6"/>
  <c r="F457" i="6"/>
  <c r="G457" i="6" l="1"/>
  <c r="D452" i="2"/>
  <c r="G451" i="2"/>
  <c r="F451" i="2"/>
  <c r="L451" i="2" s="1"/>
  <c r="D459" i="6"/>
  <c r="E458" i="6"/>
  <c r="F458" i="6"/>
  <c r="G458" i="6" l="1"/>
  <c r="D453" i="2"/>
  <c r="G452" i="2"/>
  <c r="F452" i="2"/>
  <c r="L452" i="2" s="1"/>
  <c r="D460" i="6"/>
  <c r="E459" i="6"/>
  <c r="F459" i="6"/>
  <c r="G459" i="6" l="1"/>
  <c r="D454" i="2"/>
  <c r="G453" i="2"/>
  <c r="F453" i="2"/>
  <c r="L453" i="2" s="1"/>
  <c r="D461" i="6"/>
  <c r="E460" i="6"/>
  <c r="F460" i="6"/>
  <c r="G460" i="6" l="1"/>
  <c r="D455" i="2"/>
  <c r="G454" i="2"/>
  <c r="F454" i="2"/>
  <c r="L454" i="2" s="1"/>
  <c r="D462" i="6"/>
  <c r="E461" i="6"/>
  <c r="F461" i="6"/>
  <c r="G461" i="6" l="1"/>
  <c r="D456" i="2"/>
  <c r="G455" i="2"/>
  <c r="F455" i="2"/>
  <c r="L455" i="2" s="1"/>
  <c r="D463" i="6"/>
  <c r="E462" i="6"/>
  <c r="F462" i="6"/>
  <c r="G462" i="6" l="1"/>
  <c r="D457" i="2"/>
  <c r="G456" i="2"/>
  <c r="F456" i="2"/>
  <c r="L456" i="2" s="1"/>
  <c r="D464" i="6"/>
  <c r="E463" i="6"/>
  <c r="F463" i="6"/>
  <c r="G463" i="6" l="1"/>
  <c r="D458" i="2"/>
  <c r="G457" i="2"/>
  <c r="F457" i="2"/>
  <c r="L457" i="2" s="1"/>
  <c r="D465" i="6"/>
  <c r="E464" i="6"/>
  <c r="F464" i="6"/>
  <c r="G464" i="6" l="1"/>
  <c r="D459" i="2"/>
  <c r="G458" i="2"/>
  <c r="F458" i="2"/>
  <c r="L458" i="2" s="1"/>
  <c r="D466" i="6"/>
  <c r="E465" i="6"/>
  <c r="F465" i="6"/>
  <c r="G465" i="6" l="1"/>
  <c r="D460" i="2"/>
  <c r="G459" i="2"/>
  <c r="F459" i="2"/>
  <c r="L459" i="2" s="1"/>
  <c r="D467" i="6"/>
  <c r="E466" i="6"/>
  <c r="F466" i="6"/>
  <c r="G466" i="6" l="1"/>
  <c r="D461" i="2"/>
  <c r="G460" i="2"/>
  <c r="F460" i="2"/>
  <c r="L460" i="2" s="1"/>
  <c r="D468" i="6"/>
  <c r="E467" i="6"/>
  <c r="F467" i="6"/>
  <c r="G467" i="6" l="1"/>
  <c r="D462" i="2"/>
  <c r="G461" i="2"/>
  <c r="F461" i="2"/>
  <c r="L461" i="2" s="1"/>
  <c r="D469" i="6"/>
  <c r="E468" i="6"/>
  <c r="F468" i="6"/>
  <c r="G468" i="6" l="1"/>
  <c r="D463" i="2"/>
  <c r="G462" i="2"/>
  <c r="F462" i="2"/>
  <c r="L462" i="2" s="1"/>
  <c r="D470" i="6"/>
  <c r="E469" i="6"/>
  <c r="F469" i="6"/>
  <c r="G469" i="6" l="1"/>
  <c r="D464" i="2"/>
  <c r="G463" i="2"/>
  <c r="F463" i="2"/>
  <c r="L463" i="2" s="1"/>
  <c r="D471" i="6"/>
  <c r="E470" i="6"/>
  <c r="F470" i="6"/>
  <c r="G470" i="6" l="1"/>
  <c r="D465" i="2"/>
  <c r="G464" i="2"/>
  <c r="F464" i="2"/>
  <c r="L464" i="2" s="1"/>
  <c r="D472" i="6"/>
  <c r="E471" i="6"/>
  <c r="F471" i="6"/>
  <c r="G471" i="6" l="1"/>
  <c r="D466" i="2"/>
  <c r="G465" i="2"/>
  <c r="F465" i="2"/>
  <c r="L465" i="2" s="1"/>
  <c r="D473" i="6"/>
  <c r="E472" i="6"/>
  <c r="F472" i="6"/>
  <c r="G472" i="6" l="1"/>
  <c r="D467" i="2"/>
  <c r="G466" i="2"/>
  <c r="F466" i="2"/>
  <c r="L466" i="2" s="1"/>
  <c r="D474" i="6"/>
  <c r="E473" i="6"/>
  <c r="F473" i="6"/>
  <c r="G473" i="6" l="1"/>
  <c r="D468" i="2"/>
  <c r="G467" i="2"/>
  <c r="F467" i="2"/>
  <c r="L467" i="2" s="1"/>
  <c r="D475" i="6"/>
  <c r="E474" i="6"/>
  <c r="F474" i="6"/>
  <c r="G474" i="6" l="1"/>
  <c r="D469" i="2"/>
  <c r="G468" i="2"/>
  <c r="F468" i="2"/>
  <c r="L468" i="2" s="1"/>
  <c r="D476" i="6"/>
  <c r="E475" i="6"/>
  <c r="F475" i="6"/>
  <c r="G475" i="6" l="1"/>
  <c r="D470" i="2"/>
  <c r="G469" i="2"/>
  <c r="F469" i="2"/>
  <c r="L469" i="2" s="1"/>
  <c r="D477" i="6"/>
  <c r="E476" i="6"/>
  <c r="F476" i="6"/>
  <c r="G476" i="6" l="1"/>
  <c r="D471" i="2"/>
  <c r="G470" i="2"/>
  <c r="F470" i="2"/>
  <c r="L470" i="2" s="1"/>
  <c r="D478" i="6"/>
  <c r="E477" i="6"/>
  <c r="F477" i="6"/>
  <c r="G477" i="6" l="1"/>
  <c r="D472" i="2"/>
  <c r="G471" i="2"/>
  <c r="F471" i="2"/>
  <c r="L471" i="2" s="1"/>
  <c r="D479" i="6"/>
  <c r="E478" i="6"/>
  <c r="F478" i="6"/>
  <c r="G478" i="6" l="1"/>
  <c r="D473" i="2"/>
  <c r="G472" i="2"/>
  <c r="F472" i="2"/>
  <c r="L472" i="2" s="1"/>
  <c r="D480" i="6"/>
  <c r="E479" i="6"/>
  <c r="F479" i="6"/>
  <c r="G479" i="6" l="1"/>
  <c r="D474" i="2"/>
  <c r="G473" i="2"/>
  <c r="F473" i="2"/>
  <c r="L473" i="2" s="1"/>
  <c r="D481" i="6"/>
  <c r="E480" i="6"/>
  <c r="F480" i="6"/>
  <c r="G480" i="6" l="1"/>
  <c r="D475" i="2"/>
  <c r="G474" i="2"/>
  <c r="F474" i="2"/>
  <c r="L474" i="2" s="1"/>
  <c r="D482" i="6"/>
  <c r="E481" i="6"/>
  <c r="F481" i="6"/>
  <c r="G481" i="6" l="1"/>
  <c r="D476" i="2"/>
  <c r="G475" i="2"/>
  <c r="F475" i="2"/>
  <c r="L475" i="2" s="1"/>
  <c r="D483" i="6"/>
  <c r="E482" i="6"/>
  <c r="F482" i="6"/>
  <c r="G482" i="6" l="1"/>
  <c r="D477" i="2"/>
  <c r="G476" i="2"/>
  <c r="F476" i="2"/>
  <c r="L476" i="2" s="1"/>
  <c r="D484" i="6"/>
  <c r="E483" i="6"/>
  <c r="F483" i="6"/>
  <c r="G483" i="6" l="1"/>
  <c r="D478" i="2"/>
  <c r="G477" i="2"/>
  <c r="F477" i="2"/>
  <c r="L477" i="2" s="1"/>
  <c r="D485" i="6"/>
  <c r="E484" i="6"/>
  <c r="F484" i="6"/>
  <c r="G484" i="6" l="1"/>
  <c r="D479" i="2"/>
  <c r="G478" i="2"/>
  <c r="F478" i="2"/>
  <c r="L478" i="2" s="1"/>
  <c r="D486" i="6"/>
  <c r="E485" i="6"/>
  <c r="F485" i="6"/>
  <c r="G485" i="6" l="1"/>
  <c r="D480" i="2"/>
  <c r="G479" i="2"/>
  <c r="F479" i="2"/>
  <c r="L479" i="2" s="1"/>
  <c r="D487" i="6"/>
  <c r="E486" i="6"/>
  <c r="F486" i="6"/>
  <c r="G486" i="6" l="1"/>
  <c r="D481" i="2"/>
  <c r="G480" i="2"/>
  <c r="F480" i="2"/>
  <c r="L480" i="2" s="1"/>
  <c r="D488" i="6"/>
  <c r="E487" i="6"/>
  <c r="F487" i="6"/>
  <c r="G487" i="6" l="1"/>
  <c r="D482" i="2"/>
  <c r="G481" i="2"/>
  <c r="F481" i="2"/>
  <c r="L481" i="2" s="1"/>
  <c r="D489" i="6"/>
  <c r="E488" i="6"/>
  <c r="F488" i="6"/>
  <c r="G488" i="6" l="1"/>
  <c r="D483" i="2"/>
  <c r="G482" i="2"/>
  <c r="F482" i="2"/>
  <c r="L482" i="2" s="1"/>
  <c r="D490" i="6"/>
  <c r="E489" i="6"/>
  <c r="F489" i="6"/>
  <c r="G489" i="6" l="1"/>
  <c r="D484" i="2"/>
  <c r="G483" i="2"/>
  <c r="F483" i="2"/>
  <c r="L483" i="2" s="1"/>
  <c r="D491" i="6"/>
  <c r="E490" i="6"/>
  <c r="F490" i="6"/>
  <c r="G490" i="6" l="1"/>
  <c r="D485" i="2"/>
  <c r="G484" i="2"/>
  <c r="F484" i="2"/>
  <c r="L484" i="2" s="1"/>
  <c r="D492" i="6"/>
  <c r="E491" i="6"/>
  <c r="F491" i="6"/>
  <c r="G491" i="6" l="1"/>
  <c r="D486" i="2"/>
  <c r="G485" i="2"/>
  <c r="F485" i="2"/>
  <c r="L485" i="2" s="1"/>
  <c r="D493" i="6"/>
  <c r="E492" i="6"/>
  <c r="F492" i="6"/>
  <c r="G492" i="6" l="1"/>
  <c r="D487" i="2"/>
  <c r="G486" i="2"/>
  <c r="F486" i="2"/>
  <c r="L486" i="2" s="1"/>
  <c r="D494" i="6"/>
  <c r="E493" i="6"/>
  <c r="F493" i="6"/>
  <c r="G493" i="6" l="1"/>
  <c r="D488" i="2"/>
  <c r="G487" i="2"/>
  <c r="F487" i="2"/>
  <c r="L487" i="2" s="1"/>
  <c r="D495" i="6"/>
  <c r="E494" i="6"/>
  <c r="F494" i="6"/>
  <c r="G494" i="6" l="1"/>
  <c r="D489" i="2"/>
  <c r="G488" i="2"/>
  <c r="F488" i="2"/>
  <c r="L488" i="2" s="1"/>
  <c r="D496" i="6"/>
  <c r="E495" i="6"/>
  <c r="F495" i="6"/>
  <c r="G495" i="6" l="1"/>
  <c r="D490" i="2"/>
  <c r="G489" i="2"/>
  <c r="F489" i="2"/>
  <c r="L489" i="2" s="1"/>
  <c r="D497" i="6"/>
  <c r="E496" i="6"/>
  <c r="F496" i="6"/>
  <c r="G496" i="6" l="1"/>
  <c r="D491" i="2"/>
  <c r="G490" i="2"/>
  <c r="F490" i="2"/>
  <c r="L490" i="2" s="1"/>
  <c r="D498" i="6"/>
  <c r="E497" i="6"/>
  <c r="F497" i="6"/>
  <c r="G497" i="6" l="1"/>
  <c r="D492" i="2"/>
  <c r="G491" i="2"/>
  <c r="F491" i="2"/>
  <c r="L491" i="2" s="1"/>
  <c r="D499" i="6"/>
  <c r="E498" i="6"/>
  <c r="F498" i="6"/>
  <c r="G498" i="6" l="1"/>
  <c r="D493" i="2"/>
  <c r="G492" i="2"/>
  <c r="F492" i="2"/>
  <c r="L492" i="2" s="1"/>
  <c r="D500" i="6"/>
  <c r="E499" i="6"/>
  <c r="F499" i="6"/>
  <c r="G499" i="6" l="1"/>
  <c r="D494" i="2"/>
  <c r="G493" i="2"/>
  <c r="F493" i="2"/>
  <c r="L493" i="2" s="1"/>
  <c r="D501" i="6"/>
  <c r="E500" i="6"/>
  <c r="F500" i="6"/>
  <c r="G500" i="6" l="1"/>
  <c r="D495" i="2"/>
  <c r="G494" i="2"/>
  <c r="F494" i="2"/>
  <c r="L494" i="2" s="1"/>
  <c r="D502" i="6"/>
  <c r="E501" i="6"/>
  <c r="F501" i="6"/>
  <c r="G501" i="6" l="1"/>
  <c r="D496" i="2"/>
  <c r="G495" i="2"/>
  <c r="F495" i="2"/>
  <c r="L495" i="2" s="1"/>
  <c r="D503" i="6"/>
  <c r="E502" i="6"/>
  <c r="F502" i="6"/>
  <c r="G502" i="6" l="1"/>
  <c r="D497" i="2"/>
  <c r="G496" i="2"/>
  <c r="F496" i="2"/>
  <c r="L496" i="2" s="1"/>
  <c r="D504" i="6"/>
  <c r="E503" i="6"/>
  <c r="F503" i="6"/>
  <c r="G503" i="6" l="1"/>
  <c r="D498" i="2"/>
  <c r="G497" i="2"/>
  <c r="F497" i="2"/>
  <c r="L497" i="2" s="1"/>
  <c r="D505" i="6"/>
  <c r="E504" i="6"/>
  <c r="F504" i="6"/>
  <c r="G504" i="6" l="1"/>
  <c r="D499" i="2"/>
  <c r="G498" i="2"/>
  <c r="F498" i="2"/>
  <c r="L498" i="2" s="1"/>
  <c r="D506" i="6"/>
  <c r="E505" i="6"/>
  <c r="F505" i="6"/>
  <c r="G505" i="6" l="1"/>
  <c r="D500" i="2"/>
  <c r="G499" i="2"/>
  <c r="F499" i="2"/>
  <c r="L499" i="2" s="1"/>
  <c r="D507" i="6"/>
  <c r="E506" i="6"/>
  <c r="F506" i="6"/>
  <c r="G506" i="6" l="1"/>
  <c r="D501" i="2"/>
  <c r="G500" i="2"/>
  <c r="F500" i="2"/>
  <c r="L500" i="2" s="1"/>
  <c r="D508" i="6"/>
  <c r="E507" i="6"/>
  <c r="F507" i="6"/>
  <c r="G507" i="6" l="1"/>
  <c r="D502" i="2"/>
  <c r="G501" i="2"/>
  <c r="F501" i="2"/>
  <c r="L501" i="2" s="1"/>
  <c r="D509" i="6"/>
  <c r="E508" i="6"/>
  <c r="F508" i="6"/>
  <c r="G508" i="6" l="1"/>
  <c r="D503" i="2"/>
  <c r="G502" i="2"/>
  <c r="F502" i="2"/>
  <c r="L502" i="2" s="1"/>
  <c r="D510" i="6"/>
  <c r="E509" i="6"/>
  <c r="F509" i="6"/>
  <c r="G509" i="6" l="1"/>
  <c r="D504" i="2"/>
  <c r="G503" i="2"/>
  <c r="F503" i="2"/>
  <c r="L503" i="2" s="1"/>
  <c r="D511" i="6"/>
  <c r="E510" i="6"/>
  <c r="F510" i="6"/>
  <c r="G510" i="6" l="1"/>
  <c r="D505" i="2"/>
  <c r="G504" i="2"/>
  <c r="F504" i="2"/>
  <c r="L504" i="2" s="1"/>
  <c r="D512" i="6"/>
  <c r="E511" i="6"/>
  <c r="F511" i="6"/>
  <c r="G511" i="6" l="1"/>
  <c r="D506" i="2"/>
  <c r="G505" i="2"/>
  <c r="F505" i="2"/>
  <c r="L505" i="2" s="1"/>
  <c r="D513" i="6"/>
  <c r="E512" i="6"/>
  <c r="F512" i="6"/>
  <c r="G512" i="6" l="1"/>
  <c r="D507" i="2"/>
  <c r="G506" i="2"/>
  <c r="F506" i="2"/>
  <c r="L506" i="2" s="1"/>
  <c r="D514" i="6"/>
  <c r="E513" i="6"/>
  <c r="F513" i="6"/>
  <c r="G513" i="6" l="1"/>
  <c r="D508" i="2"/>
  <c r="G507" i="2"/>
  <c r="F507" i="2"/>
  <c r="L507" i="2" s="1"/>
  <c r="D515" i="6"/>
  <c r="E514" i="6"/>
  <c r="F514" i="6"/>
  <c r="G514" i="6" l="1"/>
  <c r="D509" i="2"/>
  <c r="G508" i="2"/>
  <c r="F508" i="2"/>
  <c r="L508" i="2" s="1"/>
  <c r="D516" i="6"/>
  <c r="E515" i="6"/>
  <c r="F515" i="6"/>
  <c r="G515" i="6" l="1"/>
  <c r="D510" i="2"/>
  <c r="G509" i="2"/>
  <c r="F509" i="2"/>
  <c r="L509" i="2" s="1"/>
  <c r="D517" i="6"/>
  <c r="E516" i="6"/>
  <c r="F516" i="6"/>
  <c r="G516" i="6" l="1"/>
  <c r="D511" i="2"/>
  <c r="G510" i="2"/>
  <c r="F510" i="2"/>
  <c r="L510" i="2" s="1"/>
  <c r="D518" i="6"/>
  <c r="E517" i="6"/>
  <c r="F517" i="6"/>
  <c r="G517" i="6" l="1"/>
  <c r="D512" i="2"/>
  <c r="G511" i="2"/>
  <c r="F511" i="2"/>
  <c r="L511" i="2" s="1"/>
  <c r="D519" i="6"/>
  <c r="E518" i="6"/>
  <c r="F518" i="6"/>
  <c r="G518" i="6" l="1"/>
  <c r="D513" i="2"/>
  <c r="G512" i="2"/>
  <c r="F512" i="2"/>
  <c r="L512" i="2" s="1"/>
  <c r="D520" i="6"/>
  <c r="E519" i="6"/>
  <c r="F519" i="6"/>
  <c r="G519" i="6" l="1"/>
  <c r="D514" i="2"/>
  <c r="G513" i="2"/>
  <c r="F513" i="2"/>
  <c r="L513" i="2" s="1"/>
  <c r="D521" i="6"/>
  <c r="E520" i="6"/>
  <c r="F520" i="6"/>
  <c r="G520" i="6" l="1"/>
  <c r="D515" i="2"/>
  <c r="G514" i="2"/>
  <c r="F514" i="2"/>
  <c r="L514" i="2" s="1"/>
  <c r="D522" i="6"/>
  <c r="E521" i="6"/>
  <c r="F521" i="6"/>
  <c r="G521" i="6" l="1"/>
  <c r="D516" i="2"/>
  <c r="G515" i="2"/>
  <c r="F515" i="2"/>
  <c r="L515" i="2" s="1"/>
  <c r="D523" i="6"/>
  <c r="E522" i="6"/>
  <c r="F522" i="6"/>
  <c r="G522" i="6" l="1"/>
  <c r="D517" i="2"/>
  <c r="G516" i="2"/>
  <c r="F516" i="2"/>
  <c r="L516" i="2" s="1"/>
  <c r="D524" i="6"/>
  <c r="E523" i="6"/>
  <c r="F523" i="6"/>
  <c r="G523" i="6" l="1"/>
  <c r="D518" i="2"/>
  <c r="G517" i="2"/>
  <c r="F517" i="2"/>
  <c r="L517" i="2" s="1"/>
  <c r="D525" i="6"/>
  <c r="E524" i="6"/>
  <c r="F524" i="6"/>
  <c r="G524" i="6" l="1"/>
  <c r="D519" i="2"/>
  <c r="G518" i="2"/>
  <c r="F518" i="2"/>
  <c r="L518" i="2" s="1"/>
  <c r="D526" i="6"/>
  <c r="E525" i="6"/>
  <c r="F525" i="6"/>
  <c r="G525" i="6" l="1"/>
  <c r="D520" i="2"/>
  <c r="G519" i="2"/>
  <c r="F519" i="2"/>
  <c r="L519" i="2" s="1"/>
  <c r="D527" i="6"/>
  <c r="E526" i="6"/>
  <c r="F526" i="6"/>
  <c r="G526" i="6" l="1"/>
  <c r="D521" i="2"/>
  <c r="G520" i="2"/>
  <c r="F520" i="2"/>
  <c r="L520" i="2" s="1"/>
  <c r="D528" i="6"/>
  <c r="E527" i="6"/>
  <c r="F527" i="6"/>
  <c r="G527" i="6" l="1"/>
  <c r="D522" i="2"/>
  <c r="G521" i="2"/>
  <c r="F521" i="2"/>
  <c r="L521" i="2" s="1"/>
  <c r="D529" i="6"/>
  <c r="E528" i="6"/>
  <c r="F528" i="6"/>
  <c r="G528" i="6" l="1"/>
  <c r="D523" i="2"/>
  <c r="G522" i="2"/>
  <c r="F522" i="2"/>
  <c r="L522" i="2" s="1"/>
  <c r="D530" i="6"/>
  <c r="E529" i="6"/>
  <c r="F529" i="6"/>
  <c r="G529" i="6" l="1"/>
  <c r="D524" i="2"/>
  <c r="G523" i="2"/>
  <c r="F523" i="2"/>
  <c r="L523" i="2" s="1"/>
  <c r="D531" i="6"/>
  <c r="E530" i="6"/>
  <c r="F530" i="6"/>
  <c r="G530" i="6" l="1"/>
  <c r="D525" i="2"/>
  <c r="G524" i="2"/>
  <c r="F524" i="2"/>
  <c r="L524" i="2" s="1"/>
  <c r="D532" i="6"/>
  <c r="E531" i="6"/>
  <c r="F531" i="6"/>
  <c r="G531" i="6" l="1"/>
  <c r="D526" i="2"/>
  <c r="G525" i="2"/>
  <c r="F525" i="2"/>
  <c r="L525" i="2" s="1"/>
  <c r="D533" i="6"/>
  <c r="E532" i="6"/>
  <c r="F532" i="6"/>
  <c r="G532" i="6" l="1"/>
  <c r="D527" i="2"/>
  <c r="G526" i="2"/>
  <c r="F526" i="2"/>
  <c r="L526" i="2" s="1"/>
  <c r="D534" i="6"/>
  <c r="E533" i="6"/>
  <c r="F533" i="6"/>
  <c r="G533" i="6" l="1"/>
  <c r="D528" i="2"/>
  <c r="G527" i="2"/>
  <c r="F527" i="2"/>
  <c r="L527" i="2" s="1"/>
  <c r="D535" i="6"/>
  <c r="E534" i="6"/>
  <c r="F534" i="6"/>
  <c r="G534" i="6" l="1"/>
  <c r="D529" i="2"/>
  <c r="G528" i="2"/>
  <c r="F528" i="2"/>
  <c r="L528" i="2" s="1"/>
  <c r="D536" i="6"/>
  <c r="E535" i="6"/>
  <c r="F535" i="6"/>
  <c r="G535" i="6" l="1"/>
  <c r="D530" i="2"/>
  <c r="G529" i="2"/>
  <c r="F529" i="2"/>
  <c r="L529" i="2" s="1"/>
  <c r="D537" i="6"/>
  <c r="E536" i="6"/>
  <c r="F536" i="6"/>
  <c r="G536" i="6" l="1"/>
  <c r="D531" i="2"/>
  <c r="G530" i="2"/>
  <c r="F530" i="2"/>
  <c r="L530" i="2" s="1"/>
  <c r="D538" i="6"/>
  <c r="E537" i="6"/>
  <c r="F537" i="6"/>
  <c r="G537" i="6" l="1"/>
  <c r="D532" i="2"/>
  <c r="G531" i="2"/>
  <c r="F531" i="2"/>
  <c r="L531" i="2" s="1"/>
  <c r="D539" i="6"/>
  <c r="E538" i="6"/>
  <c r="F538" i="6"/>
  <c r="G538" i="6" l="1"/>
  <c r="D533" i="2"/>
  <c r="G532" i="2"/>
  <c r="F532" i="2"/>
  <c r="L532" i="2" s="1"/>
  <c r="D540" i="6"/>
  <c r="E539" i="6"/>
  <c r="F539" i="6"/>
  <c r="G539" i="6" l="1"/>
  <c r="D534" i="2"/>
  <c r="G533" i="2"/>
  <c r="F533" i="2"/>
  <c r="L533" i="2" s="1"/>
  <c r="D541" i="6"/>
  <c r="E540" i="6"/>
  <c r="F540" i="6"/>
  <c r="G540" i="6" l="1"/>
  <c r="D535" i="2"/>
  <c r="G534" i="2"/>
  <c r="F534" i="2"/>
  <c r="L534" i="2" s="1"/>
  <c r="D542" i="6"/>
  <c r="E541" i="6"/>
  <c r="F541" i="6"/>
  <c r="G541" i="6" l="1"/>
  <c r="D536" i="2"/>
  <c r="G535" i="2"/>
  <c r="F535" i="2"/>
  <c r="L535" i="2" s="1"/>
  <c r="D543" i="6"/>
  <c r="E542" i="6"/>
  <c r="F542" i="6"/>
  <c r="G542" i="6" l="1"/>
  <c r="D537" i="2"/>
  <c r="G536" i="2"/>
  <c r="F536" i="2"/>
  <c r="L536" i="2" s="1"/>
  <c r="D544" i="6"/>
  <c r="E543" i="6"/>
  <c r="F543" i="6"/>
  <c r="G543" i="6" l="1"/>
  <c r="D538" i="2"/>
  <c r="G537" i="2"/>
  <c r="F537" i="2"/>
  <c r="L537" i="2" s="1"/>
  <c r="D545" i="6"/>
  <c r="E544" i="6"/>
  <c r="F544" i="6"/>
  <c r="G544" i="6" l="1"/>
  <c r="D539" i="2"/>
  <c r="G538" i="2"/>
  <c r="F538" i="2"/>
  <c r="L538" i="2" s="1"/>
  <c r="D546" i="6"/>
  <c r="E545" i="6"/>
  <c r="F545" i="6"/>
  <c r="G545" i="6" l="1"/>
  <c r="D540" i="2"/>
  <c r="G539" i="2"/>
  <c r="F539" i="2"/>
  <c r="L539" i="2" s="1"/>
  <c r="D547" i="6"/>
  <c r="E546" i="6"/>
  <c r="F546" i="6"/>
  <c r="G546" i="6" l="1"/>
  <c r="D541" i="2"/>
  <c r="G540" i="2"/>
  <c r="F540" i="2"/>
  <c r="L540" i="2" s="1"/>
  <c r="D548" i="6"/>
  <c r="E547" i="6"/>
  <c r="F547" i="6"/>
  <c r="G547" i="6" l="1"/>
  <c r="D542" i="2"/>
  <c r="G541" i="2"/>
  <c r="F541" i="2"/>
  <c r="L541" i="2" s="1"/>
  <c r="D549" i="6"/>
  <c r="E548" i="6"/>
  <c r="F548" i="6"/>
  <c r="G548" i="6" l="1"/>
  <c r="D543" i="2"/>
  <c r="G542" i="2"/>
  <c r="F542" i="2"/>
  <c r="L542" i="2" s="1"/>
  <c r="D550" i="6"/>
  <c r="E549" i="6"/>
  <c r="F549" i="6"/>
  <c r="G549" i="6" l="1"/>
  <c r="D544" i="2"/>
  <c r="G543" i="2"/>
  <c r="F543" i="2"/>
  <c r="L543" i="2" s="1"/>
  <c r="D551" i="6"/>
  <c r="E550" i="6"/>
  <c r="F550" i="6"/>
  <c r="G550" i="6" l="1"/>
  <c r="D545" i="2"/>
  <c r="G544" i="2"/>
  <c r="F544" i="2"/>
  <c r="L544" i="2" s="1"/>
  <c r="D552" i="6"/>
  <c r="E551" i="6"/>
  <c r="F551" i="6"/>
  <c r="G551" i="6" l="1"/>
  <c r="D546" i="2"/>
  <c r="G545" i="2"/>
  <c r="F545" i="2"/>
  <c r="L545" i="2" s="1"/>
  <c r="D553" i="6"/>
  <c r="E552" i="6"/>
  <c r="F552" i="6"/>
  <c r="G552" i="6" l="1"/>
  <c r="D547" i="2"/>
  <c r="G546" i="2"/>
  <c r="F546" i="2"/>
  <c r="L546" i="2" s="1"/>
  <c r="D554" i="6"/>
  <c r="E553" i="6"/>
  <c r="F553" i="6"/>
  <c r="G553" i="6" l="1"/>
  <c r="D548" i="2"/>
  <c r="G547" i="2"/>
  <c r="F547" i="2"/>
  <c r="L547" i="2" s="1"/>
  <c r="D555" i="6"/>
  <c r="E554" i="6"/>
  <c r="F554" i="6"/>
  <c r="G554" i="6" l="1"/>
  <c r="D549" i="2"/>
  <c r="G548" i="2"/>
  <c r="F548" i="2"/>
  <c r="L548" i="2" s="1"/>
  <c r="D556" i="6"/>
  <c r="E555" i="6"/>
  <c r="F555" i="6"/>
  <c r="G555" i="6" l="1"/>
  <c r="D550" i="2"/>
  <c r="G549" i="2"/>
  <c r="F549" i="2"/>
  <c r="L549" i="2" s="1"/>
  <c r="D557" i="6"/>
  <c r="E556" i="6"/>
  <c r="F556" i="6"/>
  <c r="G556" i="6" l="1"/>
  <c r="D551" i="2"/>
  <c r="G550" i="2"/>
  <c r="F550" i="2"/>
  <c r="L550" i="2" s="1"/>
  <c r="D558" i="6"/>
  <c r="E557" i="6"/>
  <c r="F557" i="6"/>
  <c r="G557" i="6" l="1"/>
  <c r="D552" i="2"/>
  <c r="G551" i="2"/>
  <c r="F551" i="2"/>
  <c r="L551" i="2" s="1"/>
  <c r="D559" i="6"/>
  <c r="E558" i="6"/>
  <c r="F558" i="6"/>
  <c r="G558" i="6" l="1"/>
  <c r="D553" i="2"/>
  <c r="G552" i="2"/>
  <c r="F552" i="2"/>
  <c r="L552" i="2" s="1"/>
  <c r="D560" i="6"/>
  <c r="E559" i="6"/>
  <c r="F559" i="6"/>
  <c r="G559" i="6" l="1"/>
  <c r="D554" i="2"/>
  <c r="G553" i="2"/>
  <c r="F553" i="2"/>
  <c r="L553" i="2" s="1"/>
  <c r="D561" i="6"/>
  <c r="E560" i="6"/>
  <c r="F560" i="6"/>
  <c r="G560" i="6" l="1"/>
  <c r="D555" i="2"/>
  <c r="G554" i="2"/>
  <c r="F554" i="2"/>
  <c r="L554" i="2" s="1"/>
  <c r="D562" i="6"/>
  <c r="E561" i="6"/>
  <c r="F561" i="6"/>
  <c r="G561" i="6" l="1"/>
  <c r="D556" i="2"/>
  <c r="G555" i="2"/>
  <c r="F555" i="2"/>
  <c r="L555" i="2" s="1"/>
  <c r="D563" i="6"/>
  <c r="E562" i="6"/>
  <c r="F562" i="6"/>
  <c r="G562" i="6" l="1"/>
  <c r="D557" i="2"/>
  <c r="G556" i="2"/>
  <c r="F556" i="2"/>
  <c r="L556" i="2" s="1"/>
  <c r="D564" i="6"/>
  <c r="E563" i="6"/>
  <c r="F563" i="6"/>
  <c r="G563" i="6" l="1"/>
  <c r="D558" i="2"/>
  <c r="G557" i="2"/>
  <c r="F557" i="2"/>
  <c r="L557" i="2" s="1"/>
  <c r="D565" i="6"/>
  <c r="E564" i="6"/>
  <c r="F564" i="6"/>
  <c r="G564" i="6" l="1"/>
  <c r="D559" i="2"/>
  <c r="G558" i="2"/>
  <c r="F558" i="2"/>
  <c r="L558" i="2" s="1"/>
  <c r="D566" i="6"/>
  <c r="E565" i="6"/>
  <c r="F565" i="6"/>
  <c r="G565" i="6" l="1"/>
  <c r="D560" i="2"/>
  <c r="G559" i="2"/>
  <c r="F559" i="2"/>
  <c r="L559" i="2" s="1"/>
  <c r="D567" i="6"/>
  <c r="E566" i="6"/>
  <c r="F566" i="6"/>
  <c r="G566" i="6" l="1"/>
  <c r="D561" i="2"/>
  <c r="G560" i="2"/>
  <c r="F560" i="2"/>
  <c r="L560" i="2" s="1"/>
  <c r="D568" i="6"/>
  <c r="E567" i="6"/>
  <c r="F567" i="6"/>
  <c r="G567" i="6" l="1"/>
  <c r="D562" i="2"/>
  <c r="G561" i="2"/>
  <c r="F561" i="2"/>
  <c r="L561" i="2" s="1"/>
  <c r="D569" i="6"/>
  <c r="E568" i="6"/>
  <c r="F568" i="6"/>
  <c r="G568" i="6" l="1"/>
  <c r="D563" i="2"/>
  <c r="G562" i="2"/>
  <c r="F562" i="2"/>
  <c r="L562" i="2" s="1"/>
  <c r="D570" i="6"/>
  <c r="E569" i="6"/>
  <c r="F569" i="6"/>
  <c r="G569" i="6" l="1"/>
  <c r="D564" i="2"/>
  <c r="G563" i="2"/>
  <c r="F563" i="2"/>
  <c r="L563" i="2" s="1"/>
  <c r="D571" i="6"/>
  <c r="E570" i="6"/>
  <c r="F570" i="6"/>
  <c r="G570" i="6" l="1"/>
  <c r="D565" i="2"/>
  <c r="G564" i="2"/>
  <c r="F564" i="2"/>
  <c r="L564" i="2" s="1"/>
  <c r="D572" i="6"/>
  <c r="E571" i="6"/>
  <c r="F571" i="6"/>
  <c r="G571" i="6" l="1"/>
  <c r="D566" i="2"/>
  <c r="G565" i="2"/>
  <c r="F565" i="2"/>
  <c r="L565" i="2" s="1"/>
  <c r="D573" i="6"/>
  <c r="E572" i="6"/>
  <c r="F572" i="6"/>
  <c r="G572" i="6" l="1"/>
  <c r="D567" i="2"/>
  <c r="G566" i="2"/>
  <c r="F566" i="2"/>
  <c r="L566" i="2" s="1"/>
  <c r="D574" i="6"/>
  <c r="E573" i="6"/>
  <c r="F573" i="6"/>
  <c r="G573" i="6" l="1"/>
  <c r="D568" i="2"/>
  <c r="G567" i="2"/>
  <c r="F567" i="2"/>
  <c r="L567" i="2" s="1"/>
  <c r="D575" i="6"/>
  <c r="E574" i="6"/>
  <c r="F574" i="6"/>
  <c r="G574" i="6" l="1"/>
  <c r="D569" i="2"/>
  <c r="G568" i="2"/>
  <c r="F568" i="2"/>
  <c r="L568" i="2" s="1"/>
  <c r="D576" i="6"/>
  <c r="E575" i="6"/>
  <c r="F575" i="6"/>
  <c r="G575" i="6" l="1"/>
  <c r="D570" i="2"/>
  <c r="G569" i="2"/>
  <c r="F569" i="2"/>
  <c r="L569" i="2" s="1"/>
  <c r="D577" i="6"/>
  <c r="E576" i="6"/>
  <c r="F576" i="6"/>
  <c r="G576" i="6" l="1"/>
  <c r="D571" i="2"/>
  <c r="G570" i="2"/>
  <c r="F570" i="2"/>
  <c r="L570" i="2" s="1"/>
  <c r="D578" i="6"/>
  <c r="E577" i="6"/>
  <c r="F577" i="6"/>
  <c r="G577" i="6" l="1"/>
  <c r="D572" i="2"/>
  <c r="G571" i="2"/>
  <c r="F571" i="2"/>
  <c r="L571" i="2" s="1"/>
  <c r="D579" i="6"/>
  <c r="E578" i="6"/>
  <c r="F578" i="6"/>
  <c r="G578" i="6" l="1"/>
  <c r="D573" i="2"/>
  <c r="G572" i="2"/>
  <c r="F572" i="2"/>
  <c r="L572" i="2" s="1"/>
  <c r="D580" i="6"/>
  <c r="E579" i="6"/>
  <c r="F579" i="6"/>
  <c r="G579" i="6" l="1"/>
  <c r="D574" i="2"/>
  <c r="G573" i="2"/>
  <c r="F573" i="2"/>
  <c r="L573" i="2" s="1"/>
  <c r="D581" i="6"/>
  <c r="E580" i="6"/>
  <c r="F580" i="6"/>
  <c r="G580" i="6" l="1"/>
  <c r="D575" i="2"/>
  <c r="G574" i="2"/>
  <c r="F574" i="2"/>
  <c r="L574" i="2" s="1"/>
  <c r="D582" i="6"/>
  <c r="E581" i="6"/>
  <c r="F581" i="6"/>
  <c r="G581" i="6" l="1"/>
  <c r="D576" i="2"/>
  <c r="G575" i="2"/>
  <c r="F575" i="2"/>
  <c r="L575" i="2" s="1"/>
  <c r="D583" i="6"/>
  <c r="E582" i="6"/>
  <c r="F582" i="6"/>
  <c r="G582" i="6" l="1"/>
  <c r="D577" i="2"/>
  <c r="G576" i="2"/>
  <c r="F576" i="2"/>
  <c r="L576" i="2" s="1"/>
  <c r="D584" i="6"/>
  <c r="E583" i="6"/>
  <c r="F583" i="6"/>
  <c r="G583" i="6" l="1"/>
  <c r="D578" i="2"/>
  <c r="G577" i="2"/>
  <c r="F577" i="2"/>
  <c r="L577" i="2" s="1"/>
  <c r="D585" i="6"/>
  <c r="E584" i="6"/>
  <c r="F584" i="6"/>
  <c r="G584" i="6" l="1"/>
  <c r="D579" i="2"/>
  <c r="G578" i="2"/>
  <c r="F578" i="2"/>
  <c r="L578" i="2" s="1"/>
  <c r="D586" i="6"/>
  <c r="E585" i="6"/>
  <c r="F585" i="6"/>
  <c r="G585" i="6" l="1"/>
  <c r="D580" i="2"/>
  <c r="G579" i="2"/>
  <c r="F579" i="2"/>
  <c r="L579" i="2" s="1"/>
  <c r="D587" i="6"/>
  <c r="E586" i="6"/>
  <c r="F586" i="6"/>
  <c r="G586" i="6" l="1"/>
  <c r="D581" i="2"/>
  <c r="G580" i="2"/>
  <c r="F580" i="2"/>
  <c r="L580" i="2" s="1"/>
  <c r="D588" i="6"/>
  <c r="E587" i="6"/>
  <c r="F587" i="6"/>
  <c r="G587" i="6" l="1"/>
  <c r="D582" i="2"/>
  <c r="G581" i="2"/>
  <c r="F581" i="2"/>
  <c r="L581" i="2" s="1"/>
  <c r="D589" i="6"/>
  <c r="E588" i="6"/>
  <c r="F588" i="6"/>
  <c r="G588" i="6" l="1"/>
  <c r="D583" i="2"/>
  <c r="G582" i="2"/>
  <c r="F582" i="2"/>
  <c r="L582" i="2" s="1"/>
  <c r="D590" i="6"/>
  <c r="E589" i="6"/>
  <c r="F589" i="6"/>
  <c r="G589" i="6" l="1"/>
  <c r="D584" i="2"/>
  <c r="G583" i="2"/>
  <c r="F583" i="2"/>
  <c r="L583" i="2" s="1"/>
  <c r="D591" i="6"/>
  <c r="E590" i="6"/>
  <c r="F590" i="6"/>
  <c r="G590" i="6" l="1"/>
  <c r="D585" i="2"/>
  <c r="G584" i="2"/>
  <c r="F584" i="2"/>
  <c r="L584" i="2" s="1"/>
  <c r="D592" i="6"/>
  <c r="E591" i="6"/>
  <c r="F591" i="6"/>
  <c r="G591" i="6" l="1"/>
  <c r="D586" i="2"/>
  <c r="G585" i="2"/>
  <c r="F585" i="2"/>
  <c r="L585" i="2" s="1"/>
  <c r="D593" i="6"/>
  <c r="E592" i="6"/>
  <c r="F592" i="6"/>
  <c r="G592" i="6" l="1"/>
  <c r="D587" i="2"/>
  <c r="G586" i="2"/>
  <c r="F586" i="2"/>
  <c r="L586" i="2" s="1"/>
  <c r="D594" i="6"/>
  <c r="E593" i="6"/>
  <c r="F593" i="6"/>
  <c r="G593" i="6" l="1"/>
  <c r="D588" i="2"/>
  <c r="G587" i="2"/>
  <c r="F587" i="2"/>
  <c r="L587" i="2" s="1"/>
  <c r="D595" i="6"/>
  <c r="E594" i="6"/>
  <c r="F594" i="6"/>
  <c r="G594" i="6" l="1"/>
  <c r="D589" i="2"/>
  <c r="G588" i="2"/>
  <c r="F588" i="2"/>
  <c r="L588" i="2" s="1"/>
  <c r="D596" i="6"/>
  <c r="E595" i="6"/>
  <c r="F595" i="6"/>
  <c r="G595" i="6" l="1"/>
  <c r="D590" i="2"/>
  <c r="G589" i="2"/>
  <c r="F589" i="2"/>
  <c r="L589" i="2" s="1"/>
  <c r="D597" i="6"/>
  <c r="E596" i="6"/>
  <c r="F596" i="6"/>
  <c r="G596" i="6" l="1"/>
  <c r="D591" i="2"/>
  <c r="G590" i="2"/>
  <c r="F590" i="2"/>
  <c r="L590" i="2" s="1"/>
  <c r="D598" i="6"/>
  <c r="E597" i="6"/>
  <c r="F597" i="6"/>
  <c r="G597" i="6" l="1"/>
  <c r="D592" i="2"/>
  <c r="G591" i="2"/>
  <c r="F591" i="2"/>
  <c r="L591" i="2" s="1"/>
  <c r="D599" i="6"/>
  <c r="E598" i="6"/>
  <c r="F598" i="6"/>
  <c r="G598" i="6" l="1"/>
  <c r="D593" i="2"/>
  <c r="G592" i="2"/>
  <c r="F592" i="2"/>
  <c r="L592" i="2" s="1"/>
  <c r="D600" i="6"/>
  <c r="E599" i="6"/>
  <c r="F599" i="6"/>
  <c r="G599" i="6" l="1"/>
  <c r="D594" i="2"/>
  <c r="G593" i="2"/>
  <c r="F593" i="2"/>
  <c r="L593" i="2" s="1"/>
  <c r="D601" i="6"/>
  <c r="E600" i="6"/>
  <c r="F600" i="6"/>
  <c r="G600" i="6" l="1"/>
  <c r="D595" i="2"/>
  <c r="G594" i="2"/>
  <c r="F594" i="2"/>
  <c r="L594" i="2" s="1"/>
  <c r="D602" i="6"/>
  <c r="E601" i="6"/>
  <c r="F601" i="6"/>
  <c r="G601" i="6" l="1"/>
  <c r="D596" i="2"/>
  <c r="G595" i="2"/>
  <c r="F595" i="2"/>
  <c r="L595" i="2" s="1"/>
  <c r="D603" i="6"/>
  <c r="E602" i="6"/>
  <c r="F602" i="6"/>
  <c r="G602" i="6" l="1"/>
  <c r="D597" i="2"/>
  <c r="G596" i="2"/>
  <c r="F596" i="2"/>
  <c r="L596" i="2" s="1"/>
  <c r="D604" i="6"/>
  <c r="E603" i="6"/>
  <c r="F603" i="6"/>
  <c r="G603" i="6" l="1"/>
  <c r="D598" i="2"/>
  <c r="G597" i="2"/>
  <c r="F597" i="2"/>
  <c r="L597" i="2" s="1"/>
  <c r="D605" i="6"/>
  <c r="E604" i="6"/>
  <c r="F604" i="6"/>
  <c r="G604" i="6" l="1"/>
  <c r="D599" i="2"/>
  <c r="G598" i="2"/>
  <c r="F598" i="2"/>
  <c r="L598" i="2" s="1"/>
  <c r="D606" i="6"/>
  <c r="E605" i="6"/>
  <c r="F605" i="6"/>
  <c r="G605" i="6" l="1"/>
  <c r="D600" i="2"/>
  <c r="G599" i="2"/>
  <c r="F599" i="2"/>
  <c r="L599" i="2" s="1"/>
  <c r="D607" i="6"/>
  <c r="E606" i="6"/>
  <c r="F606" i="6"/>
  <c r="G606" i="6" l="1"/>
  <c r="D601" i="2"/>
  <c r="G600" i="2"/>
  <c r="F600" i="2"/>
  <c r="L600" i="2" s="1"/>
  <c r="D608" i="6"/>
  <c r="E607" i="6"/>
  <c r="F607" i="6"/>
  <c r="G607" i="6" l="1"/>
  <c r="D602" i="2"/>
  <c r="G601" i="2"/>
  <c r="F601" i="2"/>
  <c r="L601" i="2" s="1"/>
  <c r="D609" i="6"/>
  <c r="E608" i="6"/>
  <c r="F608" i="6"/>
  <c r="G608" i="6" l="1"/>
  <c r="D603" i="2"/>
  <c r="G602" i="2"/>
  <c r="F602" i="2"/>
  <c r="L602" i="2" s="1"/>
  <c r="D610" i="6"/>
  <c r="E609" i="6"/>
  <c r="F609" i="6"/>
  <c r="G609" i="6" l="1"/>
  <c r="D604" i="2"/>
  <c r="G603" i="2"/>
  <c r="F603" i="2"/>
  <c r="L603" i="2" s="1"/>
  <c r="D611" i="6"/>
  <c r="F611" i="6" s="1"/>
  <c r="E610" i="6"/>
  <c r="F610" i="6"/>
  <c r="G610" i="6" l="1"/>
  <c r="D605" i="2"/>
  <c r="G604" i="2"/>
  <c r="F604" i="2"/>
  <c r="L604" i="2" s="1"/>
  <c r="E611" i="6"/>
  <c r="G611" i="6" s="1"/>
  <c r="D606" i="2" l="1"/>
  <c r="G605" i="2"/>
  <c r="F605" i="2"/>
  <c r="L605" i="2" s="1"/>
  <c r="D607" i="2" l="1"/>
  <c r="G606" i="2"/>
  <c r="F606" i="2"/>
  <c r="L606" i="2" s="1"/>
  <c r="D608" i="2" l="1"/>
  <c r="G607" i="2"/>
  <c r="F607" i="2"/>
  <c r="L607" i="2" s="1"/>
  <c r="D609" i="2" l="1"/>
  <c r="G608" i="2"/>
  <c r="F608" i="2"/>
  <c r="L608" i="2" s="1"/>
  <c r="D610" i="2" l="1"/>
  <c r="G609" i="2"/>
  <c r="F609" i="2"/>
  <c r="L609" i="2" s="1"/>
  <c r="D611" i="2" l="1"/>
  <c r="F611" i="2" s="1"/>
  <c r="G610" i="2"/>
  <c r="F610" i="2"/>
  <c r="L610" i="2" s="1"/>
  <c r="G611" i="2" l="1"/>
  <c r="L611" i="2" s="1"/>
</calcChain>
</file>

<file path=xl/connections.xml><?xml version="1.0" encoding="utf-8"?>
<connections xmlns="http://schemas.openxmlformats.org/spreadsheetml/2006/main">
  <connection id="1" name="LCTN-150213-150318" type="6" refreshedVersion="4" background="1" saveData="1">
    <textPr codePage="437" sourceFile="Z:\USERS\Zbigniew\PRISM.PERL!\TEMP\LCTN-150213-150318.csv" tab="0" comma="1">
      <textFields count="3">
        <textField/>
        <textField/>
        <textField/>
      </textFields>
    </textPr>
  </connection>
  <connection id="2" name="LONG-141020-141117" type="6" refreshedVersion="4" background="1" saveData="1">
    <textPr codePage="65001" sourceFile="Z:\USERS\ZBIGNIEW\CSH_UPGRD\TEMP\LONG-141020-141117.csv" tab="0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" name="LONG-141020-1411171" type="6" refreshedVersion="4" background="1" saveData="1">
    <textPr codePage="65001" sourceFile="Z:\USERS\ZBIGNIEW\CSH_UPGRD\TEMP\LONG-141020-141117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<sst xmlns="http://schemas.openxmlformats.org/spreadsheetml/2006/main" count="43" uniqueCount="29">
  <si>
    <t xml:space="preserve"> TOP</t>
  </si>
  <si>
    <t>HAZ</t>
  </si>
  <si>
    <t>X-Insp</t>
  </si>
  <si>
    <t xml:space="preserve">Quality IRS </t>
  </si>
  <si>
    <t xml:space="preserve">SET VESSEL TARGET -&gt; </t>
  </si>
  <si>
    <t>Import data into this cell !!!</t>
  </si>
  <si>
    <t>Logged in PRISM</t>
  </si>
  <si>
    <t>Identity</t>
  </si>
  <si>
    <t>Different Inputs</t>
  </si>
  <si>
    <r>
      <t xml:space="preserve">CTRL + m
</t>
    </r>
    <r>
      <rPr>
        <b/>
        <sz val="11"/>
        <color theme="4" tint="-0.249977111117893"/>
        <rFont val="Calibri"/>
        <family val="2"/>
        <scheme val="minor"/>
      </rPr>
      <t>to run Makro</t>
    </r>
  </si>
  <si>
    <t>Locations being observed</t>
  </si>
  <si>
    <t>No. of observations</t>
  </si>
  <si>
    <t>Series MAX</t>
  </si>
  <si>
    <t>Number of observations vs. Locations being observed : 25 November 2015 - 28 December 2016</t>
  </si>
  <si>
    <t>EARNED
USD</t>
  </si>
  <si>
    <t>QHSE Trainings
[minimum hours]</t>
  </si>
  <si>
    <t>MINIMUM QHSE
[2 TOP &amp; 2 HAZ / TRIP]</t>
  </si>
  <si>
    <t xml:space="preserve">TOP Committee </t>
  </si>
  <si>
    <t>POINTS TRANSFERRED
FROM PREVIOUS TRIP</t>
  </si>
  <si>
    <t>BALANCE GOING
FOR NEXT TRIP</t>
  </si>
  <si>
    <t>POINTS EARNED
THIS TRIP</t>
  </si>
  <si>
    <t>SURNAME</t>
  </si>
  <si>
    <t>GIVEN NAME</t>
  </si>
  <si>
    <t>POSITION</t>
  </si>
  <si>
    <t>CUMULATIVE POINTS</t>
  </si>
  <si>
    <r>
      <t xml:space="preserve">RECEIVED </t>
    </r>
    <r>
      <rPr>
        <b/>
        <sz val="11"/>
        <color theme="5"/>
        <rFont val="Calibri"/>
        <family val="2"/>
      </rPr>
      <t>VISA CARD</t>
    </r>
    <r>
      <rPr>
        <b/>
        <sz val="11"/>
        <color rgb="FF000000"/>
        <rFont val="Calibri"/>
        <family val="2"/>
      </rPr>
      <t xml:space="preserve">
ON THIS TRIP?</t>
    </r>
  </si>
  <si>
    <t>EMPLOYEE SIGNATURE</t>
  </si>
  <si>
    <t>DATE</t>
  </si>
  <si>
    <t>COMMENT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</si>
</sst>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"/>
    <numFmt numFmtId="165" formatCode="\ @"/>
    <numFmt numFmtId="166" formatCode="&quot; &quot;@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0"/>
      <name val="Calibri"/>
      <family val="2"/>
    </font>
    <font>
      <b/>
      <sz val="18"/>
      <color theme="3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3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5"/>
      <name val="Calibri"/>
      <family val="2"/>
    </font>
    <font>
      <b/>
      <sz val="11"/>
      <color theme="5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99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/>
    <xf numFmtId="0" fontId="22" fillId="0" borderId="0" applyNumberFormat="0" applyFill="0" applyBorder="0" applyAlignment="0" applyProtection="0"/>
  </cellStyleXfs>
  <cellXfs count="61">
    <xf numFmtId="0" fontId="0" fillId="0" borderId="0" xfId="0"/>
    <xf numFmtId="165" fontId="0" fillId="0" borderId="0" xfId="0" applyNumberFormat="1" applyAlignment="1">
      <alignment horizontal="left" vertical="center"/>
    </xf>
    <xf numFmtId="0" fontId="24" fillId="0" borderId="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" fontId="0" fillId="0" borderId="0" xfId="0" applyNumberFormat="1" applyAlignment="1">
      <alignment horizontal="center" vertical="center"/>
    </xf>
    <xf numFmtId="0" fontId="0" fillId="0" borderId="0" xfId="0" applyFill="1"/>
    <xf numFmtId="0" fontId="26" fillId="0" borderId="0" xfId="0" applyFont="1" applyFill="1" applyBorder="1" applyAlignment="1">
      <alignment horizontal="left" vertical="center"/>
    </xf>
    <xf numFmtId="0" fontId="26" fillId="0" borderId="0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left" vertical="center"/>
    </xf>
    <xf numFmtId="0" fontId="26" fillId="0" borderId="0" xfId="0" applyFont="1" applyFill="1" applyAlignment="1">
      <alignment vertical="center"/>
    </xf>
    <xf numFmtId="0" fontId="24" fillId="0" borderId="0" xfId="0" applyFont="1" applyFill="1" applyBorder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1" fontId="26" fillId="0" borderId="0" xfId="0" applyNumberFormat="1" applyFont="1" applyFill="1" applyBorder="1" applyAlignment="1">
      <alignment horizontal="center" vertical="center"/>
    </xf>
    <xf numFmtId="1" fontId="26" fillId="0" borderId="0" xfId="0" applyNumberFormat="1" applyFont="1" applyFill="1" applyAlignment="1">
      <alignment horizontal="center" vertical="center"/>
    </xf>
    <xf numFmtId="1" fontId="24" fillId="0" borderId="0" xfId="0" applyNumberFormat="1" applyFont="1" applyFill="1" applyBorder="1" applyAlignment="1">
      <alignment horizontal="center" vertical="center"/>
    </xf>
    <xf numFmtId="2" fontId="26" fillId="0" borderId="0" xfId="0" applyNumberFormat="1" applyFont="1" applyFill="1" applyAlignment="1">
      <alignment horizontal="left" vertical="center"/>
    </xf>
    <xf numFmtId="0" fontId="0" fillId="0" borderId="0" xfId="0"/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27" fillId="3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0" fillId="34" borderId="0" xfId="0" applyFont="1" applyFill="1" applyBorder="1" applyAlignment="1">
      <alignment horizontal="center" vertical="center"/>
    </xf>
    <xf numFmtId="0" fontId="31" fillId="34" borderId="0" xfId="0" applyFont="1" applyFill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164" fontId="19" fillId="33" borderId="10" xfId="0" applyNumberFormat="1" applyFont="1" applyFill="1" applyBorder="1" applyAlignment="1">
      <alignment horizontal="center" vertical="center" wrapText="1"/>
    </xf>
    <xf numFmtId="164" fontId="20" fillId="33" borderId="10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left" vertical="center"/>
    </xf>
    <xf numFmtId="1" fontId="16" fillId="33" borderId="10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19" fillId="33" borderId="10" xfId="0" applyNumberFormat="1" applyFont="1" applyFill="1" applyBorder="1" applyAlignment="1">
      <alignment horizontal="center" vertical="center" wrapText="1"/>
    </xf>
    <xf numFmtId="1" fontId="16" fillId="33" borderId="10" xfId="0" applyNumberFormat="1" applyFont="1" applyFill="1" applyBorder="1" applyAlignment="1">
      <alignment horizontal="center" vertical="center" wrapText="1"/>
    </xf>
    <xf numFmtId="1" fontId="18" fillId="33" borderId="10" xfId="0" applyNumberFormat="1" applyFont="1" applyFill="1" applyBorder="1" applyAlignment="1">
      <alignment horizontal="center" vertical="center" wrapText="1"/>
    </xf>
    <xf numFmtId="164" fontId="19" fillId="33" borderId="10" xfId="0" applyNumberFormat="1" applyFont="1" applyFill="1" applyBorder="1" applyAlignment="1">
      <alignment horizontal="center" vertical="center" wrapText="1"/>
    </xf>
    <xf numFmtId="164" fontId="20" fillId="33" borderId="10" xfId="0" applyNumberFormat="1" applyFont="1" applyFill="1" applyBorder="1" applyAlignment="1">
      <alignment horizontal="center" vertical="center" wrapText="1"/>
    </xf>
    <xf numFmtId="1" fontId="19" fillId="33" borderId="10" xfId="0" applyNumberFormat="1" applyFont="1" applyFill="1" applyBorder="1" applyAlignment="1">
      <alignment horizontal="center" vertical="center" wrapText="1"/>
    </xf>
    <xf numFmtId="0" fontId="0" fillId="0" borderId="0" xfId="0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0" fillId="0" borderId="0" xfId="0" applyNumberFormat="1" applyAlignment="1">
      <alignment horizontal="center" vertical="center"/>
    </xf>
    <xf numFmtId="0" fontId="20" fillId="33" borderId="10" xfId="0" applyNumberFormat="1" applyFont="1" applyFill="1" applyBorder="1" applyAlignment="1">
      <alignment horizontal="center" vertical="center" wrapText="1"/>
    </xf>
    <xf numFmtId="0" fontId="24" fillId="33" borderId="10" xfId="0" applyNumberFormat="1" applyFont="1" applyFill="1" applyBorder="1" applyAlignment="1">
      <alignment horizontal="center" vertical="center" wrapText="1"/>
    </xf>
    <xf numFmtId="0" fontId="19" fillId="33" borderId="10" xfId="0" applyNumberFormat="1" applyFont="1" applyFill="1" applyBorder="1" applyAlignment="1">
      <alignment horizontal="center" vertical="center" wrapText="1"/>
    </xf>
    <xf numFmtId="0" fontId="33" fillId="35" borderId="10" xfId="0" applyNumberFormat="1" applyFont="1" applyFill="1" applyBorder="1" applyAlignment="1">
      <alignment horizontal="center" vertical="center" wrapText="1"/>
    </xf>
    <xf numFmtId="1" fontId="19" fillId="35" borderId="10" xfId="0" applyNumberFormat="1" applyFont="1" applyFill="1" applyBorder="1" applyAlignment="1">
      <alignment horizontal="center" vertical="center" wrapText="1"/>
    </xf>
    <xf numFmtId="166" fontId="19" fillId="33" borderId="10" xfId="0" applyNumberFormat="1" applyFont="1" applyFill="1" applyBorder="1" applyAlignment="1">
      <alignment horizontal="center" vertical="center" wrapText="1"/>
    </xf>
    <xf numFmtId="166" fontId="20" fillId="33" borderId="10" xfId="0" applyNumberFormat="1" applyFont="1" applyFill="1" applyBorder="1" applyAlignment="1">
      <alignment horizontal="center" vertical="center" wrapText="1"/>
    </xf>
    <xf numFmtId="0" fontId="23" fillId="33" borderId="11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/>
    </xf>
    <xf numFmtId="0" fontId="25" fillId="33" borderId="11" xfId="0" applyFont="1" applyFill="1" applyBorder="1" applyAlignment="1">
      <alignment horizontal="center" vertical="center"/>
    </xf>
    <xf numFmtId="0" fontId="25" fillId="33" borderId="12" xfId="0" applyFont="1" applyFill="1" applyBorder="1" applyAlignment="1">
      <alignment horizontal="center" vertical="center"/>
    </xf>
    <xf numFmtId="0" fontId="25" fillId="33" borderId="13" xfId="0" applyFont="1" applyFill="1" applyBorder="1" applyAlignment="1">
      <alignment horizontal="center" vertical="center"/>
    </xf>
    <xf numFmtId="0" fontId="28" fillId="33" borderId="11" xfId="0" applyFont="1" applyFill="1" applyBorder="1" applyAlignment="1">
      <alignment horizontal="center" vertical="center"/>
    </xf>
    <xf numFmtId="0" fontId="28" fillId="33" borderId="12" xfId="0" applyFont="1" applyFill="1" applyBorder="1" applyAlignment="1">
      <alignment horizontal="center" vertical="center"/>
    </xf>
    <xf numFmtId="0" fontId="28" fillId="33" borderId="13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 wrapText="1"/>
    </xf>
    <xf numFmtId="0" fontId="18" fillId="33" borderId="15" xfId="0" applyFont="1" applyFill="1" applyBorder="1" applyAlignment="1">
      <alignment horizontal="center" vertical="center" wrapText="1"/>
    </xf>
    <xf numFmtId="0" fontId="18" fillId="33" borderId="16" xfId="0" applyFont="1" applyFill="1" applyBorder="1" applyAlignment="1">
      <alignment horizontal="center" vertical="center" wrapText="1"/>
    </xf>
    <xf numFmtId="0" fontId="18" fillId="33" borderId="17" xfId="0" applyFont="1" applyFill="1" applyBorder="1" applyAlignment="1">
      <alignment horizontal="center" vertical="center" wrapText="1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 2" xfId="43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3">
    <dxf>
      <font>
        <color theme="0" tint="-0.34998626667073579"/>
      </font>
      <fill>
        <patternFill>
          <bgColor theme="0" tint="-4.9989318521683403E-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C00000"/>
      </font>
      <numFmt numFmtId="1" formatCode="0"/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3"/>
      </font>
      <numFmt numFmtId="0" formatCode="General"/>
      <fill>
        <patternFill>
          <bgColor theme="0" tint="-4.9989318521683403E-2"/>
        </patternFill>
      </fill>
      <border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fill>
        <patternFill>
          <bgColor rgb="FFFFFFCC"/>
        </patternFill>
      </fill>
      <border>
        <top style="thin">
          <color rgb="FFC00000"/>
        </top>
        <bottom style="thin">
          <color rgb="FFC00000"/>
        </bottom>
        <vertical/>
        <horizontal/>
      </border>
    </dxf>
    <dxf>
      <fill>
        <patternFill>
          <bgColor rgb="FFFFFFCC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3"/>
      </font>
      <fill>
        <patternFill>
          <bgColor rgb="FFFFFF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 tint="-0.24994659260841701"/>
      </font>
      <fill>
        <patternFill>
          <bgColor theme="6" tint="0.79998168889431442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6" tint="-0.24994659260841701"/>
      </font>
    </dxf>
    <dxf>
      <font>
        <b/>
        <i/>
        <color rgb="FFC00000"/>
      </font>
      <fill>
        <patternFill>
          <bgColor rgb="FFFFFFCC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5" tint="-0.24994659260841701"/>
      </font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5" tint="-0.24994659260841701"/>
      </font>
      <fill>
        <patternFill>
          <bgColor rgb="FFFFFF99"/>
        </patternFill>
      </fill>
    </dxf>
    <dxf>
      <font>
        <b/>
        <i val="0"/>
        <color theme="5" tint="-0.24994659260841701"/>
      </font>
      <fill>
        <patternFill>
          <bgColor rgb="FFFFFF99"/>
        </patternFill>
      </fill>
    </dxf>
    <dxf>
      <font>
        <color theme="0" tint="-0.34998626667073579"/>
      </font>
      <fill>
        <patternFill>
          <bgColor theme="0" tint="-4.9989318521683403E-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ont>
        <color theme="0" tint="-0.34998626667073579"/>
      </font>
      <fill>
        <patternFill>
          <bgColor theme="0" tint="-4.9989318521683403E-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0" tint="-4.9989318521683403E-2"/>
        </patternFill>
      </fill>
      <border>
        <left style="thin">
          <color rgb="FFC00000"/>
        </lef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fill>
        <patternFill patternType="solid">
          <bgColor rgb="FFFFFFCC"/>
        </patternFill>
      </fill>
      <border>
        <left style="thin">
          <color rgb="FFC00000"/>
        </left>
        <right/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fill>
        <patternFill>
          <bgColor rgb="FFFFFFCC"/>
        </patternFill>
      </fill>
      <border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ill>
        <patternFill>
          <bgColor theme="9" tint="0.79998168889431442"/>
        </patternFill>
      </fill>
    </dxf>
    <dxf>
      <font>
        <b/>
        <i val="0"/>
        <color rgb="FFC00000"/>
      </font>
      <fill>
        <patternFill>
          <bgColor rgb="FFFFFFCC"/>
        </patternFill>
      </fill>
      <border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ill>
        <patternFill>
          <bgColor theme="9" tint="0.79998168889431442"/>
        </patternFill>
      </fill>
    </dxf>
    <dxf>
      <font>
        <b/>
        <i val="0"/>
        <color theme="3"/>
      </font>
      <numFmt numFmtId="0" formatCode="General"/>
      <fill>
        <patternFill>
          <bgColor theme="0" tint="-4.9989318521683403E-2"/>
        </patternFill>
      </fill>
      <border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theme="3"/>
      </font>
      <numFmt numFmtId="0" formatCode="General"/>
      <fill>
        <patternFill>
          <bgColor theme="0" tint="-4.9989318521683403E-2"/>
        </patternFill>
      </fill>
      <border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theme="3"/>
      </font>
      <numFmt numFmtId="0" formatCode="General"/>
      <fill>
        <patternFill>
          <bgColor theme="0" tint="-4.9989318521683403E-2"/>
        </patternFill>
      </fill>
      <border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theme="3"/>
      </font>
      <fill>
        <patternFill>
          <bgColor theme="0" tint="-4.9989318521683403E-2"/>
        </patternFill>
      </fill>
      <border>
        <left style="thin">
          <color rgb="FFC00000"/>
        </left>
        <top style="thin">
          <color rgb="FFC00000"/>
        </top>
        <bottom style="thin">
          <color rgb="FFC00000"/>
        </bottom>
        <vertical/>
        <horizontal/>
      </border>
    </dxf>
    <dxf>
      <fill>
        <patternFill>
          <bgColor theme="9" tint="0.79998168889431442"/>
        </patternFill>
      </fill>
    </dxf>
    <dxf>
      <font>
        <b/>
        <i val="0"/>
        <color rgb="FFC00000"/>
      </font>
      <fill>
        <patternFill>
          <bgColor rgb="FFFFFFCC"/>
        </patternFill>
      </fill>
      <border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fill>
        <patternFill patternType="solid">
          <bgColor rgb="FFFFFFCC"/>
        </patternFill>
      </fill>
      <border>
        <left style="thin">
          <color rgb="FFC00000"/>
        </left>
        <right/>
        <top style="thin">
          <color rgb="FFC00000"/>
        </top>
        <bottom style="thin">
          <color rgb="FFC00000"/>
        </bottom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ont>
        <b/>
        <i val="0"/>
        <color theme="3"/>
      </font>
      <numFmt numFmtId="0" formatCode="General"/>
      <fill>
        <patternFill>
          <bgColor theme="0" tint="-4.9989318521683403E-2"/>
        </patternFill>
      </fill>
      <border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theme="3"/>
      </font>
      <fill>
        <patternFill>
          <bgColor theme="0" tint="-4.9989318521683403E-2"/>
        </patternFill>
      </fill>
      <border>
        <left style="thin">
          <color rgb="FFC00000"/>
        </lef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fill>
        <patternFill>
          <bgColor rgb="FFFFFFCC"/>
        </patternFill>
      </fill>
      <border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C00000"/>
      </font>
      <fill>
        <patternFill patternType="solid">
          <bgColor rgb="FFFFFFCC"/>
        </patternFill>
      </fill>
      <border>
        <left style="thin">
          <color rgb="FFC00000"/>
        </left>
        <right/>
        <top style="thin">
          <color rgb="FFC00000"/>
        </top>
        <bottom style="thin">
          <color rgb="FFC00000"/>
        </bottom>
        <vertical/>
        <horizontal/>
      </border>
    </dxf>
    <dxf>
      <fill>
        <patternFill>
          <bgColor rgb="FFFFFF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C00000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C00000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C00000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6" tint="-0.24994659260841701"/>
      </font>
    </dxf>
    <dxf>
      <font>
        <b/>
        <i val="0"/>
        <color theme="3"/>
      </font>
      <fill>
        <patternFill>
          <bgColor theme="4" tint="0.79998168889431442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i val="0"/>
        <color theme="6" tint="-0.24994659260841701"/>
      </font>
      <fill>
        <patternFill>
          <bgColor rgb="FFFFFF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C00000"/>
      </font>
      <fill>
        <patternFill>
          <bgColor rgb="FFFFFFCC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theme="1" tint="0.14996795556505021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C00000"/>
      </font>
      <fill>
        <patternFill>
          <bgColor theme="4" tint="0.79998168889431442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FFFFCC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'TOP LOCATIONS'!$G$3</c:f>
          <c:strCache>
            <c:ptCount val="1"/>
            <c:pt idx="0">
              <c:v>Number of observations vs. Locations being observed : 25 November 2015 - 28 December 2016</c:v>
            </c:pt>
          </c:strCache>
        </c:strRef>
      </c:tx>
      <c:layout>
        <c:manualLayout>
          <c:xMode val="edge"/>
          <c:yMode val="edge"/>
          <c:x val="0.19545627977058422"/>
          <c:y val="1.6521580635753864E-2"/>
        </c:manualLayout>
      </c:layout>
      <c:overlay val="0"/>
      <c:txPr>
        <a:bodyPr/>
        <a:lstStyle/>
        <a:p>
          <a:pPr>
            <a:defRPr sz="2400" b="1">
              <a:solidFill>
                <a:schemeClr val="accent2">
                  <a:lumMod val="75000"/>
                </a:schemeClr>
              </a:solidFill>
              <a:latin typeface="+mn-lt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228794489860742"/>
          <c:y val="6.6779764508603096E-2"/>
          <c:w val="0.82205948141832585"/>
          <c:h val="0.8354880249343832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'TOP LOCATIONS'!$C$2</c:f>
              <c:strCache>
                <c:ptCount val="1"/>
                <c:pt idx="0">
                  <c:v>No. of observations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cat>
            <c:strRef>
              <c:f>[0]!LCTN</c:f>
              <c:strCache>
                <c:ptCount val="1"/>
                <c:pt idx="0">
                  <c:v>Import data into this cell !!!</c:v>
                </c:pt>
              </c:strCache>
            </c:strRef>
          </c:cat>
          <c:val>
            <c:numRef>
              <c:f>'TOP LOCATIONS'!TOPS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'TOP LOCATIONS'!$D$2</c:f>
              <c:strCache>
                <c:ptCount val="1"/>
                <c:pt idx="0">
                  <c:v>Series MAX</c:v>
                </c:pt>
              </c:strCache>
            </c:strRef>
          </c:tx>
          <c:spPr>
            <a:solidFill>
              <a:srgbClr val="FFFFCC"/>
            </a:solidFill>
            <a:ln w="9525" cap="flat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cat>
            <c:strRef>
              <c:f>[0]!LCTN</c:f>
              <c:strCache>
                <c:ptCount val="1"/>
                <c:pt idx="0">
                  <c:v>Import data into this cell !!!</c:v>
                </c:pt>
              </c:strCache>
            </c:strRef>
          </c:cat>
          <c:val>
            <c:numRef>
              <c:f>[0]!MAX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6543744"/>
        <c:axId val="146545664"/>
      </c:barChart>
      <c:catAx>
        <c:axId val="146543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46545664"/>
        <c:crosses val="autoZero"/>
        <c:auto val="1"/>
        <c:lblAlgn val="ctr"/>
        <c:lblOffset val="100"/>
        <c:noMultiLvlLbl val="0"/>
      </c:catAx>
      <c:valAx>
        <c:axId val="1465456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800" b="0"/>
                </a:pPr>
                <a:r>
                  <a:rPr lang="en-US" sz="1800" b="0"/>
                  <a:t>Number of Observations</a:t>
                </a:r>
              </a:p>
            </c:rich>
          </c:tx>
          <c:layout>
            <c:manualLayout>
              <c:xMode val="edge"/>
              <c:yMode val="edge"/>
              <c:x val="0.47885286040633807"/>
              <c:y val="0.9499440434529017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46543744"/>
        <c:crosses val="autoZero"/>
        <c:crossBetween val="between"/>
        <c:majorUnit val="2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21167</xdr:colOff>
      <xdr:row>4</xdr:row>
      <xdr:rowOff>41269</xdr:rowOff>
    </xdr:from>
    <xdr:to>
      <xdr:col>23</xdr:col>
      <xdr:colOff>118533</xdr:colOff>
      <xdr:row>61</xdr:row>
      <xdr:rowOff>155569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8"/>
  <sheetViews>
    <sheetView tabSelected="1" zoomScaleNormal="100" workbookViewId="0">
      <selection activeCell="B3" sqref="B3"/>
    </sheetView>
  </sheetViews>
  <sheetFormatPr defaultColWidth="9.140625" defaultRowHeight="15" x14ac:dyDescent="0.25"/>
  <cols>
    <col min="1" max="1" width="9.140625" style="11" customWidth="1"/>
    <col min="2" max="2" width="45.7109375" style="8" customWidth="1"/>
    <col min="3" max="6" width="25.7109375" style="8" customWidth="1"/>
    <col min="7" max="11" width="10.7109375" style="14" customWidth="1"/>
    <col min="12" max="12" width="30.7109375" style="8" customWidth="1"/>
    <col min="13" max="14" width="45.7109375" style="8" customWidth="1"/>
    <col min="15" max="16" width="45.7109375" style="16" customWidth="1"/>
    <col min="17" max="18" width="9.140625" style="9"/>
    <col min="19" max="16384" width="9.140625" style="3"/>
  </cols>
  <sheetData>
    <row r="1" spans="1:8" x14ac:dyDescent="0.25">
      <c r="B1" s="6"/>
      <c r="C1" s="6"/>
      <c r="D1" s="6"/>
      <c r="E1" s="6"/>
      <c r="F1" s="6"/>
      <c r="G1" s="13"/>
      <c r="H1" s="13"/>
    </row>
    <row r="2" spans="1:8" x14ac:dyDescent="0.25">
      <c r="B2" s="7"/>
      <c r="C2" s="7"/>
      <c r="D2" s="2" t="s">
        <v>4</v>
      </c>
      <c r="E2" s="2">
        <v>80</v>
      </c>
      <c r="F2" s="2"/>
      <c r="G2" s="13"/>
      <c r="H2" s="15"/>
    </row>
    <row r="3" spans="1:8" x14ac:dyDescent="0.25">
      <c r="A3" s="12" t="str">
        <f>IF($B$3="Import data into this cell !!!","TITLE -&gt;","")</f>
        <v>TITLE -&gt;</v>
      </c>
      <c r="B3" s="7" t="s">
        <v>5</v>
      </c>
      <c r="C3" s="10"/>
      <c r="D3" s="6"/>
      <c r="E3" s="6"/>
      <c r="F3" s="6"/>
      <c r="G3" s="13"/>
      <c r="H3" s="13"/>
    </row>
    <row r="4" spans="1:8" x14ac:dyDescent="0.25">
      <c r="A4" s="12" t="str">
        <f>IF($B$3="Import data into this cell !!!","DATA -&gt;","")</f>
        <v>DATA -&gt;</v>
      </c>
      <c r="B4" s="6"/>
      <c r="C4" s="6"/>
      <c r="D4" s="6"/>
      <c r="E4" s="6"/>
      <c r="F4" s="6"/>
      <c r="G4" s="13"/>
      <c r="H4" s="13"/>
    </row>
    <row r="5" spans="1:8" x14ac:dyDescent="0.25">
      <c r="B5" s="6"/>
      <c r="C5" s="6"/>
      <c r="D5" s="6"/>
      <c r="E5" s="6"/>
      <c r="F5" s="6"/>
      <c r="G5" s="13"/>
      <c r="H5" s="13"/>
    </row>
    <row r="6" spans="1:8" x14ac:dyDescent="0.25">
      <c r="B6" s="6"/>
      <c r="C6" s="6"/>
      <c r="D6" s="6"/>
      <c r="E6" s="6"/>
      <c r="F6" s="6"/>
      <c r="G6" s="13"/>
      <c r="H6" s="13"/>
    </row>
    <row r="7" spans="1:8" x14ac:dyDescent="0.25">
      <c r="B7" s="6"/>
      <c r="C7" s="6"/>
      <c r="D7" s="6"/>
      <c r="E7" s="6"/>
      <c r="F7" s="6"/>
      <c r="G7" s="13"/>
      <c r="H7" s="13"/>
    </row>
    <row r="8" spans="1:8" x14ac:dyDescent="0.25">
      <c r="B8" s="6"/>
      <c r="C8" s="6"/>
      <c r="D8" s="6"/>
      <c r="E8" s="6"/>
      <c r="F8" s="6"/>
      <c r="G8" s="13"/>
      <c r="H8" s="13"/>
    </row>
  </sheetData>
  <conditionalFormatting sqref="H1:I1048576 L1:L1048576">
    <cfRule type="expression" dxfId="72" priority="11">
      <formula>AND($H1="TOP", $I1="HAZ", $L1="Log in PRISM")</formula>
    </cfRule>
    <cfRule type="expression" dxfId="71" priority="16">
      <formula>$L1="CHECKSUM TOP &amp; HAZ"</formula>
    </cfRule>
  </conditionalFormatting>
  <conditionalFormatting sqref="B3">
    <cfRule type="expression" dxfId="70" priority="4">
      <formula>$B$3="Import data into this cell !!!"</formula>
    </cfRule>
    <cfRule type="expression" dxfId="69" priority="7">
      <formula>(LEFT($C$3,7))="Oceanic"</formula>
    </cfRule>
  </conditionalFormatting>
  <conditionalFormatting sqref="D2:E2">
    <cfRule type="expression" dxfId="68" priority="5">
      <formula>$D$2="SET VESSEL TARGET -&gt; "</formula>
    </cfRule>
  </conditionalFormatting>
  <conditionalFormatting sqref="C3:K3">
    <cfRule type="expression" dxfId="67" priority="8">
      <formula>(LEFT($C$3,7))="Oceanic"</formula>
    </cfRule>
  </conditionalFormatting>
  <conditionalFormatting sqref="A3:A4">
    <cfRule type="expression" dxfId="66" priority="6">
      <formula>$A$3="TITLE -&gt;"</formula>
    </cfRule>
  </conditionalFormatting>
  <conditionalFormatting sqref="L3">
    <cfRule type="expression" dxfId="65" priority="9">
      <formula>(LEFT($C$3,7))="Oceanic"</formula>
    </cfRule>
  </conditionalFormatting>
  <conditionalFormatting sqref="B1:L1048576">
    <cfRule type="expression" dxfId="64" priority="10">
      <formula>AND($B1&lt;&gt;"", $C1&lt;&gt;"")</formula>
    </cfRule>
  </conditionalFormatting>
  <conditionalFormatting sqref="H1:I1048576 L1:M1048576">
    <cfRule type="expression" dxfId="63" priority="1">
      <formula>$M1="Oceanic Endeavour;Other Crew;Various"</formula>
    </cfRule>
    <cfRule type="expression" dxfId="62" priority="14">
      <formula>AND($H1&lt;&gt;"TOP", $B1="", $L1&lt;&gt;"",$M1&lt;&gt;"", OR($H1&lt;&gt;"",$I1&lt;&gt;""))</formula>
    </cfRule>
  </conditionalFormatting>
  <conditionalFormatting sqref="H1:I1048576 L1:M1048576">
    <cfRule type="expression" dxfId="61" priority="12">
      <formula>AND($H1&lt;&gt;"TOP", LEFT($L1,8)&lt;&gt;"CHECKSUM", $B1="", $L1&lt;&gt;"",$M1="", OR($H1&lt;&gt;"",$I1&lt;&gt;""))</formula>
    </cfRule>
  </conditionalFormatting>
  <conditionalFormatting sqref="J1:J1048576 L1:L1048576">
    <cfRule type="expression" dxfId="60" priority="17">
      <formula>$L1="CHECKSUM X-INS"</formula>
    </cfRule>
    <cfRule type="expression" dxfId="59" priority="22">
      <formula>AND($J1="X-INS", $L1="Log in PRISM")</formula>
    </cfRule>
  </conditionalFormatting>
  <conditionalFormatting sqref="J1:J1048576 L1:P1048576">
    <cfRule type="expression" dxfId="58" priority="23">
      <formula>AND($J1&lt;&gt;"X-INS", LEFT($L1,8)&lt;&gt;"CHECKSUM", $B1="", $L1&lt;&gt;"",$M1="",$J1&lt;&gt;"")</formula>
    </cfRule>
    <cfRule type="expression" dxfId="57" priority="25">
      <formula>AND($J1&lt;&gt;"X-INS", LEFT($L1,8)&lt;&gt;"CHECKSUM", $B1="", $L1&lt;&gt;"",$M1&lt;&gt;"", $J1&lt;&gt;"")</formula>
    </cfRule>
  </conditionalFormatting>
  <conditionalFormatting sqref="K1:L1048576">
    <cfRule type="expression" dxfId="56" priority="18">
      <formula>$L1="CHECKSUM Q-IMP"</formula>
    </cfRule>
    <cfRule type="expression" dxfId="55" priority="26">
      <formula>AND($K1="Q-IMP", $L1="Log in PRISM")</formula>
    </cfRule>
  </conditionalFormatting>
  <conditionalFormatting sqref="K1:M1048576">
    <cfRule type="expression" dxfId="54" priority="27">
      <formula>AND($K1&lt;&gt;"Q-IMP", $H1="", $I1="", $J1="", LEFT($L1,8)&lt;&gt;"CHECKSUM", $B1="", $L1&lt;&gt;"",$M1="", $K1&lt;&gt;"")</formula>
    </cfRule>
    <cfRule type="expression" dxfId="53" priority="28">
      <formula>AND($J1&lt;&gt;"X-INS", $H1="", $I1="", $J1="", LEFT($L1,8)&lt;&gt;"CHECKSUM", $B1="", $L1&lt;&gt;"",$M1&lt;&gt;"", $K1&lt;&gt;"")</formula>
    </cfRule>
  </conditionalFormatting>
  <dataValidations count="1">
    <dataValidation type="list" allowBlank="1" showInputMessage="1" showErrorMessage="1" sqref="M1:P1048576">
      <formula1>MyEDV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N611"/>
  <sheetViews>
    <sheetView zoomScaleNormal="100" workbookViewId="0">
      <pane ySplit="3" topLeftCell="A4" activePane="bottomLeft" state="frozen"/>
      <selection pane="bottomLeft" activeCell="B2" sqref="B2:L2"/>
    </sheetView>
  </sheetViews>
  <sheetFormatPr defaultRowHeight="15" x14ac:dyDescent="0.25"/>
  <cols>
    <col min="1" max="1" width="9.140625" customWidth="1"/>
    <col min="2" max="4" width="25.7109375" customWidth="1"/>
    <col min="5" max="9" width="10.7109375" style="4" customWidth="1"/>
    <col min="10" max="11" width="18.7109375" style="4" customWidth="1"/>
    <col min="12" max="12" width="22.7109375" style="21" customWidth="1"/>
  </cols>
  <sheetData>
    <row r="2" spans="2:14" ht="30" customHeight="1" x14ac:dyDescent="0.3">
      <c r="B2" s="48">
        <f>'RAW DATA'!C3</f>
        <v>0</v>
      </c>
      <c r="C2" s="49"/>
      <c r="D2" s="49"/>
      <c r="E2" s="49"/>
      <c r="F2" s="49"/>
      <c r="G2" s="49"/>
      <c r="H2" s="49"/>
      <c r="I2" s="49"/>
      <c r="J2" s="49"/>
      <c r="K2" s="49"/>
      <c r="L2" s="50"/>
      <c r="M2" s="5"/>
      <c r="N2" s="5"/>
    </row>
    <row r="3" spans="2:14" ht="34.9" customHeight="1" x14ac:dyDescent="0.25">
      <c r="B3" s="25" t="s">
        <v>21</v>
      </c>
      <c r="C3" s="25" t="s">
        <v>22</v>
      </c>
      <c r="D3" s="26" t="s">
        <v>23</v>
      </c>
      <c r="E3" s="32" t="s">
        <v>14</v>
      </c>
      <c r="F3" s="30" t="s">
        <v>0</v>
      </c>
      <c r="G3" s="30" t="s">
        <v>1</v>
      </c>
      <c r="H3" s="28" t="s">
        <v>2</v>
      </c>
      <c r="I3" s="28" t="s">
        <v>3</v>
      </c>
      <c r="J3" s="31" t="s">
        <v>15</v>
      </c>
      <c r="K3" s="28" t="s">
        <v>17</v>
      </c>
      <c r="L3" s="35" t="s">
        <v>16</v>
      </c>
      <c r="M3" s="5"/>
      <c r="N3" s="5"/>
    </row>
    <row r="4" spans="2:14" ht="14.45" x14ac:dyDescent="0.3">
      <c r="B4" s="1" t="str">
        <f>IF('RAW DATA'!$C4&lt;&gt;"",'RAW DATA'!$C4,"")</f>
        <v/>
      </c>
      <c r="C4" s="1" t="str">
        <f>IF('RAW DATA'!$D4&lt;&gt;"",'RAW DATA'!$D4,"")</f>
        <v/>
      </c>
      <c r="D4" s="1" t="str">
        <f>IF(AND($B3&lt;&gt;"", $B4=""), "TOTAL:", IF($D3="TOTAL:","VESSEL TARGET "&amp;'RAW DATA'!$E$2&amp;":",IF('RAW DATA'!$E4&lt;&gt;"",'RAW DATA'!$E4,"")))</f>
        <v>TOTAL:</v>
      </c>
      <c r="E4" s="4" t="str">
        <f>IF(B4&lt;&gt;"",IF(SUM(FLOOR(SUM(F4)/3,1)*10,FLOOR(SUM(G4)/3,1)*10, IF(SUM(H4)&gt;=1,5,0), IF(SUM(I4)&gt;=2,5,0), IF(SUM(J4)&gt;=1,5,0), IF(SUM(K4)&gt;=1,15,0))&gt;0, SUM(FLOOR(SUM(F4)/3,1)*10,FLOOR(SUM(G4)/3,1)*10, IF(SUM(H4)&gt;=1,5,0), IF(SUM(I4)&gt;=2,5,0), IF(SUM(J4)&gt;=1,5,0), IF(SUM(K4)&gt;=1,15,0)),""),"")</f>
        <v/>
      </c>
      <c r="F4" s="4" t="str">
        <f>IF(SUMIF('RAW DATA'!M:M,'RAW DATA'!B4, 'RAW DATA'!H:H)=0, "", SUMIF('RAW DATA'!M:M,'RAW DATA'!B4, 'RAW DATA'!H:H))</f>
        <v/>
      </c>
      <c r="G4" s="4" t="str">
        <f>IF(SUMIF('RAW DATA'!M:M,'RAW DATA'!B4, 'RAW DATA'!I:I)=0, "", SUMIF('RAW DATA'!M:M,'RAW DATA'!B4, 'RAW DATA'!I:I))</f>
        <v/>
      </c>
      <c r="H4" s="4" t="str">
        <f>IF(SUM(SUMIF('RAW DATA'!M:M,'RAW DATA'!B4,'RAW DATA'!J:J),SUMIF('RAW DATA'!N:N,'RAW DATA'!B4,'RAW DATA'!J:J),SUMIF('RAW DATA'!O:O,'RAW DATA'!B4,'RAW DATA'!J:J),SUMIF('RAW DATA'!P:P,'RAW DATA'!B4,'RAW DATA'!J:J))=0, "", SUM(SUMIF('RAW DATA'!M:M,'RAW DATA'!B4,'RAW DATA'!J:J),SUMIF('RAW DATA'!N:N,'RAW DATA'!B4,'RAW DATA'!J:J),SUMIF('RAW DATA'!O:O,'RAW DATA'!B4,'RAW DATA'!J:J),SUMIF('RAW DATA'!P:P,'RAW DATA'!B4,'RAW DATA'!J:J)))</f>
        <v/>
      </c>
      <c r="I4" s="4" t="str">
        <f>IF(SUMIF('RAW DATA'!M:M,'RAW DATA'!B4, 'RAW DATA'!K:K)=0, "", SUMIF('RAW DATA'!M:M,'RAW DATA'!B4, 'RAW DATA'!K:K))</f>
        <v/>
      </c>
      <c r="J4" s="4" t="str">
        <f>IF('RAW DATA'!B4&lt;&gt;"",IF(OR('RAW DATA'!H4=1,'RAW DATA'!H4=2),1,IF(ISNUMBER(FIND("Medic",'RAW DATA'!E4)),1,"")),"")</f>
        <v/>
      </c>
      <c r="K4" s="4" t="str">
        <f>IF(AND('RAW DATA'!$B4&lt;&gt;"",'RAW DATA'!L4=1),1,"")</f>
        <v/>
      </c>
      <c r="L4" s="24" t="str">
        <f>IF(OR($B4="", $F4="",$G4=""),"",IF(AND($F4&gt;=2,$G4&gt;=2),1,""))</f>
        <v/>
      </c>
      <c r="M4" s="5"/>
      <c r="N4" s="5"/>
    </row>
    <row r="5" spans="2:14" ht="14.45" x14ac:dyDescent="0.3">
      <c r="B5" s="1" t="str">
        <f>IF('RAW DATA'!$C5&lt;&gt;"",'RAW DATA'!$C5,"")</f>
        <v/>
      </c>
      <c r="C5" s="1" t="str">
        <f>IF('RAW DATA'!$D5&lt;&gt;"",'RAW DATA'!$D5,"")</f>
        <v/>
      </c>
      <c r="D5" s="1" t="str">
        <f>IF(AND($B4&lt;&gt;"", $B5=""), "TOTAL:", IF($D4="TOTAL:","VESSEL TARGET "&amp;'RAW DATA'!$E$2&amp;":",IF('RAW DATA'!$E5&lt;&gt;"",'RAW DATA'!$E5,"")))</f>
        <v>VESSEL TARGET 80:</v>
      </c>
      <c r="E5" s="29" t="str">
        <f t="shared" ref="E5:E68" si="0">IF(B5&lt;&gt;"",IF(SUM(FLOOR(SUM(F5)/3,1)*10,FLOOR(SUM(G5)/3,1)*10, IF(SUM(H5)&gt;=1,5,0), IF(SUM(I5)&gt;=2,5,0), IF(SUM(J5)&gt;=1,5,0), IF(SUM(K5)&gt;=1,15,0))&gt;0, SUM(FLOOR(SUM(F5)/3,1)*10,FLOOR(SUM(G5)/3,1)*10, IF(SUM(H5)&gt;=1,5,0), IF(SUM(I5)&gt;=2,5,0), IF(SUM(J5)&gt;=1,5,0), IF(SUM(K5)&gt;=1,15,0)),""),"")</f>
        <v/>
      </c>
      <c r="F5" s="4" t="str">
        <f>IF(SUMIF('RAW DATA'!M:M,'RAW DATA'!B5, 'RAW DATA'!H:H)=0, "", SUMIF('RAW DATA'!M:M,'RAW DATA'!B5, 'RAW DATA'!H:H))</f>
        <v/>
      </c>
      <c r="G5" s="4" t="str">
        <f>IF(SUMIF('RAW DATA'!M:M,'RAW DATA'!B5, 'RAW DATA'!I:I)=0, "", SUMIF('RAW DATA'!M:M,'RAW DATA'!B5, 'RAW DATA'!I:I))</f>
        <v/>
      </c>
      <c r="H5" s="4" t="str">
        <f>IF(SUM(SUMIF('RAW DATA'!M:M,'RAW DATA'!B5,'RAW DATA'!J:J),SUMIF('RAW DATA'!N:N,'RAW DATA'!B5,'RAW DATA'!J:J),SUMIF('RAW DATA'!O:O,'RAW DATA'!B5,'RAW DATA'!J:J),SUMIF('RAW DATA'!P:P,'RAW DATA'!B5,'RAW DATA'!J:J))=0, "", SUM(SUMIF('RAW DATA'!M:M,'RAW DATA'!B5,'RAW DATA'!J:J),SUMIF('RAW DATA'!N:N,'RAW DATA'!B5,'RAW DATA'!J:J),SUMIF('RAW DATA'!O:O,'RAW DATA'!B5,'RAW DATA'!J:J),SUMIF('RAW DATA'!P:P,'RAW DATA'!B5,'RAW DATA'!J:J)))</f>
        <v/>
      </c>
      <c r="I5" s="4" t="str">
        <f>IF(SUMIF('RAW DATA'!M:M,'RAW DATA'!B5, 'RAW DATA'!K:K)=0, "", SUMIF('RAW DATA'!M:M,'RAW DATA'!B5, 'RAW DATA'!K:K))</f>
        <v/>
      </c>
      <c r="J5" s="29" t="str">
        <f>IF('RAW DATA'!B5&lt;&gt;"",IF(OR('RAW DATA'!H5=1,'RAW DATA'!H5=2),1,IF(ISNUMBER(FIND("Medic",'RAW DATA'!E5)),1,"")),"")</f>
        <v/>
      </c>
      <c r="K5" s="29" t="str">
        <f>IF(AND('RAW DATA'!$B5&lt;&gt;"",'RAW DATA'!L5=1),1,"")</f>
        <v/>
      </c>
      <c r="L5" s="24" t="str">
        <f t="shared" ref="L5:L68" si="1">IF(OR($B5="", $F5="",$G5=""),"",IF(AND($F5&gt;=2,$G5&gt;=2),1,""))</f>
        <v/>
      </c>
      <c r="M5" s="5"/>
      <c r="N5" s="5"/>
    </row>
    <row r="6" spans="2:14" ht="14.45" x14ac:dyDescent="0.3">
      <c r="B6" s="1" t="str">
        <f>IF('RAW DATA'!$C6&lt;&gt;"",'RAW DATA'!$C6,"")</f>
        <v/>
      </c>
      <c r="C6" s="1" t="str">
        <f>IF('RAW DATA'!$D6&lt;&gt;"",'RAW DATA'!$D6,"")</f>
        <v/>
      </c>
      <c r="D6" s="1" t="str">
        <f>IF(AND($B5&lt;&gt;"", $B6=""), "TOTAL:", IF($D5="TOTAL:","VESSEL TARGET "&amp;'RAW DATA'!$E$2&amp;":",IF('RAW DATA'!$E6&lt;&gt;"",'RAW DATA'!$E6,"")))</f>
        <v/>
      </c>
      <c r="E6" s="29" t="str">
        <f t="shared" si="0"/>
        <v/>
      </c>
      <c r="F6" s="4" t="str">
        <f>IF($D5="TOTAL:",FIXED(ROUND(((SUM($F$4:$F4)/'RAW DATA'!$E$2)*100),1),1)&amp;"%",IF($D6="TOTAL:",SUM($F$4:$F5),IF(SUMIF('RAW DATA'!M:M,'RAW DATA'!B6,'RAW DATA'!H:H)=0,"",SUMIF('RAW DATA'!M:M,'RAW DATA'!B6,'RAW DATA'!H:H))))</f>
        <v/>
      </c>
      <c r="G6" s="4" t="str">
        <f>IF($D5="TOTAL:",FIXED(ROUND(((SUM($G$4:$G4)/'RAW DATA'!$E$2)*100),1),1)&amp;"%",IF($D6="TOTAL:",SUM($G$4:$G5),IF(SUMIF('RAW DATA'!M:M,'RAW DATA'!B6,'RAW DATA'!I:I)=0,"",SUMIF('RAW DATA'!M:M,'RAW DATA'!B6,'RAW DATA'!I:I))))</f>
        <v/>
      </c>
      <c r="H6" s="4" t="str">
        <f>IF(SUM(SUMIF('RAW DATA'!M:M,'RAW DATA'!B6,'RAW DATA'!J:J),SUMIF('RAW DATA'!N:N,'RAW DATA'!B6,'RAW DATA'!J:J),SUMIF('RAW DATA'!O:O,'RAW DATA'!B6,'RAW DATA'!J:J),SUMIF('RAW DATA'!P:P,'RAW DATA'!B6,'RAW DATA'!J:J))=0, "", SUM(SUMIF('RAW DATA'!M:M,'RAW DATA'!B6,'RAW DATA'!J:J),SUMIF('RAW DATA'!N:N,'RAW DATA'!B6,'RAW DATA'!J:J),SUMIF('RAW DATA'!O:O,'RAW DATA'!B6,'RAW DATA'!J:J),SUMIF('RAW DATA'!P:P,'RAW DATA'!B6,'RAW DATA'!J:J)))</f>
        <v/>
      </c>
      <c r="I6" s="4" t="str">
        <f>IF(SUMIF('RAW DATA'!M:M,'RAW DATA'!B6, 'RAW DATA'!K:K)=0, "", SUMIF('RAW DATA'!M:M,'RAW DATA'!B6, 'RAW DATA'!K:K))</f>
        <v/>
      </c>
      <c r="J6" s="29" t="str">
        <f>IF('RAW DATA'!B6&lt;&gt;"",IF(OR('RAW DATA'!H6=1,'RAW DATA'!H6=2),1,IF(ISNUMBER(FIND("Medic",'RAW DATA'!E6)),1,"")),"")</f>
        <v/>
      </c>
      <c r="K6" s="29" t="str">
        <f>IF(AND('RAW DATA'!$B6&lt;&gt;"",'RAW DATA'!L6=1),1,"")</f>
        <v/>
      </c>
      <c r="L6" s="24" t="str">
        <f t="shared" si="1"/>
        <v/>
      </c>
      <c r="M6" s="5"/>
      <c r="N6" s="5"/>
    </row>
    <row r="7" spans="2:14" ht="14.45" x14ac:dyDescent="0.3">
      <c r="B7" s="1" t="str">
        <f>IF('RAW DATA'!$C7&lt;&gt;"",'RAW DATA'!$C7,"")</f>
        <v/>
      </c>
      <c r="C7" s="1" t="str">
        <f>IF('RAW DATA'!$D7&lt;&gt;"",'RAW DATA'!$D7,"")</f>
        <v/>
      </c>
      <c r="D7" s="1" t="str">
        <f>IF(AND($B6&lt;&gt;"", $B7=""), "TOTAL:", IF($D6="TOTAL:","VESSEL TARGET "&amp;'RAW DATA'!$E$2&amp;":",IF('RAW DATA'!$E7&lt;&gt;"",'RAW DATA'!$E7,"")))</f>
        <v/>
      </c>
      <c r="E7" s="29" t="str">
        <f t="shared" si="0"/>
        <v/>
      </c>
      <c r="F7" s="4" t="str">
        <f>IF($D6="TOTAL:",FIXED(ROUND(((SUM($F$4:$F5)/'RAW DATA'!$E$2)*100),1),1)&amp;"%",IF($D7="TOTAL:",SUM($F$4:$F6),IF(SUMIF('RAW DATA'!M:M,'RAW DATA'!B7,'RAW DATA'!H:H)=0,"",SUMIF('RAW DATA'!M:M,'RAW DATA'!B7,'RAW DATA'!H:H))))</f>
        <v/>
      </c>
      <c r="G7" s="4" t="str">
        <f>IF($D6="TOTAL:",FIXED(ROUND(((SUM($G$4:$G5)/'RAW DATA'!$E$2)*100),1),1)&amp;"%",IF($D7="TOTAL:",SUM($G$4:$G6),IF(SUMIF('RAW DATA'!M:M,'RAW DATA'!B7,'RAW DATA'!I:I)=0,"",SUMIF('RAW DATA'!M:M,'RAW DATA'!B7,'RAW DATA'!I:I))))</f>
        <v/>
      </c>
      <c r="H7" s="4" t="str">
        <f>IF(SUM(SUMIF('RAW DATA'!M:M,'RAW DATA'!B7,'RAW DATA'!J:J),SUMIF('RAW DATA'!N:N,'RAW DATA'!B7,'RAW DATA'!J:J),SUMIF('RAW DATA'!O:O,'RAW DATA'!B7,'RAW DATA'!J:J),SUMIF('RAW DATA'!P:P,'RAW DATA'!B7,'RAW DATA'!J:J))=0, "", SUM(SUMIF('RAW DATA'!M:M,'RAW DATA'!B7,'RAW DATA'!J:J),SUMIF('RAW DATA'!N:N,'RAW DATA'!B7,'RAW DATA'!J:J),SUMIF('RAW DATA'!O:O,'RAW DATA'!B7,'RAW DATA'!J:J),SUMIF('RAW DATA'!P:P,'RAW DATA'!B7,'RAW DATA'!J:J)))</f>
        <v/>
      </c>
      <c r="I7" s="4" t="str">
        <f>IF(SUMIF('RAW DATA'!M:M,'RAW DATA'!B7, 'RAW DATA'!K:K)=0, "", SUMIF('RAW DATA'!M:M,'RAW DATA'!B7, 'RAW DATA'!K:K))</f>
        <v/>
      </c>
      <c r="J7" s="29" t="str">
        <f>IF('RAW DATA'!B7&lt;&gt;"",IF(OR('RAW DATA'!H7=1,'RAW DATA'!H7=2),1,IF(ISNUMBER(FIND("Medic",'RAW DATA'!E7)),1,"")),"")</f>
        <v/>
      </c>
      <c r="K7" s="29" t="str">
        <f>IF(AND('RAW DATA'!$B7&lt;&gt;"",'RAW DATA'!L7=1),1,"")</f>
        <v/>
      </c>
      <c r="L7" s="24" t="str">
        <f t="shared" si="1"/>
        <v/>
      </c>
      <c r="M7" s="5"/>
      <c r="N7" s="5"/>
    </row>
    <row r="8" spans="2:14" ht="14.45" x14ac:dyDescent="0.3">
      <c r="B8" s="1" t="str">
        <f>IF('RAW DATA'!$C8&lt;&gt;"",'RAW DATA'!$C8,"")</f>
        <v/>
      </c>
      <c r="C8" s="1" t="str">
        <f>IF('RAW DATA'!$D8&lt;&gt;"",'RAW DATA'!$D8,"")</f>
        <v/>
      </c>
      <c r="D8" s="1" t="str">
        <f>IF(AND($B7&lt;&gt;"", $B8=""), "TOTAL:", IF($D7="TOTAL:","VESSEL TARGET "&amp;'RAW DATA'!$E$2&amp;":",IF('RAW DATA'!$E8&lt;&gt;"",'RAW DATA'!$E8,"")))</f>
        <v/>
      </c>
      <c r="E8" s="29" t="str">
        <f t="shared" si="0"/>
        <v/>
      </c>
      <c r="F8" s="4" t="str">
        <f>IF($D7="TOTAL:",FIXED(ROUND(((SUM($F$4:$F6)/'RAW DATA'!$E$2)*100),1),1)&amp;"%",IF($D8="TOTAL:",SUM($F$4:$F7),IF(SUMIF('RAW DATA'!M:M,'RAW DATA'!B8,'RAW DATA'!H:H)=0,"",SUMIF('RAW DATA'!M:M,'RAW DATA'!B8,'RAW DATA'!H:H))))</f>
        <v/>
      </c>
      <c r="G8" s="4" t="str">
        <f>IF($D7="TOTAL:",FIXED(ROUND(((SUM($G$4:$G6)/'RAW DATA'!$E$2)*100),1),1)&amp;"%",IF($D8="TOTAL:",SUM($G$4:$G7),IF(SUMIF('RAW DATA'!M:M,'RAW DATA'!B8,'RAW DATA'!I:I)=0,"",SUMIF('RAW DATA'!M:M,'RAW DATA'!B8,'RAW DATA'!I:I))))</f>
        <v/>
      </c>
      <c r="H8" s="4" t="str">
        <f>IF(SUM(SUMIF('RAW DATA'!M:M,'RAW DATA'!B8,'RAW DATA'!J:J),SUMIF('RAW DATA'!N:N,'RAW DATA'!B8,'RAW DATA'!J:J),SUMIF('RAW DATA'!O:O,'RAW DATA'!B8,'RAW DATA'!J:J),SUMIF('RAW DATA'!P:P,'RAW DATA'!B8,'RAW DATA'!J:J))=0, "", SUM(SUMIF('RAW DATA'!M:M,'RAW DATA'!B8,'RAW DATA'!J:J),SUMIF('RAW DATA'!N:N,'RAW DATA'!B8,'RAW DATA'!J:J),SUMIF('RAW DATA'!O:O,'RAW DATA'!B8,'RAW DATA'!J:J),SUMIF('RAW DATA'!P:P,'RAW DATA'!B8,'RAW DATA'!J:J)))</f>
        <v/>
      </c>
      <c r="I8" s="4" t="str">
        <f>IF(SUMIF('RAW DATA'!M:M,'RAW DATA'!B8, 'RAW DATA'!K:K)=0, "", SUMIF('RAW DATA'!M:M,'RAW DATA'!B8, 'RAW DATA'!K:K))</f>
        <v/>
      </c>
      <c r="J8" s="29" t="str">
        <f>IF('RAW DATA'!B8&lt;&gt;"",IF(OR('RAW DATA'!H8=1,'RAW DATA'!H8=2),1,IF(ISNUMBER(FIND("Medic",'RAW DATA'!E8)),1,"")),"")</f>
        <v/>
      </c>
      <c r="K8" s="29" t="str">
        <f>IF(AND('RAW DATA'!$B8&lt;&gt;"",'RAW DATA'!L8=1),1,"")</f>
        <v/>
      </c>
      <c r="L8" s="24" t="str">
        <f t="shared" si="1"/>
        <v/>
      </c>
      <c r="M8" s="5"/>
      <c r="N8" s="5"/>
    </row>
    <row r="9" spans="2:14" ht="14.45" x14ac:dyDescent="0.3">
      <c r="B9" s="1" t="str">
        <f>IF('RAW DATA'!$C9&lt;&gt;"",'RAW DATA'!$C9,"")</f>
        <v/>
      </c>
      <c r="C9" s="1" t="str">
        <f>IF('RAW DATA'!$D9&lt;&gt;"",'RAW DATA'!$D9,"")</f>
        <v/>
      </c>
      <c r="D9" s="1" t="str">
        <f>IF(AND($B8&lt;&gt;"", $B9=""), "TOTAL:", IF($D8="TOTAL:","VESSEL TARGET "&amp;'RAW DATA'!$E$2&amp;":",IF('RAW DATA'!$E9&lt;&gt;"",'RAW DATA'!$E9,"")))</f>
        <v/>
      </c>
      <c r="E9" s="29" t="str">
        <f t="shared" si="0"/>
        <v/>
      </c>
      <c r="F9" s="4" t="str">
        <f>IF($D8="TOTAL:",FIXED(ROUND(((SUM($F$4:$F7)/'RAW DATA'!$E$2)*100),1),1)&amp;"%",IF($D9="TOTAL:",SUM($F$4:$F8),IF(SUMIF('RAW DATA'!M:M,'RAW DATA'!B9,'RAW DATA'!H:H)=0,"",SUMIF('RAW DATA'!M:M,'RAW DATA'!B9,'RAW DATA'!H:H))))</f>
        <v/>
      </c>
      <c r="G9" s="4" t="str">
        <f>IF($D8="TOTAL:",FIXED(ROUND(((SUM($G$4:$G7)/'RAW DATA'!$E$2)*100),1),1)&amp;"%",IF($D9="TOTAL:",SUM($G$4:$G8),IF(SUMIF('RAW DATA'!M:M,'RAW DATA'!B9,'RAW DATA'!I:I)=0,"",SUMIF('RAW DATA'!M:M,'RAW DATA'!B9,'RAW DATA'!I:I))))</f>
        <v/>
      </c>
      <c r="H9" s="4" t="str">
        <f>IF(SUM(SUMIF('RAW DATA'!M:M,'RAW DATA'!B9,'RAW DATA'!J:J),SUMIF('RAW DATA'!N:N,'RAW DATA'!B9,'RAW DATA'!J:J),SUMIF('RAW DATA'!O:O,'RAW DATA'!B9,'RAW DATA'!J:J),SUMIF('RAW DATA'!P:P,'RAW DATA'!B9,'RAW DATA'!J:J))=0, "", SUM(SUMIF('RAW DATA'!M:M,'RAW DATA'!B9,'RAW DATA'!J:J),SUMIF('RAW DATA'!N:N,'RAW DATA'!B9,'RAW DATA'!J:J),SUMIF('RAW DATA'!O:O,'RAW DATA'!B9,'RAW DATA'!J:J),SUMIF('RAW DATA'!P:P,'RAW DATA'!B9,'RAW DATA'!J:J)))</f>
        <v/>
      </c>
      <c r="I9" s="4" t="str">
        <f>IF(SUMIF('RAW DATA'!M:M,'RAW DATA'!B9, 'RAW DATA'!K:K)=0, "", SUMIF('RAW DATA'!M:M,'RAW DATA'!B9, 'RAW DATA'!K:K))</f>
        <v/>
      </c>
      <c r="J9" s="29" t="str">
        <f>IF('RAW DATA'!B9&lt;&gt;"",IF(OR('RAW DATA'!H9=1,'RAW DATA'!H9=2),1,IF(ISNUMBER(FIND("Medic",'RAW DATA'!E9)),1,"")),"")</f>
        <v/>
      </c>
      <c r="K9" s="29" t="str">
        <f>IF(AND('RAW DATA'!$B9&lt;&gt;"",'RAW DATA'!L9=1),1,"")</f>
        <v/>
      </c>
      <c r="L9" s="24" t="str">
        <f t="shared" si="1"/>
        <v/>
      </c>
      <c r="M9" s="5"/>
      <c r="N9" s="5"/>
    </row>
    <row r="10" spans="2:14" ht="14.45" x14ac:dyDescent="0.3">
      <c r="B10" s="1" t="str">
        <f>IF('RAW DATA'!$C10&lt;&gt;"",'RAW DATA'!$C10,"")</f>
        <v/>
      </c>
      <c r="C10" s="1" t="str">
        <f>IF('RAW DATA'!$D10&lt;&gt;"",'RAW DATA'!$D10,"")</f>
        <v/>
      </c>
      <c r="D10" s="1" t="str">
        <f>IF(AND($B9&lt;&gt;"", $B10=""), "TOTAL:", IF($D9="TOTAL:","VESSEL TARGET "&amp;'RAW DATA'!$E$2&amp;":",IF('RAW DATA'!$E10&lt;&gt;"",'RAW DATA'!$E10,"")))</f>
        <v/>
      </c>
      <c r="E10" s="29" t="str">
        <f t="shared" si="0"/>
        <v/>
      </c>
      <c r="F10" s="4" t="str">
        <f>IF($D9="TOTAL:",FIXED(ROUND(((SUM($F$4:$F8)/'RAW DATA'!$E$2)*100),1),1)&amp;"%",IF($D10="TOTAL:",SUM($F$4:$F9),IF(SUMIF('RAW DATA'!M:M,'RAW DATA'!B10,'RAW DATA'!H:H)=0,"",SUMIF('RAW DATA'!M:M,'RAW DATA'!B10,'RAW DATA'!H:H))))</f>
        <v/>
      </c>
      <c r="G10" s="4" t="str">
        <f>IF($D9="TOTAL:",FIXED(ROUND(((SUM($G$4:$G8)/'RAW DATA'!$E$2)*100),1),1)&amp;"%",IF($D10="TOTAL:",SUM($G$4:$G9),IF(SUMIF('RAW DATA'!M:M,'RAW DATA'!B10,'RAW DATA'!I:I)=0,"",SUMIF('RAW DATA'!M:M,'RAW DATA'!B10,'RAW DATA'!I:I))))</f>
        <v/>
      </c>
      <c r="H10" s="4" t="str">
        <f>IF(SUM(SUMIF('RAW DATA'!M:M,'RAW DATA'!B10,'RAW DATA'!J:J),SUMIF('RAW DATA'!N:N,'RAW DATA'!B10,'RAW DATA'!J:J),SUMIF('RAW DATA'!O:O,'RAW DATA'!B10,'RAW DATA'!J:J),SUMIF('RAW DATA'!P:P,'RAW DATA'!B10,'RAW DATA'!J:J))=0, "", SUM(SUMIF('RAW DATA'!M:M,'RAW DATA'!B10,'RAW DATA'!J:J),SUMIF('RAW DATA'!N:N,'RAW DATA'!B10,'RAW DATA'!J:J),SUMIF('RAW DATA'!O:O,'RAW DATA'!B10,'RAW DATA'!J:J),SUMIF('RAW DATA'!P:P,'RAW DATA'!B10,'RAW DATA'!J:J)))</f>
        <v/>
      </c>
      <c r="I10" s="4" t="str">
        <f>IF(SUMIF('RAW DATA'!M:M,'RAW DATA'!B10, 'RAW DATA'!K:K)=0, "", SUMIF('RAW DATA'!M:M,'RAW DATA'!B10, 'RAW DATA'!K:K))</f>
        <v/>
      </c>
      <c r="J10" s="29" t="str">
        <f>IF('RAW DATA'!B10&lt;&gt;"",IF(OR('RAW DATA'!H10=1,'RAW DATA'!H10=2),1,IF(ISNUMBER(FIND("Medic",'RAW DATA'!E10)),1,"")),"")</f>
        <v/>
      </c>
      <c r="K10" s="29" t="str">
        <f>IF(AND('RAW DATA'!$B10&lt;&gt;"",'RAW DATA'!L10=1),1,"")</f>
        <v/>
      </c>
      <c r="L10" s="24" t="str">
        <f t="shared" si="1"/>
        <v/>
      </c>
      <c r="M10" s="5"/>
      <c r="N10" s="5"/>
    </row>
    <row r="11" spans="2:14" ht="14.45" x14ac:dyDescent="0.3">
      <c r="B11" s="1" t="str">
        <f>IF('RAW DATA'!$C11&lt;&gt;"",'RAW DATA'!$C11,"")</f>
        <v/>
      </c>
      <c r="C11" s="1" t="str">
        <f>IF('RAW DATA'!$D11&lt;&gt;"",'RAW DATA'!$D11,"")</f>
        <v/>
      </c>
      <c r="D11" s="1" t="str">
        <f>IF(AND($B10&lt;&gt;"", $B11=""), "TOTAL:", IF($D10="TOTAL:","VESSEL TARGET "&amp;'RAW DATA'!$E$2&amp;":",IF('RAW DATA'!$E11&lt;&gt;"",'RAW DATA'!$E11,"")))</f>
        <v/>
      </c>
      <c r="E11" s="29" t="str">
        <f t="shared" si="0"/>
        <v/>
      </c>
      <c r="F11" s="4" t="str">
        <f>IF($D10="TOTAL:",FIXED(ROUND(((SUM($F$4:$F9)/'RAW DATA'!$E$2)*100),1),1)&amp;"%",IF($D11="TOTAL:",SUM($F$4:$F10),IF(SUMIF('RAW DATA'!M:M,'RAW DATA'!B11,'RAW DATA'!H:H)=0,"",SUMIF('RAW DATA'!M:M,'RAW DATA'!B11,'RAW DATA'!H:H))))</f>
        <v/>
      </c>
      <c r="G11" s="4" t="str">
        <f>IF($D10="TOTAL:",FIXED(ROUND(((SUM($G$4:$G9)/'RAW DATA'!$E$2)*100),1),1)&amp;"%",IF($D11="TOTAL:",SUM($G$4:$G10),IF(SUMIF('RAW DATA'!M:M,'RAW DATA'!B11,'RAW DATA'!I:I)=0,"",SUMIF('RAW DATA'!M:M,'RAW DATA'!B11,'RAW DATA'!I:I))))</f>
        <v/>
      </c>
      <c r="H11" s="4" t="str">
        <f>IF(SUM(SUMIF('RAW DATA'!M:M,'RAW DATA'!B11,'RAW DATA'!J:J),SUMIF('RAW DATA'!N:N,'RAW DATA'!B11,'RAW DATA'!J:J),SUMIF('RAW DATA'!O:O,'RAW DATA'!B11,'RAW DATA'!J:J),SUMIF('RAW DATA'!P:P,'RAW DATA'!B11,'RAW DATA'!J:J))=0, "", SUM(SUMIF('RAW DATA'!M:M,'RAW DATA'!B11,'RAW DATA'!J:J),SUMIF('RAW DATA'!N:N,'RAW DATA'!B11,'RAW DATA'!J:J),SUMIF('RAW DATA'!O:O,'RAW DATA'!B11,'RAW DATA'!J:J),SUMIF('RAW DATA'!P:P,'RAW DATA'!B11,'RAW DATA'!J:J)))</f>
        <v/>
      </c>
      <c r="I11" s="4" t="str">
        <f>IF(SUMIF('RAW DATA'!M:M,'RAW DATA'!B11, 'RAW DATA'!K:K)=0, "", SUMIF('RAW DATA'!M:M,'RAW DATA'!B11, 'RAW DATA'!K:K))</f>
        <v/>
      </c>
      <c r="J11" s="29" t="str">
        <f>IF('RAW DATA'!B11&lt;&gt;"",IF(OR('RAW DATA'!H11=1,'RAW DATA'!H11=2),1,IF(ISNUMBER(FIND("Medic",'RAW DATA'!E11)),1,"")),"")</f>
        <v/>
      </c>
      <c r="K11" s="29" t="str">
        <f>IF(AND('RAW DATA'!$B11&lt;&gt;"",'RAW DATA'!L11=1),1,"")</f>
        <v/>
      </c>
      <c r="L11" s="24" t="str">
        <f t="shared" si="1"/>
        <v/>
      </c>
      <c r="M11" s="5"/>
      <c r="N11" s="5"/>
    </row>
    <row r="12" spans="2:14" ht="14.45" x14ac:dyDescent="0.3">
      <c r="B12" s="1" t="str">
        <f>IF('RAW DATA'!$C12&lt;&gt;"",'RAW DATA'!$C12,"")</f>
        <v/>
      </c>
      <c r="C12" s="1" t="str">
        <f>IF('RAW DATA'!$D12&lt;&gt;"",'RAW DATA'!$D12,"")</f>
        <v/>
      </c>
      <c r="D12" s="1" t="str">
        <f>IF(AND($B11&lt;&gt;"", $B12=""), "TOTAL:", IF($D11="TOTAL:","VESSEL TARGET "&amp;'RAW DATA'!$E$2&amp;":",IF('RAW DATA'!$E12&lt;&gt;"",'RAW DATA'!$E12,"")))</f>
        <v/>
      </c>
      <c r="E12" s="29" t="str">
        <f t="shared" si="0"/>
        <v/>
      </c>
      <c r="F12" s="4" t="str">
        <f>IF($D11="TOTAL:",FIXED(ROUND(((SUM($F$4:$F10)/'RAW DATA'!$E$2)*100),1),1)&amp;"%",IF($D12="TOTAL:",SUM($F$4:$F11),IF(SUMIF('RAW DATA'!M:M,'RAW DATA'!B12,'RAW DATA'!H:H)=0,"",SUMIF('RAW DATA'!M:M,'RAW DATA'!B12,'RAW DATA'!H:H))))</f>
        <v/>
      </c>
      <c r="G12" s="4" t="str">
        <f>IF($D11="TOTAL:",FIXED(ROUND(((SUM($G$4:$G10)/'RAW DATA'!$E$2)*100),1),1)&amp;"%",IF($D12="TOTAL:",SUM($G$4:$G11),IF(SUMIF('RAW DATA'!M:M,'RAW DATA'!B12,'RAW DATA'!I:I)=0,"",SUMIF('RAW DATA'!M:M,'RAW DATA'!B12,'RAW DATA'!I:I))))</f>
        <v/>
      </c>
      <c r="H12" s="4" t="str">
        <f>IF(SUM(SUMIF('RAW DATA'!M:M,'RAW DATA'!B12,'RAW DATA'!J:J),SUMIF('RAW DATA'!N:N,'RAW DATA'!B12,'RAW DATA'!J:J),SUMIF('RAW DATA'!O:O,'RAW DATA'!B12,'RAW DATA'!J:J),SUMIF('RAW DATA'!P:P,'RAW DATA'!B12,'RAW DATA'!J:J))=0, "", SUM(SUMIF('RAW DATA'!M:M,'RAW DATA'!B12,'RAW DATA'!J:J),SUMIF('RAW DATA'!N:N,'RAW DATA'!B12,'RAW DATA'!J:J),SUMIF('RAW DATA'!O:O,'RAW DATA'!B12,'RAW DATA'!J:J),SUMIF('RAW DATA'!P:P,'RAW DATA'!B12,'RAW DATA'!J:J)))</f>
        <v/>
      </c>
      <c r="I12" s="4" t="str">
        <f>IF(SUMIF('RAW DATA'!M:M,'RAW DATA'!B12, 'RAW DATA'!K:K)=0, "", SUMIF('RAW DATA'!M:M,'RAW DATA'!B12, 'RAW DATA'!K:K))</f>
        <v/>
      </c>
      <c r="J12" s="29" t="str">
        <f>IF('RAW DATA'!B12&lt;&gt;"",IF(OR('RAW DATA'!H12=1,'RAW DATA'!H12=2),1,IF(ISNUMBER(FIND("Medic",'RAW DATA'!E12)),1,"")),"")</f>
        <v/>
      </c>
      <c r="K12" s="29" t="str">
        <f>IF(AND('RAW DATA'!$B12&lt;&gt;"",'RAW DATA'!L12=1),1,"")</f>
        <v/>
      </c>
      <c r="L12" s="24" t="str">
        <f t="shared" si="1"/>
        <v/>
      </c>
      <c r="M12" s="5"/>
      <c r="N12" s="5"/>
    </row>
    <row r="13" spans="2:14" ht="14.45" x14ac:dyDescent="0.3">
      <c r="B13" s="1" t="str">
        <f>IF('RAW DATA'!$C13&lt;&gt;"",'RAW DATA'!$C13,"")</f>
        <v/>
      </c>
      <c r="C13" s="1" t="str">
        <f>IF('RAW DATA'!$D13&lt;&gt;"",'RAW DATA'!$D13,"")</f>
        <v/>
      </c>
      <c r="D13" s="1" t="str">
        <f>IF(AND($B12&lt;&gt;"", $B13=""), "TOTAL:", IF($D12="TOTAL:","VESSEL TARGET "&amp;'RAW DATA'!$E$2&amp;":",IF('RAW DATA'!$E13&lt;&gt;"",'RAW DATA'!$E13,"")))</f>
        <v/>
      </c>
      <c r="E13" s="29" t="str">
        <f t="shared" si="0"/>
        <v/>
      </c>
      <c r="F13" s="4" t="str">
        <f>IF($D12="TOTAL:",FIXED(ROUND(((SUM($F$4:$F11)/'RAW DATA'!$E$2)*100),1),1)&amp;"%",IF($D13="TOTAL:",SUM($F$4:$F12),IF(SUMIF('RAW DATA'!M:M,'RAW DATA'!B13,'RAW DATA'!H:H)=0,"",SUMIF('RAW DATA'!M:M,'RAW DATA'!B13,'RAW DATA'!H:H))))</f>
        <v/>
      </c>
      <c r="G13" s="4" t="str">
        <f>IF($D12="TOTAL:",FIXED(ROUND(((SUM($G$4:$G11)/'RAW DATA'!$E$2)*100),1),1)&amp;"%",IF($D13="TOTAL:",SUM($G$4:$G12),IF(SUMIF('RAW DATA'!M:M,'RAW DATA'!B13,'RAW DATA'!I:I)=0,"",SUMIF('RAW DATA'!M:M,'RAW DATA'!B13,'RAW DATA'!I:I))))</f>
        <v/>
      </c>
      <c r="H13" s="4" t="str">
        <f>IF(SUM(SUMIF('RAW DATA'!M:M,'RAW DATA'!B13,'RAW DATA'!J:J),SUMIF('RAW DATA'!N:N,'RAW DATA'!B13,'RAW DATA'!J:J),SUMIF('RAW DATA'!O:O,'RAW DATA'!B13,'RAW DATA'!J:J),SUMIF('RAW DATA'!P:P,'RAW DATA'!B13,'RAW DATA'!J:J))=0, "", SUM(SUMIF('RAW DATA'!M:M,'RAW DATA'!B13,'RAW DATA'!J:J),SUMIF('RAW DATA'!N:N,'RAW DATA'!B13,'RAW DATA'!J:J),SUMIF('RAW DATA'!O:O,'RAW DATA'!B13,'RAW DATA'!J:J),SUMIF('RAW DATA'!P:P,'RAW DATA'!B13,'RAW DATA'!J:J)))</f>
        <v/>
      </c>
      <c r="I13" s="4" t="str">
        <f>IF(SUMIF('RAW DATA'!M:M,'RAW DATA'!B13, 'RAW DATA'!K:K)=0, "", SUMIF('RAW DATA'!M:M,'RAW DATA'!B13, 'RAW DATA'!K:K))</f>
        <v/>
      </c>
      <c r="J13" s="29" t="str">
        <f>IF('RAW DATA'!B13&lt;&gt;"",IF(OR('RAW DATA'!H13=1,'RAW DATA'!H13=2),1,IF(ISNUMBER(FIND("Medic",'RAW DATA'!E13)),1,"")),"")</f>
        <v/>
      </c>
      <c r="K13" s="29" t="str">
        <f>IF(AND('RAW DATA'!$B13&lt;&gt;"",'RAW DATA'!L13=1),1,"")</f>
        <v/>
      </c>
      <c r="L13" s="24" t="str">
        <f t="shared" si="1"/>
        <v/>
      </c>
      <c r="M13" s="5"/>
      <c r="N13" s="5"/>
    </row>
    <row r="14" spans="2:14" ht="14.45" x14ac:dyDescent="0.3">
      <c r="B14" s="1" t="str">
        <f>IF('RAW DATA'!$C14&lt;&gt;"",'RAW DATA'!$C14,"")</f>
        <v/>
      </c>
      <c r="C14" s="1" t="str">
        <f>IF('RAW DATA'!$D14&lt;&gt;"",'RAW DATA'!$D14,"")</f>
        <v/>
      </c>
      <c r="D14" s="1" t="str">
        <f>IF(AND($B13&lt;&gt;"", $B14=""), "TOTAL:", IF($D13="TOTAL:","VESSEL TARGET "&amp;'RAW DATA'!$E$2&amp;":",IF('RAW DATA'!$E14&lt;&gt;"",'RAW DATA'!$E14,"")))</f>
        <v/>
      </c>
      <c r="E14" s="29" t="str">
        <f t="shared" si="0"/>
        <v/>
      </c>
      <c r="F14" s="4" t="str">
        <f>IF($D13="TOTAL:",FIXED(ROUND(((SUM($F$4:$F12)/'RAW DATA'!$E$2)*100),1),1)&amp;"%",IF($D14="TOTAL:",SUM($F$4:$F13),IF(SUMIF('RAW DATA'!M:M,'RAW DATA'!B14,'RAW DATA'!H:H)=0,"",SUMIF('RAW DATA'!M:M,'RAW DATA'!B14,'RAW DATA'!H:H))))</f>
        <v/>
      </c>
      <c r="G14" s="4" t="str">
        <f>IF($D13="TOTAL:",FIXED(ROUND(((SUM($G$4:$G12)/'RAW DATA'!$E$2)*100),1),1)&amp;"%",IF($D14="TOTAL:",SUM($G$4:$G13),IF(SUMIF('RAW DATA'!M:M,'RAW DATA'!B14,'RAW DATA'!I:I)=0,"",SUMIF('RAW DATA'!M:M,'RAW DATA'!B14,'RAW DATA'!I:I))))</f>
        <v/>
      </c>
      <c r="H14" s="4" t="str">
        <f>IF(SUM(SUMIF('RAW DATA'!M:M,'RAW DATA'!B14,'RAW DATA'!J:J),SUMIF('RAW DATA'!N:N,'RAW DATA'!B14,'RAW DATA'!J:J),SUMIF('RAW DATA'!O:O,'RAW DATA'!B14,'RAW DATA'!J:J),SUMIF('RAW DATA'!P:P,'RAW DATA'!B14,'RAW DATA'!J:J))=0, "", SUM(SUMIF('RAW DATA'!M:M,'RAW DATA'!B14,'RAW DATA'!J:J),SUMIF('RAW DATA'!N:N,'RAW DATA'!B14,'RAW DATA'!J:J),SUMIF('RAW DATA'!O:O,'RAW DATA'!B14,'RAW DATA'!J:J),SUMIF('RAW DATA'!P:P,'RAW DATA'!B14,'RAW DATA'!J:J)))</f>
        <v/>
      </c>
      <c r="I14" s="4" t="str">
        <f>IF(SUMIF('RAW DATA'!M:M,'RAW DATA'!B14, 'RAW DATA'!K:K)=0, "", SUMIF('RAW DATA'!M:M,'RAW DATA'!B14, 'RAW DATA'!K:K))</f>
        <v/>
      </c>
      <c r="J14" s="29" t="str">
        <f>IF('RAW DATA'!B14&lt;&gt;"",IF(OR('RAW DATA'!H14=1,'RAW DATA'!H14=2),1,IF(ISNUMBER(FIND("Medic",'RAW DATA'!E14)),1,"")),"")</f>
        <v/>
      </c>
      <c r="K14" s="29" t="str">
        <f>IF(AND('RAW DATA'!$B14&lt;&gt;"",'RAW DATA'!L14=1),1,"")</f>
        <v/>
      </c>
      <c r="L14" s="24" t="str">
        <f t="shared" si="1"/>
        <v/>
      </c>
      <c r="M14" s="5"/>
      <c r="N14" s="5"/>
    </row>
    <row r="15" spans="2:14" ht="14.45" x14ac:dyDescent="0.3">
      <c r="B15" s="1" t="str">
        <f>IF('RAW DATA'!$C15&lt;&gt;"",'RAW DATA'!$C15,"")</f>
        <v/>
      </c>
      <c r="C15" s="1" t="str">
        <f>IF('RAW DATA'!$D15&lt;&gt;"",'RAW DATA'!$D15,"")</f>
        <v/>
      </c>
      <c r="D15" s="1" t="str">
        <f>IF(AND($B14&lt;&gt;"", $B15=""), "TOTAL:", IF($D14="TOTAL:","VESSEL TARGET "&amp;'RAW DATA'!$E$2&amp;":",IF('RAW DATA'!$E15&lt;&gt;"",'RAW DATA'!$E15,"")))</f>
        <v/>
      </c>
      <c r="E15" s="29" t="str">
        <f t="shared" si="0"/>
        <v/>
      </c>
      <c r="F15" s="4" t="str">
        <f>IF($D14="TOTAL:",FIXED(ROUND(((SUM($F$4:$F13)/'RAW DATA'!$E$2)*100),1),1)&amp;"%",IF($D15="TOTAL:",SUM($F$4:$F14),IF(SUMIF('RAW DATA'!M:M,'RAW DATA'!B15,'RAW DATA'!H:H)=0,"",SUMIF('RAW DATA'!M:M,'RAW DATA'!B15,'RAW DATA'!H:H))))</f>
        <v/>
      </c>
      <c r="G15" s="4" t="str">
        <f>IF($D14="TOTAL:",FIXED(ROUND(((SUM($G$4:$G13)/'RAW DATA'!$E$2)*100),1),1)&amp;"%",IF($D15="TOTAL:",SUM($G$4:$G14),IF(SUMIF('RAW DATA'!M:M,'RAW DATA'!B15,'RAW DATA'!I:I)=0,"",SUMIF('RAW DATA'!M:M,'RAW DATA'!B15,'RAW DATA'!I:I))))</f>
        <v/>
      </c>
      <c r="H15" s="4" t="str">
        <f>IF(SUM(SUMIF('RAW DATA'!M:M,'RAW DATA'!B15,'RAW DATA'!J:J),SUMIF('RAW DATA'!N:N,'RAW DATA'!B15,'RAW DATA'!J:J),SUMIF('RAW DATA'!O:O,'RAW DATA'!B15,'RAW DATA'!J:J),SUMIF('RAW DATA'!P:P,'RAW DATA'!B15,'RAW DATA'!J:J))=0, "", SUM(SUMIF('RAW DATA'!M:M,'RAW DATA'!B15,'RAW DATA'!J:J),SUMIF('RAW DATA'!N:N,'RAW DATA'!B15,'RAW DATA'!J:J),SUMIF('RAW DATA'!O:O,'RAW DATA'!B15,'RAW DATA'!J:J),SUMIF('RAW DATA'!P:P,'RAW DATA'!B15,'RAW DATA'!J:J)))</f>
        <v/>
      </c>
      <c r="I15" s="4" t="str">
        <f>IF(SUMIF('RAW DATA'!M:M,'RAW DATA'!B15, 'RAW DATA'!K:K)=0, "", SUMIF('RAW DATA'!M:M,'RAW DATA'!B15, 'RAW DATA'!K:K))</f>
        <v/>
      </c>
      <c r="J15" s="29" t="str">
        <f>IF('RAW DATA'!B15&lt;&gt;"",IF(OR('RAW DATA'!H15=1,'RAW DATA'!H15=2),1,IF(ISNUMBER(FIND("Medic",'RAW DATA'!E15)),1,"")),"")</f>
        <v/>
      </c>
      <c r="K15" s="29" t="str">
        <f>IF(AND('RAW DATA'!$B15&lt;&gt;"",'RAW DATA'!L15=1),1,"")</f>
        <v/>
      </c>
      <c r="L15" s="24" t="str">
        <f t="shared" si="1"/>
        <v/>
      </c>
      <c r="M15" s="5"/>
      <c r="N15" s="5"/>
    </row>
    <row r="16" spans="2:14" ht="14.45" x14ac:dyDescent="0.3">
      <c r="B16" s="1" t="str">
        <f>IF('RAW DATA'!$C16&lt;&gt;"",'RAW DATA'!$C16,"")</f>
        <v/>
      </c>
      <c r="C16" s="1" t="str">
        <f>IF('RAW DATA'!$D16&lt;&gt;"",'RAW DATA'!$D16,"")</f>
        <v/>
      </c>
      <c r="D16" s="1" t="str">
        <f>IF(AND($B15&lt;&gt;"", $B16=""), "TOTAL:", IF($D15="TOTAL:","VESSEL TARGET "&amp;'RAW DATA'!$E$2&amp;":",IF('RAW DATA'!$E16&lt;&gt;"",'RAW DATA'!$E16,"")))</f>
        <v/>
      </c>
      <c r="E16" s="29" t="str">
        <f t="shared" si="0"/>
        <v/>
      </c>
      <c r="F16" s="4" t="str">
        <f>IF($D15="TOTAL:",FIXED(ROUND(((SUM($F$4:$F14)/'RAW DATA'!$E$2)*100),1),1)&amp;"%",IF($D16="TOTAL:",SUM($F$4:$F15),IF(SUMIF('RAW DATA'!M:M,'RAW DATA'!B16,'RAW DATA'!H:H)=0,"",SUMIF('RAW DATA'!M:M,'RAW DATA'!B16,'RAW DATA'!H:H))))</f>
        <v/>
      </c>
      <c r="G16" s="4" t="str">
        <f>IF($D15="TOTAL:",FIXED(ROUND(((SUM($G$4:$G14)/'RAW DATA'!$E$2)*100),1),1)&amp;"%",IF($D16="TOTAL:",SUM($G$4:$G15),IF(SUMIF('RAW DATA'!M:M,'RAW DATA'!B16,'RAW DATA'!I:I)=0,"",SUMIF('RAW DATA'!M:M,'RAW DATA'!B16,'RAW DATA'!I:I))))</f>
        <v/>
      </c>
      <c r="H16" s="4" t="str">
        <f>IF(SUM(SUMIF('RAW DATA'!M:M,'RAW DATA'!B16,'RAW DATA'!J:J),SUMIF('RAW DATA'!N:N,'RAW DATA'!B16,'RAW DATA'!J:J),SUMIF('RAW DATA'!O:O,'RAW DATA'!B16,'RAW DATA'!J:J),SUMIF('RAW DATA'!P:P,'RAW DATA'!B16,'RAW DATA'!J:J))=0, "", SUM(SUMIF('RAW DATA'!M:M,'RAW DATA'!B16,'RAW DATA'!J:J),SUMIF('RAW DATA'!N:N,'RAW DATA'!B16,'RAW DATA'!J:J),SUMIF('RAW DATA'!O:O,'RAW DATA'!B16,'RAW DATA'!J:J),SUMIF('RAW DATA'!P:P,'RAW DATA'!B16,'RAW DATA'!J:J)))</f>
        <v/>
      </c>
      <c r="I16" s="4" t="str">
        <f>IF(SUMIF('RAW DATA'!M:M,'RAW DATA'!B16, 'RAW DATA'!K:K)=0, "", SUMIF('RAW DATA'!M:M,'RAW DATA'!B16, 'RAW DATA'!K:K))</f>
        <v/>
      </c>
      <c r="J16" s="29" t="str">
        <f>IF('RAW DATA'!B16&lt;&gt;"",IF(OR('RAW DATA'!H16=1,'RAW DATA'!H16=2),1,IF(ISNUMBER(FIND("Medic",'RAW DATA'!E16)),1,"")),"")</f>
        <v/>
      </c>
      <c r="K16" s="29" t="str">
        <f>IF(AND('RAW DATA'!$B16&lt;&gt;"",'RAW DATA'!L16=1),1,"")</f>
        <v/>
      </c>
      <c r="L16" s="24" t="str">
        <f t="shared" si="1"/>
        <v/>
      </c>
    </row>
    <row r="17" spans="2:12" ht="14.45" x14ac:dyDescent="0.3">
      <c r="B17" s="1" t="str">
        <f>IF('RAW DATA'!$C17&lt;&gt;"",'RAW DATA'!$C17,"")</f>
        <v/>
      </c>
      <c r="C17" s="1" t="str">
        <f>IF('RAW DATA'!$D17&lt;&gt;"",'RAW DATA'!$D17,"")</f>
        <v/>
      </c>
      <c r="D17" s="1" t="str">
        <f>IF(AND($B16&lt;&gt;"", $B17=""), "TOTAL:", IF($D16="TOTAL:","VESSEL TARGET "&amp;'RAW DATA'!$E$2&amp;":",IF('RAW DATA'!$E17&lt;&gt;"",'RAW DATA'!$E17,"")))</f>
        <v/>
      </c>
      <c r="E17" s="29" t="str">
        <f t="shared" si="0"/>
        <v/>
      </c>
      <c r="F17" s="4" t="str">
        <f>IF($D16="TOTAL:",FIXED(ROUND(((SUM($F$4:$F15)/'RAW DATA'!$E$2)*100),1),1)&amp;"%",IF($D17="TOTAL:",SUM($F$4:$F16),IF(SUMIF('RAW DATA'!M:M,'RAW DATA'!B17,'RAW DATA'!H:H)=0,"",SUMIF('RAW DATA'!M:M,'RAW DATA'!B17,'RAW DATA'!H:H))))</f>
        <v/>
      </c>
      <c r="G17" s="4" t="str">
        <f>IF($D16="TOTAL:",FIXED(ROUND(((SUM($G$4:$G15)/'RAW DATA'!$E$2)*100),1),1)&amp;"%",IF($D17="TOTAL:",SUM($G$4:$G16),IF(SUMIF('RAW DATA'!M:M,'RAW DATA'!B17,'RAW DATA'!I:I)=0,"",SUMIF('RAW DATA'!M:M,'RAW DATA'!B17,'RAW DATA'!I:I))))</f>
        <v/>
      </c>
      <c r="H17" s="4" t="str">
        <f>IF(SUM(SUMIF('RAW DATA'!M:M,'RAW DATA'!B17,'RAW DATA'!J:J),SUMIF('RAW DATA'!N:N,'RAW DATA'!B17,'RAW DATA'!J:J),SUMIF('RAW DATA'!O:O,'RAW DATA'!B17,'RAW DATA'!J:J),SUMIF('RAW DATA'!P:P,'RAW DATA'!B17,'RAW DATA'!J:J))=0, "", SUM(SUMIF('RAW DATA'!M:M,'RAW DATA'!B17,'RAW DATA'!J:J),SUMIF('RAW DATA'!N:N,'RAW DATA'!B17,'RAW DATA'!J:J),SUMIF('RAW DATA'!O:O,'RAW DATA'!B17,'RAW DATA'!J:J),SUMIF('RAW DATA'!P:P,'RAW DATA'!B17,'RAW DATA'!J:J)))</f>
        <v/>
      </c>
      <c r="I17" s="4" t="str">
        <f>IF(SUMIF('RAW DATA'!M:M,'RAW DATA'!B17, 'RAW DATA'!K:K)=0, "", SUMIF('RAW DATA'!M:M,'RAW DATA'!B17, 'RAW DATA'!K:K))</f>
        <v/>
      </c>
      <c r="J17" s="29" t="str">
        <f>IF('RAW DATA'!B17&lt;&gt;"",IF(OR('RAW DATA'!H17=1,'RAW DATA'!H17=2),1,IF(ISNUMBER(FIND("Medic",'RAW DATA'!E17)),1,"")),"")</f>
        <v/>
      </c>
      <c r="K17" s="29" t="str">
        <f>IF(AND('RAW DATA'!$B17&lt;&gt;"",'RAW DATA'!L17=1),1,"")</f>
        <v/>
      </c>
      <c r="L17" s="24" t="str">
        <f t="shared" si="1"/>
        <v/>
      </c>
    </row>
    <row r="18" spans="2:12" ht="14.45" x14ac:dyDescent="0.3">
      <c r="B18" s="1" t="str">
        <f>IF('RAW DATA'!$C18&lt;&gt;"",'RAW DATA'!$C18,"")</f>
        <v/>
      </c>
      <c r="C18" s="1" t="str">
        <f>IF('RAW DATA'!$D18&lt;&gt;"",'RAW DATA'!$D18,"")</f>
        <v/>
      </c>
      <c r="D18" s="1" t="str">
        <f>IF(AND($B17&lt;&gt;"", $B18=""), "TOTAL:", IF($D17="TOTAL:","VESSEL TARGET "&amp;'RAW DATA'!$E$2&amp;":",IF('RAW DATA'!$E18&lt;&gt;"",'RAW DATA'!$E18,"")))</f>
        <v/>
      </c>
      <c r="E18" s="29" t="str">
        <f t="shared" si="0"/>
        <v/>
      </c>
      <c r="F18" s="4" t="str">
        <f>IF($D17="TOTAL:",FIXED(ROUND(((SUM($F$4:$F16)/'RAW DATA'!$E$2)*100),1),1)&amp;"%",IF($D18="TOTAL:",SUM($F$4:$F17),IF(SUMIF('RAW DATA'!M:M,'RAW DATA'!B18,'RAW DATA'!H:H)=0,"",SUMIF('RAW DATA'!M:M,'RAW DATA'!B18,'RAW DATA'!H:H))))</f>
        <v/>
      </c>
      <c r="G18" s="4" t="str">
        <f>IF($D17="TOTAL:",FIXED(ROUND(((SUM($G$4:$G16)/'RAW DATA'!$E$2)*100),1),1)&amp;"%",IF($D18="TOTAL:",SUM($G$4:$G17),IF(SUMIF('RAW DATA'!M:M,'RAW DATA'!B18,'RAW DATA'!I:I)=0,"",SUMIF('RAW DATA'!M:M,'RAW DATA'!B18,'RAW DATA'!I:I))))</f>
        <v/>
      </c>
      <c r="H18" s="4" t="str">
        <f>IF(SUM(SUMIF('RAW DATA'!M:M,'RAW DATA'!B18,'RAW DATA'!J:J),SUMIF('RAW DATA'!N:N,'RAW DATA'!B18,'RAW DATA'!J:J),SUMIF('RAW DATA'!O:O,'RAW DATA'!B18,'RAW DATA'!J:J),SUMIF('RAW DATA'!P:P,'RAW DATA'!B18,'RAW DATA'!J:J))=0, "", SUM(SUMIF('RAW DATA'!M:M,'RAW DATA'!B18,'RAW DATA'!J:J),SUMIF('RAW DATA'!N:N,'RAW DATA'!B18,'RAW DATA'!J:J),SUMIF('RAW DATA'!O:O,'RAW DATA'!B18,'RAW DATA'!J:J),SUMIF('RAW DATA'!P:P,'RAW DATA'!B18,'RAW DATA'!J:J)))</f>
        <v/>
      </c>
      <c r="I18" s="4" t="str">
        <f>IF(SUMIF('RAW DATA'!M:M,'RAW DATA'!B18, 'RAW DATA'!K:K)=0, "", SUMIF('RAW DATA'!M:M,'RAW DATA'!B18, 'RAW DATA'!K:K))</f>
        <v/>
      </c>
      <c r="J18" s="29" t="str">
        <f>IF('RAW DATA'!B18&lt;&gt;"",IF(OR('RAW DATA'!H18=1,'RAW DATA'!H18=2),1,IF(ISNUMBER(FIND("Medic",'RAW DATA'!E18)),1,"")),"")</f>
        <v/>
      </c>
      <c r="K18" s="29" t="str">
        <f>IF(AND('RAW DATA'!$B18&lt;&gt;"",'RAW DATA'!L18=1),1,"")</f>
        <v/>
      </c>
      <c r="L18" s="24" t="str">
        <f t="shared" si="1"/>
        <v/>
      </c>
    </row>
    <row r="19" spans="2:12" ht="14.45" x14ac:dyDescent="0.3">
      <c r="B19" s="1" t="str">
        <f>IF('RAW DATA'!$C19&lt;&gt;"",'RAW DATA'!$C19,"")</f>
        <v/>
      </c>
      <c r="C19" s="1" t="str">
        <f>IF('RAW DATA'!$D19&lt;&gt;"",'RAW DATA'!$D19,"")</f>
        <v/>
      </c>
      <c r="D19" s="1" t="str">
        <f>IF(AND($B18&lt;&gt;"", $B19=""), "TOTAL:", IF($D18="TOTAL:","VESSEL TARGET "&amp;'RAW DATA'!$E$2&amp;":",IF('RAW DATA'!$E19&lt;&gt;"",'RAW DATA'!$E19,"")))</f>
        <v/>
      </c>
      <c r="E19" s="29" t="str">
        <f t="shared" si="0"/>
        <v/>
      </c>
      <c r="F19" s="4" t="str">
        <f>IF($D18="TOTAL:",FIXED(ROUND(((SUM($F$4:$F17)/'RAW DATA'!$E$2)*100),1),1)&amp;"%",IF($D19="TOTAL:",SUM($F$4:$F18),IF(SUMIF('RAW DATA'!M:M,'RAW DATA'!B19,'RAW DATA'!H:H)=0,"",SUMIF('RAW DATA'!M:M,'RAW DATA'!B19,'RAW DATA'!H:H))))</f>
        <v/>
      </c>
      <c r="G19" s="4" t="str">
        <f>IF($D18="TOTAL:",FIXED(ROUND(((SUM($G$4:$G17)/'RAW DATA'!$E$2)*100),1),1)&amp;"%",IF($D19="TOTAL:",SUM($G$4:$G18),IF(SUMIF('RAW DATA'!M:M,'RAW DATA'!B19,'RAW DATA'!I:I)=0,"",SUMIF('RAW DATA'!M:M,'RAW DATA'!B19,'RAW DATA'!I:I))))</f>
        <v/>
      </c>
      <c r="H19" s="4" t="str">
        <f>IF(SUM(SUMIF('RAW DATA'!M:M,'RAW DATA'!B19,'RAW DATA'!J:J),SUMIF('RAW DATA'!N:N,'RAW DATA'!B19,'RAW DATA'!J:J),SUMIF('RAW DATA'!O:O,'RAW DATA'!B19,'RAW DATA'!J:J),SUMIF('RAW DATA'!P:P,'RAW DATA'!B19,'RAW DATA'!J:J))=0, "", SUM(SUMIF('RAW DATA'!M:M,'RAW DATA'!B19,'RAW DATA'!J:J),SUMIF('RAW DATA'!N:N,'RAW DATA'!B19,'RAW DATA'!J:J),SUMIF('RAW DATA'!O:O,'RAW DATA'!B19,'RAW DATA'!J:J),SUMIF('RAW DATA'!P:P,'RAW DATA'!B19,'RAW DATA'!J:J)))</f>
        <v/>
      </c>
      <c r="I19" s="4" t="str">
        <f>IF(SUMIF('RAW DATA'!M:M,'RAW DATA'!B19, 'RAW DATA'!K:K)=0, "", SUMIF('RAW DATA'!M:M,'RAW DATA'!B19, 'RAW DATA'!K:K))</f>
        <v/>
      </c>
      <c r="J19" s="29" t="str">
        <f>IF('RAW DATA'!B19&lt;&gt;"",IF(OR('RAW DATA'!H19=1,'RAW DATA'!H19=2),1,IF(ISNUMBER(FIND("Medic",'RAW DATA'!E19)),1,"")),"")</f>
        <v/>
      </c>
      <c r="K19" s="29" t="str">
        <f>IF(AND('RAW DATA'!$B19&lt;&gt;"",'RAW DATA'!L19=1),1,"")</f>
        <v/>
      </c>
      <c r="L19" s="24" t="str">
        <f t="shared" si="1"/>
        <v/>
      </c>
    </row>
    <row r="20" spans="2:12" ht="14.45" x14ac:dyDescent="0.3">
      <c r="B20" s="1" t="str">
        <f>IF('RAW DATA'!$C20&lt;&gt;"",'RAW DATA'!$C20,"")</f>
        <v/>
      </c>
      <c r="C20" s="1" t="str">
        <f>IF('RAW DATA'!$D20&lt;&gt;"",'RAW DATA'!$D20,"")</f>
        <v/>
      </c>
      <c r="D20" s="1" t="str">
        <f>IF(AND($B19&lt;&gt;"", $B20=""), "TOTAL:", IF($D19="TOTAL:","VESSEL TARGET "&amp;'RAW DATA'!$E$2&amp;":",IF('RAW DATA'!$E20&lt;&gt;"",'RAW DATA'!$E20,"")))</f>
        <v/>
      </c>
      <c r="E20" s="29" t="str">
        <f t="shared" si="0"/>
        <v/>
      </c>
      <c r="F20" s="4" t="str">
        <f>IF($D19="TOTAL:",FIXED(ROUND(((SUM($F$4:$F18)/'RAW DATA'!$E$2)*100),1),1)&amp;"%",IF($D20="TOTAL:",SUM($F$4:$F19),IF(SUMIF('RAW DATA'!M:M,'RAW DATA'!B20,'RAW DATA'!H:H)=0,"",SUMIF('RAW DATA'!M:M,'RAW DATA'!B20,'RAW DATA'!H:H))))</f>
        <v/>
      </c>
      <c r="G20" s="4" t="str">
        <f>IF($D19="TOTAL:",FIXED(ROUND(((SUM($G$4:$G18)/'RAW DATA'!$E$2)*100),1),1)&amp;"%",IF($D20="TOTAL:",SUM($G$4:$G19),IF(SUMIF('RAW DATA'!M:M,'RAW DATA'!B20,'RAW DATA'!I:I)=0,"",SUMIF('RAW DATA'!M:M,'RAW DATA'!B20,'RAW DATA'!I:I))))</f>
        <v/>
      </c>
      <c r="H20" s="4" t="str">
        <f>IF(SUM(SUMIF('RAW DATA'!M:M,'RAW DATA'!B20,'RAW DATA'!J:J),SUMIF('RAW DATA'!N:N,'RAW DATA'!B20,'RAW DATA'!J:J),SUMIF('RAW DATA'!O:O,'RAW DATA'!B20,'RAW DATA'!J:J),SUMIF('RAW DATA'!P:P,'RAW DATA'!B20,'RAW DATA'!J:J))=0, "", SUM(SUMIF('RAW DATA'!M:M,'RAW DATA'!B20,'RAW DATA'!J:J),SUMIF('RAW DATA'!N:N,'RAW DATA'!B20,'RAW DATA'!J:J),SUMIF('RAW DATA'!O:O,'RAW DATA'!B20,'RAW DATA'!J:J),SUMIF('RAW DATA'!P:P,'RAW DATA'!B20,'RAW DATA'!J:J)))</f>
        <v/>
      </c>
      <c r="I20" s="4" t="str">
        <f>IF(SUMIF('RAW DATA'!M:M,'RAW DATA'!B20, 'RAW DATA'!K:K)=0, "", SUMIF('RAW DATA'!M:M,'RAW DATA'!B20, 'RAW DATA'!K:K))</f>
        <v/>
      </c>
      <c r="J20" s="29" t="str">
        <f>IF('RAW DATA'!B20&lt;&gt;"",IF(OR('RAW DATA'!H20=1,'RAW DATA'!H20=2),1,IF(ISNUMBER(FIND("Medic",'RAW DATA'!E20)),1,"")),"")</f>
        <v/>
      </c>
      <c r="K20" s="29" t="str">
        <f>IF(AND('RAW DATA'!$B20&lt;&gt;"",'RAW DATA'!L20=1),1,"")</f>
        <v/>
      </c>
      <c r="L20" s="24" t="str">
        <f t="shared" si="1"/>
        <v/>
      </c>
    </row>
    <row r="21" spans="2:12" ht="14.45" x14ac:dyDescent="0.3">
      <c r="B21" s="1" t="str">
        <f>IF('RAW DATA'!$C21&lt;&gt;"",'RAW DATA'!$C21,"")</f>
        <v/>
      </c>
      <c r="C21" s="1" t="str">
        <f>IF('RAW DATA'!$D21&lt;&gt;"",'RAW DATA'!$D21,"")</f>
        <v/>
      </c>
      <c r="D21" s="1" t="str">
        <f>IF(AND($B20&lt;&gt;"", $B21=""), "TOTAL:", IF($D20="TOTAL:","VESSEL TARGET "&amp;'RAW DATA'!$E$2&amp;":",IF('RAW DATA'!$E21&lt;&gt;"",'RAW DATA'!$E21,"")))</f>
        <v/>
      </c>
      <c r="E21" s="29" t="str">
        <f t="shared" si="0"/>
        <v/>
      </c>
      <c r="F21" s="4" t="str">
        <f>IF($D20="TOTAL:",FIXED(ROUND(((SUM($F$4:$F19)/'RAW DATA'!$E$2)*100),1),1)&amp;"%",IF($D21="TOTAL:",SUM($F$4:$F20),IF(SUMIF('RAW DATA'!M:M,'RAW DATA'!B21,'RAW DATA'!H:H)=0,"",SUMIF('RAW DATA'!M:M,'RAW DATA'!B21,'RAW DATA'!H:H))))</f>
        <v/>
      </c>
      <c r="G21" s="4" t="str">
        <f>IF($D20="TOTAL:",FIXED(ROUND(((SUM($G$4:$G19)/'RAW DATA'!$E$2)*100),1),1)&amp;"%",IF($D21="TOTAL:",SUM($G$4:$G20),IF(SUMIF('RAW DATA'!M:M,'RAW DATA'!B21,'RAW DATA'!I:I)=0,"",SUMIF('RAW DATA'!M:M,'RAW DATA'!B21,'RAW DATA'!I:I))))</f>
        <v/>
      </c>
      <c r="H21" s="4" t="str">
        <f>IF(SUM(SUMIF('RAW DATA'!M:M,'RAW DATA'!B21,'RAW DATA'!J:J),SUMIF('RAW DATA'!N:N,'RAW DATA'!B21,'RAW DATA'!J:J),SUMIF('RAW DATA'!O:O,'RAW DATA'!B21,'RAW DATA'!J:J),SUMIF('RAW DATA'!P:P,'RAW DATA'!B21,'RAW DATA'!J:J))=0, "", SUM(SUMIF('RAW DATA'!M:M,'RAW DATA'!B21,'RAW DATA'!J:J),SUMIF('RAW DATA'!N:N,'RAW DATA'!B21,'RAW DATA'!J:J),SUMIF('RAW DATA'!O:O,'RAW DATA'!B21,'RAW DATA'!J:J),SUMIF('RAW DATA'!P:P,'RAW DATA'!B21,'RAW DATA'!J:J)))</f>
        <v/>
      </c>
      <c r="I21" s="4" t="str">
        <f>IF(SUMIF('RAW DATA'!M:M,'RAW DATA'!B21, 'RAW DATA'!K:K)=0, "", SUMIF('RAW DATA'!M:M,'RAW DATA'!B21, 'RAW DATA'!K:K))</f>
        <v/>
      </c>
      <c r="J21" s="29" t="str">
        <f>IF('RAW DATA'!B21&lt;&gt;"",IF(OR('RAW DATA'!H21=1,'RAW DATA'!H21=2),1,IF(ISNUMBER(FIND("Medic",'RAW DATA'!E21)),1,"")),"")</f>
        <v/>
      </c>
      <c r="K21" s="29" t="str">
        <f>IF(AND('RAW DATA'!$B21&lt;&gt;"",'RAW DATA'!L21=1),1,"")</f>
        <v/>
      </c>
      <c r="L21" s="24" t="str">
        <f t="shared" si="1"/>
        <v/>
      </c>
    </row>
    <row r="22" spans="2:12" ht="14.45" x14ac:dyDescent="0.3">
      <c r="B22" s="1" t="str">
        <f>IF('RAW DATA'!$C22&lt;&gt;"",'RAW DATA'!$C22,"")</f>
        <v/>
      </c>
      <c r="C22" s="1" t="str">
        <f>IF('RAW DATA'!$D22&lt;&gt;"",'RAW DATA'!$D22,"")</f>
        <v/>
      </c>
      <c r="D22" s="1" t="str">
        <f>IF(AND($B21&lt;&gt;"", $B22=""), "TOTAL:", IF($D21="TOTAL:","VESSEL TARGET "&amp;'RAW DATA'!$E$2&amp;":",IF('RAW DATA'!$E22&lt;&gt;"",'RAW DATA'!$E22,"")))</f>
        <v/>
      </c>
      <c r="E22" s="29" t="str">
        <f t="shared" si="0"/>
        <v/>
      </c>
      <c r="F22" s="4" t="str">
        <f>IF($D21="TOTAL:",FIXED(ROUND(((SUM($F$4:$F20)/'RAW DATA'!$E$2)*100),1),1)&amp;"%",IF($D22="TOTAL:",SUM($F$4:$F21),IF(SUMIF('RAW DATA'!M:M,'RAW DATA'!B22,'RAW DATA'!H:H)=0,"",SUMIF('RAW DATA'!M:M,'RAW DATA'!B22,'RAW DATA'!H:H))))</f>
        <v/>
      </c>
      <c r="G22" s="4" t="str">
        <f>IF($D21="TOTAL:",FIXED(ROUND(((SUM($G$4:$G20)/'RAW DATA'!$E$2)*100),1),1)&amp;"%",IF($D22="TOTAL:",SUM($G$4:$G21),IF(SUMIF('RAW DATA'!M:M,'RAW DATA'!B22,'RAW DATA'!I:I)=0,"",SUMIF('RAW DATA'!M:M,'RAW DATA'!B22,'RAW DATA'!I:I))))</f>
        <v/>
      </c>
      <c r="H22" s="4" t="str">
        <f>IF(SUM(SUMIF('RAW DATA'!M:M,'RAW DATA'!B22,'RAW DATA'!J:J),SUMIF('RAW DATA'!N:N,'RAW DATA'!B22,'RAW DATA'!J:J),SUMIF('RAW DATA'!O:O,'RAW DATA'!B22,'RAW DATA'!J:J),SUMIF('RAW DATA'!P:P,'RAW DATA'!B22,'RAW DATA'!J:J))=0, "", SUM(SUMIF('RAW DATA'!M:M,'RAW DATA'!B22,'RAW DATA'!J:J),SUMIF('RAW DATA'!N:N,'RAW DATA'!B22,'RAW DATA'!J:J),SUMIF('RAW DATA'!O:O,'RAW DATA'!B22,'RAW DATA'!J:J),SUMIF('RAW DATA'!P:P,'RAW DATA'!B22,'RAW DATA'!J:J)))</f>
        <v/>
      </c>
      <c r="I22" s="4" t="str">
        <f>IF(SUMIF('RAW DATA'!M:M,'RAW DATA'!B22, 'RAW DATA'!K:K)=0, "", SUMIF('RAW DATA'!M:M,'RAW DATA'!B22, 'RAW DATA'!K:K))</f>
        <v/>
      </c>
      <c r="J22" s="29" t="str">
        <f>IF('RAW DATA'!B22&lt;&gt;"",IF(OR('RAW DATA'!H22=1,'RAW DATA'!H22=2),1,IF(ISNUMBER(FIND("Medic",'RAW DATA'!E22)),1,"")),"")</f>
        <v/>
      </c>
      <c r="K22" s="29" t="str">
        <f>IF(AND('RAW DATA'!$B22&lt;&gt;"",'RAW DATA'!L22=1),1,"")</f>
        <v/>
      </c>
      <c r="L22" s="24" t="str">
        <f t="shared" si="1"/>
        <v/>
      </c>
    </row>
    <row r="23" spans="2:12" ht="14.45" x14ac:dyDescent="0.3">
      <c r="B23" s="1" t="str">
        <f>IF('RAW DATA'!$C23&lt;&gt;"",'RAW DATA'!$C23,"")</f>
        <v/>
      </c>
      <c r="C23" s="1" t="str">
        <f>IF('RAW DATA'!$D23&lt;&gt;"",'RAW DATA'!$D23,"")</f>
        <v/>
      </c>
      <c r="D23" s="1" t="str">
        <f>IF(AND($B22&lt;&gt;"", $B23=""), "TOTAL:", IF($D22="TOTAL:","VESSEL TARGET "&amp;'RAW DATA'!$E$2&amp;":",IF('RAW DATA'!$E23&lt;&gt;"",'RAW DATA'!$E23,"")))</f>
        <v/>
      </c>
      <c r="E23" s="29" t="str">
        <f t="shared" si="0"/>
        <v/>
      </c>
      <c r="F23" s="4" t="str">
        <f>IF($D22="TOTAL:",FIXED(ROUND(((SUM($F$4:$F21)/'RAW DATA'!$E$2)*100),1),1)&amp;"%",IF($D23="TOTAL:",SUM($F$4:$F22),IF(SUMIF('RAW DATA'!M:M,'RAW DATA'!B23,'RAW DATA'!H:H)=0,"",SUMIF('RAW DATA'!M:M,'RAW DATA'!B23,'RAW DATA'!H:H))))</f>
        <v/>
      </c>
      <c r="G23" s="4" t="str">
        <f>IF($D22="TOTAL:",FIXED(ROUND(((SUM($G$4:$G21)/'RAW DATA'!$E$2)*100),1),1)&amp;"%",IF($D23="TOTAL:",SUM($G$4:$G22),IF(SUMIF('RAW DATA'!M:M,'RAW DATA'!B23,'RAW DATA'!I:I)=0,"",SUMIF('RAW DATA'!M:M,'RAW DATA'!B23,'RAW DATA'!I:I))))</f>
        <v/>
      </c>
      <c r="H23" s="4" t="str">
        <f>IF(SUM(SUMIF('RAW DATA'!M:M,'RAW DATA'!B23,'RAW DATA'!J:J),SUMIF('RAW DATA'!N:N,'RAW DATA'!B23,'RAW DATA'!J:J),SUMIF('RAW DATA'!O:O,'RAW DATA'!B23,'RAW DATA'!J:J),SUMIF('RAW DATA'!P:P,'RAW DATA'!B23,'RAW DATA'!J:J))=0, "", SUM(SUMIF('RAW DATA'!M:M,'RAW DATA'!B23,'RAW DATA'!J:J),SUMIF('RAW DATA'!N:N,'RAW DATA'!B23,'RAW DATA'!J:J),SUMIF('RAW DATA'!O:O,'RAW DATA'!B23,'RAW DATA'!J:J),SUMIF('RAW DATA'!P:P,'RAW DATA'!B23,'RAW DATA'!J:J)))</f>
        <v/>
      </c>
      <c r="I23" s="4" t="str">
        <f>IF(SUMIF('RAW DATA'!M:M,'RAW DATA'!B23, 'RAW DATA'!K:K)=0, "", SUMIF('RAW DATA'!M:M,'RAW DATA'!B23, 'RAW DATA'!K:K))</f>
        <v/>
      </c>
      <c r="J23" s="29" t="str">
        <f>IF('RAW DATA'!B23&lt;&gt;"",IF(OR('RAW DATA'!H23=1,'RAW DATA'!H23=2),1,IF(ISNUMBER(FIND("Medic",'RAW DATA'!E23)),1,"")),"")</f>
        <v/>
      </c>
      <c r="K23" s="29" t="str">
        <f>IF(AND('RAW DATA'!$B23&lt;&gt;"",'RAW DATA'!L23=1),1,"")</f>
        <v/>
      </c>
      <c r="L23" s="24" t="str">
        <f t="shared" si="1"/>
        <v/>
      </c>
    </row>
    <row r="24" spans="2:12" ht="14.45" x14ac:dyDescent="0.3">
      <c r="B24" s="1" t="str">
        <f>IF('RAW DATA'!$C24&lt;&gt;"",'RAW DATA'!$C24,"")</f>
        <v/>
      </c>
      <c r="C24" s="1" t="str">
        <f>IF('RAW DATA'!$D24&lt;&gt;"",'RAW DATA'!$D24,"")</f>
        <v/>
      </c>
      <c r="D24" s="1" t="str">
        <f>IF(AND($B23&lt;&gt;"", $B24=""), "TOTAL:", IF($D23="TOTAL:","VESSEL TARGET "&amp;'RAW DATA'!$E$2&amp;":",IF('RAW DATA'!$E24&lt;&gt;"",'RAW DATA'!$E24,"")))</f>
        <v/>
      </c>
      <c r="E24" s="29" t="str">
        <f t="shared" si="0"/>
        <v/>
      </c>
      <c r="F24" s="4" t="str">
        <f>IF($D23="TOTAL:",FIXED(ROUND(((SUM($F$4:$F22)/'RAW DATA'!$E$2)*100),1),1)&amp;"%",IF($D24="TOTAL:",SUM($F$4:$F23),IF(SUMIF('RAW DATA'!M:M,'RAW DATA'!B24,'RAW DATA'!H:H)=0,"",SUMIF('RAW DATA'!M:M,'RAW DATA'!B24,'RAW DATA'!H:H))))</f>
        <v/>
      </c>
      <c r="G24" s="4" t="str">
        <f>IF($D23="TOTAL:",FIXED(ROUND(((SUM($G$4:$G22)/'RAW DATA'!$E$2)*100),1),1)&amp;"%",IF($D24="TOTAL:",SUM($G$4:$G23),IF(SUMIF('RAW DATA'!M:M,'RAW DATA'!B24,'RAW DATA'!I:I)=0,"",SUMIF('RAW DATA'!M:M,'RAW DATA'!B24,'RAW DATA'!I:I))))</f>
        <v/>
      </c>
      <c r="H24" s="4" t="str">
        <f>IF(SUM(SUMIF('RAW DATA'!M:M,'RAW DATA'!B24,'RAW DATA'!J:J),SUMIF('RAW DATA'!N:N,'RAW DATA'!B24,'RAW DATA'!J:J),SUMIF('RAW DATA'!O:O,'RAW DATA'!B24,'RAW DATA'!J:J),SUMIF('RAW DATA'!P:P,'RAW DATA'!B24,'RAW DATA'!J:J))=0, "", SUM(SUMIF('RAW DATA'!M:M,'RAW DATA'!B24,'RAW DATA'!J:J),SUMIF('RAW DATA'!N:N,'RAW DATA'!B24,'RAW DATA'!J:J),SUMIF('RAW DATA'!O:O,'RAW DATA'!B24,'RAW DATA'!J:J),SUMIF('RAW DATA'!P:P,'RAW DATA'!B24,'RAW DATA'!J:J)))</f>
        <v/>
      </c>
      <c r="I24" s="4" t="str">
        <f>IF(SUMIF('RAW DATA'!M:M,'RAW DATA'!B24, 'RAW DATA'!K:K)=0, "", SUMIF('RAW DATA'!M:M,'RAW DATA'!B24, 'RAW DATA'!K:K))</f>
        <v/>
      </c>
      <c r="J24" s="29" t="str">
        <f>IF('RAW DATA'!B24&lt;&gt;"",IF(OR('RAW DATA'!H24=1,'RAW DATA'!H24=2),1,IF(ISNUMBER(FIND("Medic",'RAW DATA'!E24)),1,"")),"")</f>
        <v/>
      </c>
      <c r="K24" s="29" t="str">
        <f>IF(AND('RAW DATA'!$B24&lt;&gt;"",'RAW DATA'!L24=1),1,"")</f>
        <v/>
      </c>
      <c r="L24" s="24" t="str">
        <f t="shared" si="1"/>
        <v/>
      </c>
    </row>
    <row r="25" spans="2:12" ht="14.45" x14ac:dyDescent="0.3">
      <c r="B25" s="1" t="str">
        <f>IF('RAW DATA'!$C25&lt;&gt;"",'RAW DATA'!$C25,"")</f>
        <v/>
      </c>
      <c r="C25" s="1" t="str">
        <f>IF('RAW DATA'!$D25&lt;&gt;"",'RAW DATA'!$D25,"")</f>
        <v/>
      </c>
      <c r="D25" s="1" t="str">
        <f>IF(AND($B24&lt;&gt;"", $B25=""), "TOTAL:", IF($D24="TOTAL:","VESSEL TARGET "&amp;'RAW DATA'!$E$2&amp;":",IF('RAW DATA'!$E25&lt;&gt;"",'RAW DATA'!$E25,"")))</f>
        <v/>
      </c>
      <c r="E25" s="29" t="str">
        <f t="shared" si="0"/>
        <v/>
      </c>
      <c r="F25" s="4" t="str">
        <f>IF($D24="TOTAL:",FIXED(ROUND(((SUM($F$4:$F23)/'RAW DATA'!$E$2)*100),1),1)&amp;"%",IF($D25="TOTAL:",SUM($F$4:$F24),IF(SUMIF('RAW DATA'!M:M,'RAW DATA'!B25,'RAW DATA'!H:H)=0,"",SUMIF('RAW DATA'!M:M,'RAW DATA'!B25,'RAW DATA'!H:H))))</f>
        <v/>
      </c>
      <c r="G25" s="4" t="str">
        <f>IF($D24="TOTAL:",FIXED(ROUND(((SUM($G$4:$G23)/'RAW DATA'!$E$2)*100),1),1)&amp;"%",IF($D25="TOTAL:",SUM($G$4:$G24),IF(SUMIF('RAW DATA'!M:M,'RAW DATA'!B25,'RAW DATA'!I:I)=0,"",SUMIF('RAW DATA'!M:M,'RAW DATA'!B25,'RAW DATA'!I:I))))</f>
        <v/>
      </c>
      <c r="H25" s="4" t="str">
        <f>IF(SUM(SUMIF('RAW DATA'!M:M,'RAW DATA'!B25,'RAW DATA'!J:J),SUMIF('RAW DATA'!N:N,'RAW DATA'!B25,'RAW DATA'!J:J),SUMIF('RAW DATA'!O:O,'RAW DATA'!B25,'RAW DATA'!J:J),SUMIF('RAW DATA'!P:P,'RAW DATA'!B25,'RAW DATA'!J:J))=0, "", SUM(SUMIF('RAW DATA'!M:M,'RAW DATA'!B25,'RAW DATA'!J:J),SUMIF('RAW DATA'!N:N,'RAW DATA'!B25,'RAW DATA'!J:J),SUMIF('RAW DATA'!O:O,'RAW DATA'!B25,'RAW DATA'!J:J),SUMIF('RAW DATA'!P:P,'RAW DATA'!B25,'RAW DATA'!J:J)))</f>
        <v/>
      </c>
      <c r="I25" s="4" t="str">
        <f>IF(SUMIF('RAW DATA'!M:M,'RAW DATA'!B25, 'RAW DATA'!K:K)=0, "", SUMIF('RAW DATA'!M:M,'RAW DATA'!B25, 'RAW DATA'!K:K))</f>
        <v/>
      </c>
      <c r="J25" s="29" t="str">
        <f>IF('RAW DATA'!B25&lt;&gt;"",IF(OR('RAW DATA'!H25=1,'RAW DATA'!H25=2),1,IF(ISNUMBER(FIND("Medic",'RAW DATA'!E25)),1,"")),"")</f>
        <v/>
      </c>
      <c r="K25" s="29" t="str">
        <f>IF(AND('RAW DATA'!$B25&lt;&gt;"",'RAW DATA'!L25=1),1,"")</f>
        <v/>
      </c>
      <c r="L25" s="24" t="str">
        <f t="shared" si="1"/>
        <v/>
      </c>
    </row>
    <row r="26" spans="2:12" ht="14.45" x14ac:dyDescent="0.3">
      <c r="B26" s="1" t="str">
        <f>IF('RAW DATA'!$C26&lt;&gt;"",'RAW DATA'!$C26,"")</f>
        <v/>
      </c>
      <c r="C26" s="1" t="str">
        <f>IF('RAW DATA'!$D26&lt;&gt;"",'RAW DATA'!$D26,"")</f>
        <v/>
      </c>
      <c r="D26" s="1" t="str">
        <f>IF(AND($B25&lt;&gt;"", $B26=""), "TOTAL:", IF($D25="TOTAL:","VESSEL TARGET "&amp;'RAW DATA'!$E$2&amp;":",IF('RAW DATA'!$E26&lt;&gt;"",'RAW DATA'!$E26,"")))</f>
        <v/>
      </c>
      <c r="E26" s="29" t="str">
        <f t="shared" si="0"/>
        <v/>
      </c>
      <c r="F26" s="4" t="str">
        <f>IF($D25="TOTAL:",FIXED(ROUND(((SUM($F$4:$F24)/'RAW DATA'!$E$2)*100),1),1)&amp;"%",IF($D26="TOTAL:",SUM($F$4:$F25),IF(SUMIF('RAW DATA'!M:M,'RAW DATA'!B26,'RAW DATA'!H:H)=0,"",SUMIF('RAW DATA'!M:M,'RAW DATA'!B26,'RAW DATA'!H:H))))</f>
        <v/>
      </c>
      <c r="G26" s="4" t="str">
        <f>IF($D25="TOTAL:",FIXED(ROUND(((SUM($G$4:$G24)/'RAW DATA'!$E$2)*100),1),1)&amp;"%",IF($D26="TOTAL:",SUM($G$4:$G25),IF(SUMIF('RAW DATA'!M:M,'RAW DATA'!B26,'RAW DATA'!I:I)=0,"",SUMIF('RAW DATA'!M:M,'RAW DATA'!B26,'RAW DATA'!I:I))))</f>
        <v/>
      </c>
      <c r="H26" s="4" t="str">
        <f>IF(SUM(SUMIF('RAW DATA'!M:M,'RAW DATA'!B26,'RAW DATA'!J:J),SUMIF('RAW DATA'!N:N,'RAW DATA'!B26,'RAW DATA'!J:J),SUMIF('RAW DATA'!O:O,'RAW DATA'!B26,'RAW DATA'!J:J),SUMIF('RAW DATA'!P:P,'RAW DATA'!B26,'RAW DATA'!J:J))=0, "", SUM(SUMIF('RAW DATA'!M:M,'RAW DATA'!B26,'RAW DATA'!J:J),SUMIF('RAW DATA'!N:N,'RAW DATA'!B26,'RAW DATA'!J:J),SUMIF('RAW DATA'!O:O,'RAW DATA'!B26,'RAW DATA'!J:J),SUMIF('RAW DATA'!P:P,'RAW DATA'!B26,'RAW DATA'!J:J)))</f>
        <v/>
      </c>
      <c r="I26" s="4" t="str">
        <f>IF(SUMIF('RAW DATA'!M:M,'RAW DATA'!B26, 'RAW DATA'!K:K)=0, "", SUMIF('RAW DATA'!M:M,'RAW DATA'!B26, 'RAW DATA'!K:K))</f>
        <v/>
      </c>
      <c r="J26" s="29" t="str">
        <f>IF('RAW DATA'!B26&lt;&gt;"",IF(OR('RAW DATA'!H26=1,'RAW DATA'!H26=2),1,IF(ISNUMBER(FIND("Medic",'RAW DATA'!E26)),1,"")),"")</f>
        <v/>
      </c>
      <c r="K26" s="29" t="str">
        <f>IF(AND('RAW DATA'!$B26&lt;&gt;"",'RAW DATA'!L26=1),1,"")</f>
        <v/>
      </c>
      <c r="L26" s="24" t="str">
        <f t="shared" si="1"/>
        <v/>
      </c>
    </row>
    <row r="27" spans="2:12" ht="14.45" x14ac:dyDescent="0.3">
      <c r="B27" s="1" t="str">
        <f>IF('RAW DATA'!$C27&lt;&gt;"",'RAW DATA'!$C27,"")</f>
        <v/>
      </c>
      <c r="C27" s="1" t="str">
        <f>IF('RAW DATA'!$D27&lt;&gt;"",'RAW DATA'!$D27,"")</f>
        <v/>
      </c>
      <c r="D27" s="1" t="str">
        <f>IF(AND($B26&lt;&gt;"", $B27=""), "TOTAL:", IF($D26="TOTAL:","VESSEL TARGET "&amp;'RAW DATA'!$E$2&amp;":",IF('RAW DATA'!$E27&lt;&gt;"",'RAW DATA'!$E27,"")))</f>
        <v/>
      </c>
      <c r="E27" s="29" t="str">
        <f t="shared" si="0"/>
        <v/>
      </c>
      <c r="F27" s="4" t="str">
        <f>IF($D26="TOTAL:",FIXED(ROUND(((SUM($F$4:$F25)/'RAW DATA'!$E$2)*100),1),1)&amp;"%",IF($D27="TOTAL:",SUM($F$4:$F26),IF(SUMIF('RAW DATA'!M:M,'RAW DATA'!B27,'RAW DATA'!H:H)=0,"",SUMIF('RAW DATA'!M:M,'RAW DATA'!B27,'RAW DATA'!H:H))))</f>
        <v/>
      </c>
      <c r="G27" s="4" t="str">
        <f>IF($D26="TOTAL:",FIXED(ROUND(((SUM($G$4:$G25)/'RAW DATA'!$E$2)*100),1),1)&amp;"%",IF($D27="TOTAL:",SUM($G$4:$G26),IF(SUMIF('RAW DATA'!M:M,'RAW DATA'!B27,'RAW DATA'!I:I)=0,"",SUMIF('RAW DATA'!M:M,'RAW DATA'!B27,'RAW DATA'!I:I))))</f>
        <v/>
      </c>
      <c r="H27" s="4" t="str">
        <f>IF(SUM(SUMIF('RAW DATA'!M:M,'RAW DATA'!B27,'RAW DATA'!J:J),SUMIF('RAW DATA'!N:N,'RAW DATA'!B27,'RAW DATA'!J:J),SUMIF('RAW DATA'!O:O,'RAW DATA'!B27,'RAW DATA'!J:J),SUMIF('RAW DATA'!P:P,'RAW DATA'!B27,'RAW DATA'!J:J))=0, "", SUM(SUMIF('RAW DATA'!M:M,'RAW DATA'!B27,'RAW DATA'!J:J),SUMIF('RAW DATA'!N:N,'RAW DATA'!B27,'RAW DATA'!J:J),SUMIF('RAW DATA'!O:O,'RAW DATA'!B27,'RAW DATA'!J:J),SUMIF('RAW DATA'!P:P,'RAW DATA'!B27,'RAW DATA'!J:J)))</f>
        <v/>
      </c>
      <c r="I27" s="4" t="str">
        <f>IF(SUMIF('RAW DATA'!M:M,'RAW DATA'!B27, 'RAW DATA'!K:K)=0, "", SUMIF('RAW DATA'!M:M,'RAW DATA'!B27, 'RAW DATA'!K:K))</f>
        <v/>
      </c>
      <c r="J27" s="29" t="str">
        <f>IF('RAW DATA'!B27&lt;&gt;"",IF(OR('RAW DATA'!H27=1,'RAW DATA'!H27=2),1,IF(ISNUMBER(FIND("Medic",'RAW DATA'!E27)),1,"")),"")</f>
        <v/>
      </c>
      <c r="K27" s="29" t="str">
        <f>IF(AND('RAW DATA'!$B27&lt;&gt;"",'RAW DATA'!L27=1),1,"")</f>
        <v/>
      </c>
      <c r="L27" s="24" t="str">
        <f t="shared" si="1"/>
        <v/>
      </c>
    </row>
    <row r="28" spans="2:12" ht="14.45" x14ac:dyDescent="0.3">
      <c r="B28" s="1" t="str">
        <f>IF('RAW DATA'!$C28&lt;&gt;"",'RAW DATA'!$C28,"")</f>
        <v/>
      </c>
      <c r="C28" s="1" t="str">
        <f>IF('RAW DATA'!$D28&lt;&gt;"",'RAW DATA'!$D28,"")</f>
        <v/>
      </c>
      <c r="D28" s="1" t="str">
        <f>IF(AND($B27&lt;&gt;"", $B28=""), "TOTAL:", IF($D27="TOTAL:","VESSEL TARGET "&amp;'RAW DATA'!$E$2&amp;":",IF('RAW DATA'!$E28&lt;&gt;"",'RAW DATA'!$E28,"")))</f>
        <v/>
      </c>
      <c r="E28" s="29" t="str">
        <f t="shared" si="0"/>
        <v/>
      </c>
      <c r="F28" s="4" t="str">
        <f>IF($D27="TOTAL:",FIXED(ROUND(((SUM($F$4:$F26)/'RAW DATA'!$E$2)*100),1),1)&amp;"%",IF($D28="TOTAL:",SUM($F$4:$F27),IF(SUMIF('RAW DATA'!M:M,'RAW DATA'!B28,'RAW DATA'!H:H)=0,"",SUMIF('RAW DATA'!M:M,'RAW DATA'!B28,'RAW DATA'!H:H))))</f>
        <v/>
      </c>
      <c r="G28" s="4" t="str">
        <f>IF($D27="TOTAL:",FIXED(ROUND(((SUM($G$4:$G26)/'RAW DATA'!$E$2)*100),1),1)&amp;"%",IF($D28="TOTAL:",SUM($G$4:$G27),IF(SUMIF('RAW DATA'!M:M,'RAW DATA'!B28,'RAW DATA'!I:I)=0,"",SUMIF('RAW DATA'!M:M,'RAW DATA'!B28,'RAW DATA'!I:I))))</f>
        <v/>
      </c>
      <c r="H28" s="4" t="str">
        <f>IF(SUM(SUMIF('RAW DATA'!M:M,'RAW DATA'!B28,'RAW DATA'!J:J),SUMIF('RAW DATA'!N:N,'RAW DATA'!B28,'RAW DATA'!J:J),SUMIF('RAW DATA'!O:O,'RAW DATA'!B28,'RAW DATA'!J:J),SUMIF('RAW DATA'!P:P,'RAW DATA'!B28,'RAW DATA'!J:J))=0, "", SUM(SUMIF('RAW DATA'!M:M,'RAW DATA'!B28,'RAW DATA'!J:J),SUMIF('RAW DATA'!N:N,'RAW DATA'!B28,'RAW DATA'!J:J),SUMIF('RAW DATA'!O:O,'RAW DATA'!B28,'RAW DATA'!J:J),SUMIF('RAW DATA'!P:P,'RAW DATA'!B28,'RAW DATA'!J:J)))</f>
        <v/>
      </c>
      <c r="I28" s="4" t="str">
        <f>IF(SUMIF('RAW DATA'!M:M,'RAW DATA'!B28, 'RAW DATA'!K:K)=0, "", SUMIF('RAW DATA'!M:M,'RAW DATA'!B28, 'RAW DATA'!K:K))</f>
        <v/>
      </c>
      <c r="J28" s="29" t="str">
        <f>IF('RAW DATA'!B28&lt;&gt;"",IF(OR('RAW DATA'!H28=1,'RAW DATA'!H28=2),1,IF(ISNUMBER(FIND("Medic",'RAW DATA'!E28)),1,"")),"")</f>
        <v/>
      </c>
      <c r="K28" s="29" t="str">
        <f>IF(AND('RAW DATA'!$B28&lt;&gt;"",'RAW DATA'!L28=1),1,"")</f>
        <v/>
      </c>
      <c r="L28" s="24" t="str">
        <f t="shared" si="1"/>
        <v/>
      </c>
    </row>
    <row r="29" spans="2:12" ht="14.45" x14ac:dyDescent="0.3">
      <c r="B29" s="1" t="str">
        <f>IF('RAW DATA'!$C29&lt;&gt;"",'RAW DATA'!$C29,"")</f>
        <v/>
      </c>
      <c r="C29" s="1" t="str">
        <f>IF('RAW DATA'!$D29&lt;&gt;"",'RAW DATA'!$D29,"")</f>
        <v/>
      </c>
      <c r="D29" s="1" t="str">
        <f>IF(AND($B28&lt;&gt;"", $B29=""), "TOTAL:", IF($D28="TOTAL:","VESSEL TARGET "&amp;'RAW DATA'!$E$2&amp;":",IF('RAW DATA'!$E29&lt;&gt;"",'RAW DATA'!$E29,"")))</f>
        <v/>
      </c>
      <c r="E29" s="29" t="str">
        <f t="shared" si="0"/>
        <v/>
      </c>
      <c r="F29" s="4" t="str">
        <f>IF($D28="TOTAL:",FIXED(ROUND(((SUM($F$4:$F27)/'RAW DATA'!$E$2)*100),1),1)&amp;"%",IF($D29="TOTAL:",SUM($F$4:$F28),IF(SUMIF('RAW DATA'!M:M,'RAW DATA'!B29,'RAW DATA'!H:H)=0,"",SUMIF('RAW DATA'!M:M,'RAW DATA'!B29,'RAW DATA'!H:H))))</f>
        <v/>
      </c>
      <c r="G29" s="4" t="str">
        <f>IF($D28="TOTAL:",FIXED(ROUND(((SUM($G$4:$G27)/'RAW DATA'!$E$2)*100),1),1)&amp;"%",IF($D29="TOTAL:",SUM($G$4:$G28),IF(SUMIF('RAW DATA'!M:M,'RAW DATA'!B29,'RAW DATA'!I:I)=0,"",SUMIF('RAW DATA'!M:M,'RAW DATA'!B29,'RAW DATA'!I:I))))</f>
        <v/>
      </c>
      <c r="H29" s="4" t="str">
        <f>IF(SUM(SUMIF('RAW DATA'!M:M,'RAW DATA'!B29,'RAW DATA'!J:J),SUMIF('RAW DATA'!N:N,'RAW DATA'!B29,'RAW DATA'!J:J),SUMIF('RAW DATA'!O:O,'RAW DATA'!B29,'RAW DATA'!J:J),SUMIF('RAW DATA'!P:P,'RAW DATA'!B29,'RAW DATA'!J:J))=0, "", SUM(SUMIF('RAW DATA'!M:M,'RAW DATA'!B29,'RAW DATA'!J:J),SUMIF('RAW DATA'!N:N,'RAW DATA'!B29,'RAW DATA'!J:J),SUMIF('RAW DATA'!O:O,'RAW DATA'!B29,'RAW DATA'!J:J),SUMIF('RAW DATA'!P:P,'RAW DATA'!B29,'RAW DATA'!J:J)))</f>
        <v/>
      </c>
      <c r="I29" s="4" t="str">
        <f>IF(SUMIF('RAW DATA'!M:M,'RAW DATA'!B29, 'RAW DATA'!K:K)=0, "", SUMIF('RAW DATA'!M:M,'RAW DATA'!B29, 'RAW DATA'!K:K))</f>
        <v/>
      </c>
      <c r="J29" s="29" t="str">
        <f>IF('RAW DATA'!B29&lt;&gt;"",IF(OR('RAW DATA'!H29=1,'RAW DATA'!H29=2),1,IF(ISNUMBER(FIND("Medic",'RAW DATA'!E29)),1,"")),"")</f>
        <v/>
      </c>
      <c r="K29" s="29" t="str">
        <f>IF(AND('RAW DATA'!$B29&lt;&gt;"",'RAW DATA'!L29=1),1,"")</f>
        <v/>
      </c>
      <c r="L29" s="24" t="str">
        <f t="shared" si="1"/>
        <v/>
      </c>
    </row>
    <row r="30" spans="2:12" ht="14.45" x14ac:dyDescent="0.3">
      <c r="B30" s="1" t="str">
        <f>IF('RAW DATA'!$C30&lt;&gt;"",'RAW DATA'!$C30,"")</f>
        <v/>
      </c>
      <c r="C30" s="1" t="str">
        <f>IF('RAW DATA'!$D30&lt;&gt;"",'RAW DATA'!$D30,"")</f>
        <v/>
      </c>
      <c r="D30" s="1" t="str">
        <f>IF(AND($B29&lt;&gt;"", $B30=""), "TOTAL:", IF($D29="TOTAL:","VESSEL TARGET "&amp;'RAW DATA'!$E$2&amp;":",IF('RAW DATA'!$E30&lt;&gt;"",'RAW DATA'!$E30,"")))</f>
        <v/>
      </c>
      <c r="E30" s="29" t="str">
        <f t="shared" si="0"/>
        <v/>
      </c>
      <c r="F30" s="4" t="str">
        <f>IF($D29="TOTAL:",FIXED(ROUND(((SUM($F$4:$F28)/'RAW DATA'!$E$2)*100),1),1)&amp;"%",IF($D30="TOTAL:",SUM($F$4:$F29),IF(SUMIF('RAW DATA'!M:M,'RAW DATA'!B30,'RAW DATA'!H:H)=0,"",SUMIF('RAW DATA'!M:M,'RAW DATA'!B30,'RAW DATA'!H:H))))</f>
        <v/>
      </c>
      <c r="G30" s="4" t="str">
        <f>IF($D29="TOTAL:",FIXED(ROUND(((SUM($G$4:$G28)/'RAW DATA'!$E$2)*100),1),1)&amp;"%",IF($D30="TOTAL:",SUM($G$4:$G29),IF(SUMIF('RAW DATA'!M:M,'RAW DATA'!B30,'RAW DATA'!I:I)=0,"",SUMIF('RAW DATA'!M:M,'RAW DATA'!B30,'RAW DATA'!I:I))))</f>
        <v/>
      </c>
      <c r="H30" s="4" t="str">
        <f>IF(SUM(SUMIF('RAW DATA'!M:M,'RAW DATA'!B30,'RAW DATA'!J:J),SUMIF('RAW DATA'!N:N,'RAW DATA'!B30,'RAW DATA'!J:J),SUMIF('RAW DATA'!O:O,'RAW DATA'!B30,'RAW DATA'!J:J),SUMIF('RAW DATA'!P:P,'RAW DATA'!B30,'RAW DATA'!J:J))=0, "", SUM(SUMIF('RAW DATA'!M:M,'RAW DATA'!B30,'RAW DATA'!J:J),SUMIF('RAW DATA'!N:N,'RAW DATA'!B30,'RAW DATA'!J:J),SUMIF('RAW DATA'!O:O,'RAW DATA'!B30,'RAW DATA'!J:J),SUMIF('RAW DATA'!P:P,'RAW DATA'!B30,'RAW DATA'!J:J)))</f>
        <v/>
      </c>
      <c r="I30" s="4" t="str">
        <f>IF(SUMIF('RAW DATA'!M:M,'RAW DATA'!B30, 'RAW DATA'!K:K)=0, "", SUMIF('RAW DATA'!M:M,'RAW DATA'!B30, 'RAW DATA'!K:K))</f>
        <v/>
      </c>
      <c r="J30" s="29" t="str">
        <f>IF('RAW DATA'!B30&lt;&gt;"",IF(OR('RAW DATA'!H30=1,'RAW DATA'!H30=2),1,IF(ISNUMBER(FIND("Medic",'RAW DATA'!E30)),1,"")),"")</f>
        <v/>
      </c>
      <c r="K30" s="29" t="str">
        <f>IF(AND('RAW DATA'!$B30&lt;&gt;"",'RAW DATA'!L30=1),1,"")</f>
        <v/>
      </c>
      <c r="L30" s="24" t="str">
        <f t="shared" si="1"/>
        <v/>
      </c>
    </row>
    <row r="31" spans="2:12" ht="14.45" x14ac:dyDescent="0.3">
      <c r="B31" s="1" t="str">
        <f>IF('RAW DATA'!$C31&lt;&gt;"",'RAW DATA'!$C31,"")</f>
        <v/>
      </c>
      <c r="C31" s="1" t="str">
        <f>IF('RAW DATA'!$D31&lt;&gt;"",'RAW DATA'!$D31,"")</f>
        <v/>
      </c>
      <c r="D31" s="1" t="str">
        <f>IF(AND($B30&lt;&gt;"", $B31=""), "TOTAL:", IF($D30="TOTAL:","VESSEL TARGET "&amp;'RAW DATA'!$E$2&amp;":",IF('RAW DATA'!$E31&lt;&gt;"",'RAW DATA'!$E31,"")))</f>
        <v/>
      </c>
      <c r="E31" s="29" t="str">
        <f t="shared" si="0"/>
        <v/>
      </c>
      <c r="F31" s="4" t="str">
        <f>IF($D30="TOTAL:",FIXED(ROUND(((SUM($F$4:$F29)/'RAW DATA'!$E$2)*100),1),1)&amp;"%",IF($D31="TOTAL:",SUM($F$4:$F30),IF(SUMIF('RAW DATA'!M:M,'RAW DATA'!B31,'RAW DATA'!H:H)=0,"",SUMIF('RAW DATA'!M:M,'RAW DATA'!B31,'RAW DATA'!H:H))))</f>
        <v/>
      </c>
      <c r="G31" s="4" t="str">
        <f>IF($D30="TOTAL:",FIXED(ROUND(((SUM($G$4:$G29)/'RAW DATA'!$E$2)*100),1),1)&amp;"%",IF($D31="TOTAL:",SUM($G$4:$G30),IF(SUMIF('RAW DATA'!M:M,'RAW DATA'!B31,'RAW DATA'!I:I)=0,"",SUMIF('RAW DATA'!M:M,'RAW DATA'!B31,'RAW DATA'!I:I))))</f>
        <v/>
      </c>
      <c r="H31" s="4" t="str">
        <f>IF(SUM(SUMIF('RAW DATA'!M:M,'RAW DATA'!B31,'RAW DATA'!J:J),SUMIF('RAW DATA'!N:N,'RAW DATA'!B31,'RAW DATA'!J:J),SUMIF('RAW DATA'!O:O,'RAW DATA'!B31,'RAW DATA'!J:J),SUMIF('RAW DATA'!P:P,'RAW DATA'!B31,'RAW DATA'!J:J))=0, "", SUM(SUMIF('RAW DATA'!M:M,'RAW DATA'!B31,'RAW DATA'!J:J),SUMIF('RAW DATA'!N:N,'RAW DATA'!B31,'RAW DATA'!J:J),SUMIF('RAW DATA'!O:O,'RAW DATA'!B31,'RAW DATA'!J:J),SUMIF('RAW DATA'!P:P,'RAW DATA'!B31,'RAW DATA'!J:J)))</f>
        <v/>
      </c>
      <c r="I31" s="4" t="str">
        <f>IF(SUMIF('RAW DATA'!M:M,'RAW DATA'!B31, 'RAW DATA'!K:K)=0, "", SUMIF('RAW DATA'!M:M,'RAW DATA'!B31, 'RAW DATA'!K:K))</f>
        <v/>
      </c>
      <c r="J31" s="29" t="str">
        <f>IF('RAW DATA'!B31&lt;&gt;"",IF(OR('RAW DATA'!H31=1,'RAW DATA'!H31=2),1,IF(ISNUMBER(FIND("Medic",'RAW DATA'!E31)),1,"")),"")</f>
        <v/>
      </c>
      <c r="K31" s="29" t="str">
        <f>IF(AND('RAW DATA'!$B31&lt;&gt;"",'RAW DATA'!L31=1),1,"")</f>
        <v/>
      </c>
      <c r="L31" s="24" t="str">
        <f t="shared" si="1"/>
        <v/>
      </c>
    </row>
    <row r="32" spans="2:12" ht="14.45" x14ac:dyDescent="0.3">
      <c r="B32" s="1" t="str">
        <f>IF('RAW DATA'!$C32&lt;&gt;"",'RAW DATA'!$C32,"")</f>
        <v/>
      </c>
      <c r="C32" s="1" t="str">
        <f>IF('RAW DATA'!$D32&lt;&gt;"",'RAW DATA'!$D32,"")</f>
        <v/>
      </c>
      <c r="D32" s="1" t="str">
        <f>IF(AND($B31&lt;&gt;"", $B32=""), "TOTAL:", IF($D31="TOTAL:","VESSEL TARGET "&amp;'RAW DATA'!$E$2&amp;":",IF('RAW DATA'!$E32&lt;&gt;"",'RAW DATA'!$E32,"")))</f>
        <v/>
      </c>
      <c r="E32" s="29" t="str">
        <f t="shared" si="0"/>
        <v/>
      </c>
      <c r="F32" s="4" t="str">
        <f>IF($D31="TOTAL:",FIXED(ROUND(((SUM($F$4:$F30)/'RAW DATA'!$E$2)*100),1),1)&amp;"%",IF($D32="TOTAL:",SUM($F$4:$F31),IF(SUMIF('RAW DATA'!M:M,'RAW DATA'!B32,'RAW DATA'!H:H)=0,"",SUMIF('RAW DATA'!M:M,'RAW DATA'!B32,'RAW DATA'!H:H))))</f>
        <v/>
      </c>
      <c r="G32" s="4" t="str">
        <f>IF($D31="TOTAL:",FIXED(ROUND(((SUM($G$4:$G30)/'RAW DATA'!$E$2)*100),1),1)&amp;"%",IF($D32="TOTAL:",SUM($G$4:$G31),IF(SUMIF('RAW DATA'!M:M,'RAW DATA'!B32,'RAW DATA'!I:I)=0,"",SUMIF('RAW DATA'!M:M,'RAW DATA'!B32,'RAW DATA'!I:I))))</f>
        <v/>
      </c>
      <c r="H32" s="4" t="str">
        <f>IF(SUM(SUMIF('RAW DATA'!M:M,'RAW DATA'!B32,'RAW DATA'!J:J),SUMIF('RAW DATA'!N:N,'RAW DATA'!B32,'RAW DATA'!J:J),SUMIF('RAW DATA'!O:O,'RAW DATA'!B32,'RAW DATA'!J:J),SUMIF('RAW DATA'!P:P,'RAW DATA'!B32,'RAW DATA'!J:J))=0, "", SUM(SUMIF('RAW DATA'!M:M,'RAW DATA'!B32,'RAW DATA'!J:J),SUMIF('RAW DATA'!N:N,'RAW DATA'!B32,'RAW DATA'!J:J),SUMIF('RAW DATA'!O:O,'RAW DATA'!B32,'RAW DATA'!J:J),SUMIF('RAW DATA'!P:P,'RAW DATA'!B32,'RAW DATA'!J:J)))</f>
        <v/>
      </c>
      <c r="I32" s="4" t="str">
        <f>IF(SUMIF('RAW DATA'!M:M,'RAW DATA'!B32, 'RAW DATA'!K:K)=0, "", SUMIF('RAW DATA'!M:M,'RAW DATA'!B32, 'RAW DATA'!K:K))</f>
        <v/>
      </c>
      <c r="J32" s="29" t="str">
        <f>IF('RAW DATA'!B32&lt;&gt;"",IF(OR('RAW DATA'!H32=1,'RAW DATA'!H32=2),1,IF(ISNUMBER(FIND("Medic",'RAW DATA'!E32)),1,"")),"")</f>
        <v/>
      </c>
      <c r="K32" s="29" t="str">
        <f>IF(AND('RAW DATA'!$B32&lt;&gt;"",'RAW DATA'!L32=1),1,"")</f>
        <v/>
      </c>
      <c r="L32" s="24" t="str">
        <f t="shared" si="1"/>
        <v/>
      </c>
    </row>
    <row r="33" spans="2:12" ht="14.45" x14ac:dyDescent="0.3">
      <c r="B33" s="1" t="str">
        <f>IF('RAW DATA'!$C33&lt;&gt;"",'RAW DATA'!$C33,"")</f>
        <v/>
      </c>
      <c r="C33" s="1" t="str">
        <f>IF('RAW DATA'!$D33&lt;&gt;"",'RAW DATA'!$D33,"")</f>
        <v/>
      </c>
      <c r="D33" s="1" t="str">
        <f>IF(AND($B32&lt;&gt;"", $B33=""), "TOTAL:", IF($D32="TOTAL:","VESSEL TARGET "&amp;'RAW DATA'!$E$2&amp;":",IF('RAW DATA'!$E33&lt;&gt;"",'RAW DATA'!$E33,"")))</f>
        <v/>
      </c>
      <c r="E33" s="29" t="str">
        <f t="shared" si="0"/>
        <v/>
      </c>
      <c r="F33" s="4" t="str">
        <f>IF($D32="TOTAL:",FIXED(ROUND(((SUM($F$4:$F31)/'RAW DATA'!$E$2)*100),1),1)&amp;"%",IF($D33="TOTAL:",SUM($F$4:$F32),IF(SUMIF('RAW DATA'!M:M,'RAW DATA'!B33,'RAW DATA'!H:H)=0,"",SUMIF('RAW DATA'!M:M,'RAW DATA'!B33,'RAW DATA'!H:H))))</f>
        <v/>
      </c>
      <c r="G33" s="4" t="str">
        <f>IF($D32="TOTAL:",FIXED(ROUND(((SUM($G$4:$G31)/'RAW DATA'!$E$2)*100),1),1)&amp;"%",IF($D33="TOTAL:",SUM($G$4:$G32),IF(SUMIF('RAW DATA'!M:M,'RAW DATA'!B33,'RAW DATA'!I:I)=0,"",SUMIF('RAW DATA'!M:M,'RAW DATA'!B33,'RAW DATA'!I:I))))</f>
        <v/>
      </c>
      <c r="H33" s="4" t="str">
        <f>IF(SUM(SUMIF('RAW DATA'!M:M,'RAW DATA'!B33,'RAW DATA'!J:J),SUMIF('RAW DATA'!N:N,'RAW DATA'!B33,'RAW DATA'!J:J),SUMIF('RAW DATA'!O:O,'RAW DATA'!B33,'RAW DATA'!J:J),SUMIF('RAW DATA'!P:P,'RAW DATA'!B33,'RAW DATA'!J:J))=0, "", SUM(SUMIF('RAW DATA'!M:M,'RAW DATA'!B33,'RAW DATA'!J:J),SUMIF('RAW DATA'!N:N,'RAW DATA'!B33,'RAW DATA'!J:J),SUMIF('RAW DATA'!O:O,'RAW DATA'!B33,'RAW DATA'!J:J),SUMIF('RAW DATA'!P:P,'RAW DATA'!B33,'RAW DATA'!J:J)))</f>
        <v/>
      </c>
      <c r="I33" s="4" t="str">
        <f>IF(SUMIF('RAW DATA'!M:M,'RAW DATA'!B33, 'RAW DATA'!K:K)=0, "", SUMIF('RAW DATA'!M:M,'RAW DATA'!B33, 'RAW DATA'!K:K))</f>
        <v/>
      </c>
      <c r="J33" s="29" t="str">
        <f>IF('RAW DATA'!B33&lt;&gt;"",IF(OR('RAW DATA'!H33=1,'RAW DATA'!H33=2),1,IF(ISNUMBER(FIND("Medic",'RAW DATA'!E33)),1,"")),"")</f>
        <v/>
      </c>
      <c r="K33" s="29" t="str">
        <f>IF(AND('RAW DATA'!$B33&lt;&gt;"",'RAW DATA'!L33=1),1,"")</f>
        <v/>
      </c>
      <c r="L33" s="24" t="str">
        <f t="shared" si="1"/>
        <v/>
      </c>
    </row>
    <row r="34" spans="2:12" ht="14.45" x14ac:dyDescent="0.3">
      <c r="B34" s="1" t="str">
        <f>IF('RAW DATA'!$C34&lt;&gt;"",'RAW DATA'!$C34,"")</f>
        <v/>
      </c>
      <c r="C34" s="1" t="str">
        <f>IF('RAW DATA'!$D34&lt;&gt;"",'RAW DATA'!$D34,"")</f>
        <v/>
      </c>
      <c r="D34" s="1" t="str">
        <f>IF(AND($B33&lt;&gt;"", $B34=""), "TOTAL:", IF($D33="TOTAL:","VESSEL TARGET "&amp;'RAW DATA'!$E$2&amp;":",IF('RAW DATA'!$E34&lt;&gt;"",'RAW DATA'!$E34,"")))</f>
        <v/>
      </c>
      <c r="E34" s="29" t="str">
        <f t="shared" si="0"/>
        <v/>
      </c>
      <c r="F34" s="4" t="str">
        <f>IF($D33="TOTAL:",FIXED(ROUND(((SUM($F$4:$F32)/'RAW DATA'!$E$2)*100),1),1)&amp;"%",IF($D34="TOTAL:",SUM($F$4:$F33),IF(SUMIF('RAW DATA'!M:M,'RAW DATA'!B34,'RAW DATA'!H:H)=0,"",SUMIF('RAW DATA'!M:M,'RAW DATA'!B34,'RAW DATA'!H:H))))</f>
        <v/>
      </c>
      <c r="G34" s="4" t="str">
        <f>IF($D33="TOTAL:",FIXED(ROUND(((SUM($G$4:$G32)/'RAW DATA'!$E$2)*100),1),1)&amp;"%",IF($D34="TOTAL:",SUM($G$4:$G33),IF(SUMIF('RAW DATA'!M:M,'RAW DATA'!B34,'RAW DATA'!I:I)=0,"",SUMIF('RAW DATA'!M:M,'RAW DATA'!B34,'RAW DATA'!I:I))))</f>
        <v/>
      </c>
      <c r="H34" s="4" t="str">
        <f>IF(SUM(SUMIF('RAW DATA'!M:M,'RAW DATA'!B34,'RAW DATA'!J:J),SUMIF('RAW DATA'!N:N,'RAW DATA'!B34,'RAW DATA'!J:J),SUMIF('RAW DATA'!O:O,'RAW DATA'!B34,'RAW DATA'!J:J),SUMIF('RAW DATA'!P:P,'RAW DATA'!B34,'RAW DATA'!J:J))=0, "", SUM(SUMIF('RAW DATA'!M:M,'RAW DATA'!B34,'RAW DATA'!J:J),SUMIF('RAW DATA'!N:N,'RAW DATA'!B34,'RAW DATA'!J:J),SUMIF('RAW DATA'!O:O,'RAW DATA'!B34,'RAW DATA'!J:J),SUMIF('RAW DATA'!P:P,'RAW DATA'!B34,'RAW DATA'!J:J)))</f>
        <v/>
      </c>
      <c r="I34" s="4" t="str">
        <f>IF(SUMIF('RAW DATA'!M:M,'RAW DATA'!B34, 'RAW DATA'!K:K)=0, "", SUMIF('RAW DATA'!M:M,'RAW DATA'!B34, 'RAW DATA'!K:K))</f>
        <v/>
      </c>
      <c r="J34" s="29" t="str">
        <f>IF('RAW DATA'!B34&lt;&gt;"",IF(OR('RAW DATA'!H34=1,'RAW DATA'!H34=2),1,IF(ISNUMBER(FIND("Medic",'RAW DATA'!E34)),1,"")),"")</f>
        <v/>
      </c>
      <c r="K34" s="29" t="str">
        <f>IF(AND('RAW DATA'!$B34&lt;&gt;"",'RAW DATA'!L34=1),1,"")</f>
        <v/>
      </c>
      <c r="L34" s="24" t="str">
        <f t="shared" si="1"/>
        <v/>
      </c>
    </row>
    <row r="35" spans="2:12" ht="14.45" x14ac:dyDescent="0.3">
      <c r="B35" s="1" t="str">
        <f>IF('RAW DATA'!$C35&lt;&gt;"",'RAW DATA'!$C35,"")</f>
        <v/>
      </c>
      <c r="C35" s="1" t="str">
        <f>IF('RAW DATA'!$D35&lt;&gt;"",'RAW DATA'!$D35,"")</f>
        <v/>
      </c>
      <c r="D35" s="1" t="str">
        <f>IF(AND($B34&lt;&gt;"", $B35=""), "TOTAL:", IF($D34="TOTAL:","VESSEL TARGET "&amp;'RAW DATA'!$E$2&amp;":",IF('RAW DATA'!$E35&lt;&gt;"",'RAW DATA'!$E35,"")))</f>
        <v/>
      </c>
      <c r="E35" s="29" t="str">
        <f t="shared" si="0"/>
        <v/>
      </c>
      <c r="F35" s="4" t="str">
        <f>IF($D34="TOTAL:",FIXED(ROUND(((SUM($F$4:$F33)/'RAW DATA'!$E$2)*100),1),1)&amp;"%",IF($D35="TOTAL:",SUM($F$4:$F34),IF(SUMIF('RAW DATA'!M:M,'RAW DATA'!B35,'RAW DATA'!H:H)=0,"",SUMIF('RAW DATA'!M:M,'RAW DATA'!B35,'RAW DATA'!H:H))))</f>
        <v/>
      </c>
      <c r="G35" s="4" t="str">
        <f>IF($D34="TOTAL:",FIXED(ROUND(((SUM($G$4:$G33)/'RAW DATA'!$E$2)*100),1),1)&amp;"%",IF($D35="TOTAL:",SUM($G$4:$G34),IF(SUMIF('RAW DATA'!M:M,'RAW DATA'!B35,'RAW DATA'!I:I)=0,"",SUMIF('RAW DATA'!M:M,'RAW DATA'!B35,'RAW DATA'!I:I))))</f>
        <v/>
      </c>
      <c r="H35" s="4" t="str">
        <f>IF(SUM(SUMIF('RAW DATA'!M:M,'RAW DATA'!B35,'RAW DATA'!J:J),SUMIF('RAW DATA'!N:N,'RAW DATA'!B35,'RAW DATA'!J:J),SUMIF('RAW DATA'!O:O,'RAW DATA'!B35,'RAW DATA'!J:J),SUMIF('RAW DATA'!P:P,'RAW DATA'!B35,'RAW DATA'!J:J))=0, "", SUM(SUMIF('RAW DATA'!M:M,'RAW DATA'!B35,'RAW DATA'!J:J),SUMIF('RAW DATA'!N:N,'RAW DATA'!B35,'RAW DATA'!J:J),SUMIF('RAW DATA'!O:O,'RAW DATA'!B35,'RAW DATA'!J:J),SUMIF('RAW DATA'!P:P,'RAW DATA'!B35,'RAW DATA'!J:J)))</f>
        <v/>
      </c>
      <c r="I35" s="4" t="str">
        <f>IF(SUMIF('RAW DATA'!M:M,'RAW DATA'!B35, 'RAW DATA'!K:K)=0, "", SUMIF('RAW DATA'!M:M,'RAW DATA'!B35, 'RAW DATA'!K:K))</f>
        <v/>
      </c>
      <c r="J35" s="29" t="str">
        <f>IF('RAW DATA'!B35&lt;&gt;"",IF(OR('RAW DATA'!H35=1,'RAW DATA'!H35=2),1,IF(ISNUMBER(FIND("Medic",'RAW DATA'!E35)),1,"")),"")</f>
        <v/>
      </c>
      <c r="K35" s="29" t="str">
        <f>IF(AND('RAW DATA'!$B35&lt;&gt;"",'RAW DATA'!L35=1),1,"")</f>
        <v/>
      </c>
      <c r="L35" s="24" t="str">
        <f t="shared" si="1"/>
        <v/>
      </c>
    </row>
    <row r="36" spans="2:12" ht="14.45" x14ac:dyDescent="0.3">
      <c r="B36" s="1" t="str">
        <f>IF('RAW DATA'!$C36&lt;&gt;"",'RAW DATA'!$C36,"")</f>
        <v/>
      </c>
      <c r="C36" s="1" t="str">
        <f>IF('RAW DATA'!$D36&lt;&gt;"",'RAW DATA'!$D36,"")</f>
        <v/>
      </c>
      <c r="D36" s="1" t="str">
        <f>IF(AND($B35&lt;&gt;"", $B36=""), "TOTAL:", IF($D35="TOTAL:","VESSEL TARGET "&amp;'RAW DATA'!$E$2&amp;":",IF('RAW DATA'!$E36&lt;&gt;"",'RAW DATA'!$E36,"")))</f>
        <v/>
      </c>
      <c r="E36" s="29" t="str">
        <f t="shared" si="0"/>
        <v/>
      </c>
      <c r="F36" s="4" t="str">
        <f>IF($D35="TOTAL:",FIXED(ROUND(((SUM($F$4:$F34)/'RAW DATA'!$E$2)*100),1),1)&amp;"%",IF($D36="TOTAL:",SUM($F$4:$F35),IF(SUMIF('RAW DATA'!M:M,'RAW DATA'!B36,'RAW DATA'!H:H)=0,"",SUMIF('RAW DATA'!M:M,'RAW DATA'!B36,'RAW DATA'!H:H))))</f>
        <v/>
      </c>
      <c r="G36" s="4" t="str">
        <f>IF($D35="TOTAL:",FIXED(ROUND(((SUM($G$4:$G34)/'RAW DATA'!$E$2)*100),1),1)&amp;"%",IF($D36="TOTAL:",SUM($G$4:$G35),IF(SUMIF('RAW DATA'!M:M,'RAW DATA'!B36,'RAW DATA'!I:I)=0,"",SUMIF('RAW DATA'!M:M,'RAW DATA'!B36,'RAW DATA'!I:I))))</f>
        <v/>
      </c>
      <c r="H36" s="4" t="str">
        <f>IF(SUM(SUMIF('RAW DATA'!M:M,'RAW DATA'!B36,'RAW DATA'!J:J),SUMIF('RAW DATA'!N:N,'RAW DATA'!B36,'RAW DATA'!J:J),SUMIF('RAW DATA'!O:O,'RAW DATA'!B36,'RAW DATA'!J:J),SUMIF('RAW DATA'!P:P,'RAW DATA'!B36,'RAW DATA'!J:J))=0, "", SUM(SUMIF('RAW DATA'!M:M,'RAW DATA'!B36,'RAW DATA'!J:J),SUMIF('RAW DATA'!N:N,'RAW DATA'!B36,'RAW DATA'!J:J),SUMIF('RAW DATA'!O:O,'RAW DATA'!B36,'RAW DATA'!J:J),SUMIF('RAW DATA'!P:P,'RAW DATA'!B36,'RAW DATA'!J:J)))</f>
        <v/>
      </c>
      <c r="I36" s="4" t="str">
        <f>IF(SUMIF('RAW DATA'!M:M,'RAW DATA'!B36, 'RAW DATA'!K:K)=0, "", SUMIF('RAW DATA'!M:M,'RAW DATA'!B36, 'RAW DATA'!K:K))</f>
        <v/>
      </c>
      <c r="J36" s="29" t="str">
        <f>IF('RAW DATA'!B36&lt;&gt;"",IF(OR('RAW DATA'!H36=1,'RAW DATA'!H36=2),1,IF(ISNUMBER(FIND("Medic",'RAW DATA'!E36)),1,"")),"")</f>
        <v/>
      </c>
      <c r="K36" s="29" t="str">
        <f>IF(AND('RAW DATA'!$B36&lt;&gt;"",'RAW DATA'!L36=1),1,"")</f>
        <v/>
      </c>
      <c r="L36" s="24" t="str">
        <f t="shared" si="1"/>
        <v/>
      </c>
    </row>
    <row r="37" spans="2:12" ht="14.45" x14ac:dyDescent="0.3">
      <c r="B37" s="1" t="str">
        <f>IF('RAW DATA'!$C37&lt;&gt;"",'RAW DATA'!$C37,"")</f>
        <v/>
      </c>
      <c r="C37" s="1" t="str">
        <f>IF('RAW DATA'!$D37&lt;&gt;"",'RAW DATA'!$D37,"")</f>
        <v/>
      </c>
      <c r="D37" s="1" t="str">
        <f>IF(AND($B36&lt;&gt;"", $B37=""), "TOTAL:", IF($D36="TOTAL:","VESSEL TARGET "&amp;'RAW DATA'!$E$2&amp;":",IF('RAW DATA'!$E37&lt;&gt;"",'RAW DATA'!$E37,"")))</f>
        <v/>
      </c>
      <c r="E37" s="29" t="str">
        <f t="shared" si="0"/>
        <v/>
      </c>
      <c r="F37" s="4" t="str">
        <f>IF($D36="TOTAL:",FIXED(ROUND(((SUM($F$4:$F35)/'RAW DATA'!$E$2)*100),1),1)&amp;"%",IF($D37="TOTAL:",SUM($F$4:$F36),IF(SUMIF('RAW DATA'!M:M,'RAW DATA'!B37,'RAW DATA'!H:H)=0,"",SUMIF('RAW DATA'!M:M,'RAW DATA'!B37,'RAW DATA'!H:H))))</f>
        <v/>
      </c>
      <c r="G37" s="4" t="str">
        <f>IF($D36="TOTAL:",FIXED(ROUND(((SUM($G$4:$G35)/'RAW DATA'!$E$2)*100),1),1)&amp;"%",IF($D37="TOTAL:",SUM($G$4:$G36),IF(SUMIF('RAW DATA'!M:M,'RAW DATA'!B37,'RAW DATA'!I:I)=0,"",SUMIF('RAW DATA'!M:M,'RAW DATA'!B37,'RAW DATA'!I:I))))</f>
        <v/>
      </c>
      <c r="H37" s="4" t="str">
        <f>IF(SUM(SUMIF('RAW DATA'!M:M,'RAW DATA'!B37,'RAW DATA'!J:J),SUMIF('RAW DATA'!N:N,'RAW DATA'!B37,'RAW DATA'!J:J),SUMIF('RAW DATA'!O:O,'RAW DATA'!B37,'RAW DATA'!J:J),SUMIF('RAW DATA'!P:P,'RAW DATA'!B37,'RAW DATA'!J:J))=0, "", SUM(SUMIF('RAW DATA'!M:M,'RAW DATA'!B37,'RAW DATA'!J:J),SUMIF('RAW DATA'!N:N,'RAW DATA'!B37,'RAW DATA'!J:J),SUMIF('RAW DATA'!O:O,'RAW DATA'!B37,'RAW DATA'!J:J),SUMIF('RAW DATA'!P:P,'RAW DATA'!B37,'RAW DATA'!J:J)))</f>
        <v/>
      </c>
      <c r="I37" s="4" t="str">
        <f>IF(SUMIF('RAW DATA'!M:M,'RAW DATA'!B37, 'RAW DATA'!K:K)=0, "", SUMIF('RAW DATA'!M:M,'RAW DATA'!B37, 'RAW DATA'!K:K))</f>
        <v/>
      </c>
      <c r="J37" s="29" t="str">
        <f>IF('RAW DATA'!B37&lt;&gt;"",IF(OR('RAW DATA'!H37=1,'RAW DATA'!H37=2),1,IF(ISNUMBER(FIND("Medic",'RAW DATA'!E37)),1,"")),"")</f>
        <v/>
      </c>
      <c r="K37" s="29" t="str">
        <f>IF(AND('RAW DATA'!$B37&lt;&gt;"",'RAW DATA'!L37=1),1,"")</f>
        <v/>
      </c>
      <c r="L37" s="24" t="str">
        <f t="shared" si="1"/>
        <v/>
      </c>
    </row>
    <row r="38" spans="2:12" ht="14.45" x14ac:dyDescent="0.3">
      <c r="B38" s="1" t="str">
        <f>IF('RAW DATA'!$C38&lt;&gt;"",'RAW DATA'!$C38,"")</f>
        <v/>
      </c>
      <c r="C38" s="1" t="str">
        <f>IF('RAW DATA'!$D38&lt;&gt;"",'RAW DATA'!$D38,"")</f>
        <v/>
      </c>
      <c r="D38" s="1" t="str">
        <f>IF(AND($B37&lt;&gt;"", $B38=""), "TOTAL:", IF($D37="TOTAL:","VESSEL TARGET "&amp;'RAW DATA'!$E$2&amp;":",IF('RAW DATA'!$E38&lt;&gt;"",'RAW DATA'!$E38,"")))</f>
        <v/>
      </c>
      <c r="E38" s="29" t="str">
        <f t="shared" si="0"/>
        <v/>
      </c>
      <c r="F38" s="4" t="str">
        <f>IF($D37="TOTAL:",FIXED(ROUND(((SUM($F$4:$F36)/'RAW DATA'!$E$2)*100),1),1)&amp;"%",IF($D38="TOTAL:",SUM($F$4:$F37),IF(SUMIF('RAW DATA'!M:M,'RAW DATA'!B38,'RAW DATA'!H:H)=0,"",SUMIF('RAW DATA'!M:M,'RAW DATA'!B38,'RAW DATA'!H:H))))</f>
        <v/>
      </c>
      <c r="G38" s="4" t="str">
        <f>IF($D37="TOTAL:",FIXED(ROUND(((SUM($G$4:$G36)/'RAW DATA'!$E$2)*100),1),1)&amp;"%",IF($D38="TOTAL:",SUM($G$4:$G37),IF(SUMIF('RAW DATA'!M:M,'RAW DATA'!B38,'RAW DATA'!I:I)=0,"",SUMIF('RAW DATA'!M:M,'RAW DATA'!B38,'RAW DATA'!I:I))))</f>
        <v/>
      </c>
      <c r="H38" s="4" t="str">
        <f>IF(SUM(SUMIF('RAW DATA'!M:M,'RAW DATA'!B38,'RAW DATA'!J:J),SUMIF('RAW DATA'!N:N,'RAW DATA'!B38,'RAW DATA'!J:J),SUMIF('RAW DATA'!O:O,'RAW DATA'!B38,'RAW DATA'!J:J),SUMIF('RAW DATA'!P:P,'RAW DATA'!B38,'RAW DATA'!J:J))=0, "", SUM(SUMIF('RAW DATA'!M:M,'RAW DATA'!B38,'RAW DATA'!J:J),SUMIF('RAW DATA'!N:N,'RAW DATA'!B38,'RAW DATA'!J:J),SUMIF('RAW DATA'!O:O,'RAW DATA'!B38,'RAW DATA'!J:J),SUMIF('RAW DATA'!P:P,'RAW DATA'!B38,'RAW DATA'!J:J)))</f>
        <v/>
      </c>
      <c r="I38" s="4" t="str">
        <f>IF(SUMIF('RAW DATA'!M:M,'RAW DATA'!B38, 'RAW DATA'!K:K)=0, "", SUMIF('RAW DATA'!M:M,'RAW DATA'!B38, 'RAW DATA'!K:K))</f>
        <v/>
      </c>
      <c r="J38" s="29" t="str">
        <f>IF('RAW DATA'!B38&lt;&gt;"",IF(OR('RAW DATA'!H38=1,'RAW DATA'!H38=2),1,IF(ISNUMBER(FIND("Medic",'RAW DATA'!E38)),1,"")),"")</f>
        <v/>
      </c>
      <c r="K38" s="29" t="str">
        <f>IF(AND('RAW DATA'!$B38&lt;&gt;"",'RAW DATA'!L38=1),1,"")</f>
        <v/>
      </c>
      <c r="L38" s="24" t="str">
        <f t="shared" si="1"/>
        <v/>
      </c>
    </row>
    <row r="39" spans="2:12" ht="14.45" x14ac:dyDescent="0.3">
      <c r="B39" s="1" t="str">
        <f>IF('RAW DATA'!$C39&lt;&gt;"",'RAW DATA'!$C39,"")</f>
        <v/>
      </c>
      <c r="C39" s="1" t="str">
        <f>IF('RAW DATA'!$D39&lt;&gt;"",'RAW DATA'!$D39,"")</f>
        <v/>
      </c>
      <c r="D39" s="1" t="str">
        <f>IF(AND($B38&lt;&gt;"", $B39=""), "TOTAL:", IF($D38="TOTAL:","VESSEL TARGET "&amp;'RAW DATA'!$E$2&amp;":",IF('RAW DATA'!$E39&lt;&gt;"",'RAW DATA'!$E39,"")))</f>
        <v/>
      </c>
      <c r="E39" s="29" t="str">
        <f t="shared" si="0"/>
        <v/>
      </c>
      <c r="F39" s="4" t="str">
        <f>IF($D38="TOTAL:",FIXED(ROUND(((SUM($F$4:$F37)/'RAW DATA'!$E$2)*100),1),1)&amp;"%",IF($D39="TOTAL:",SUM($F$4:$F38),IF(SUMIF('RAW DATA'!M:M,'RAW DATA'!B39,'RAW DATA'!H:H)=0,"",SUMIF('RAW DATA'!M:M,'RAW DATA'!B39,'RAW DATA'!H:H))))</f>
        <v/>
      </c>
      <c r="G39" s="4" t="str">
        <f>IF($D38="TOTAL:",FIXED(ROUND(((SUM($G$4:$G37)/'RAW DATA'!$E$2)*100),1),1)&amp;"%",IF($D39="TOTAL:",SUM($G$4:$G38),IF(SUMIF('RAW DATA'!M:M,'RAW DATA'!B39,'RAW DATA'!I:I)=0,"",SUMIF('RAW DATA'!M:M,'RAW DATA'!B39,'RAW DATA'!I:I))))</f>
        <v/>
      </c>
      <c r="H39" s="4" t="str">
        <f>IF(SUM(SUMIF('RAW DATA'!M:M,'RAW DATA'!B39,'RAW DATA'!J:J),SUMIF('RAW DATA'!N:N,'RAW DATA'!B39,'RAW DATA'!J:J),SUMIF('RAW DATA'!O:O,'RAW DATA'!B39,'RAW DATA'!J:J),SUMIF('RAW DATA'!P:P,'RAW DATA'!B39,'RAW DATA'!J:J))=0, "", SUM(SUMIF('RAW DATA'!M:M,'RAW DATA'!B39,'RAW DATA'!J:J),SUMIF('RAW DATA'!N:N,'RAW DATA'!B39,'RAW DATA'!J:J),SUMIF('RAW DATA'!O:O,'RAW DATA'!B39,'RAW DATA'!J:J),SUMIF('RAW DATA'!P:P,'RAW DATA'!B39,'RAW DATA'!J:J)))</f>
        <v/>
      </c>
      <c r="I39" s="4" t="str">
        <f>IF(SUMIF('RAW DATA'!M:M,'RAW DATA'!B39, 'RAW DATA'!K:K)=0, "", SUMIF('RAW DATA'!M:M,'RAW DATA'!B39, 'RAW DATA'!K:K))</f>
        <v/>
      </c>
      <c r="J39" s="29" t="str">
        <f>IF('RAW DATA'!B39&lt;&gt;"",IF(OR('RAW DATA'!H39=1,'RAW DATA'!H39=2),1,IF(ISNUMBER(FIND("Medic",'RAW DATA'!E39)),1,"")),"")</f>
        <v/>
      </c>
      <c r="K39" s="29" t="str">
        <f>IF(AND('RAW DATA'!$B39&lt;&gt;"",'RAW DATA'!L39=1),1,"")</f>
        <v/>
      </c>
      <c r="L39" s="24" t="str">
        <f t="shared" si="1"/>
        <v/>
      </c>
    </row>
    <row r="40" spans="2:12" ht="14.45" x14ac:dyDescent="0.3">
      <c r="B40" s="1" t="str">
        <f>IF('RAW DATA'!$C40&lt;&gt;"",'RAW DATA'!$C40,"")</f>
        <v/>
      </c>
      <c r="C40" s="1" t="str">
        <f>IF('RAW DATA'!$D40&lt;&gt;"",'RAW DATA'!$D40,"")</f>
        <v/>
      </c>
      <c r="D40" s="1" t="str">
        <f>IF(AND($B39&lt;&gt;"", $B40=""), "TOTAL:", IF($D39="TOTAL:","VESSEL TARGET "&amp;'RAW DATA'!$E$2&amp;":",IF('RAW DATA'!$E40&lt;&gt;"",'RAW DATA'!$E40,"")))</f>
        <v/>
      </c>
      <c r="E40" s="29" t="str">
        <f t="shared" si="0"/>
        <v/>
      </c>
      <c r="F40" s="4" t="str">
        <f>IF($D39="TOTAL:",FIXED(ROUND(((SUM($F$4:$F38)/'RAW DATA'!$E$2)*100),1),1)&amp;"%",IF($D40="TOTAL:",SUM($F$4:$F39),IF(SUMIF('RAW DATA'!M:M,'RAW DATA'!B40,'RAW DATA'!H:H)=0,"",SUMIF('RAW DATA'!M:M,'RAW DATA'!B40,'RAW DATA'!H:H))))</f>
        <v/>
      </c>
      <c r="G40" s="4" t="str">
        <f>IF($D39="TOTAL:",FIXED(ROUND(((SUM($G$4:$G38)/'RAW DATA'!$E$2)*100),1),1)&amp;"%",IF($D40="TOTAL:",SUM($G$4:$G39),IF(SUMIF('RAW DATA'!M:M,'RAW DATA'!B40,'RAW DATA'!I:I)=0,"",SUMIF('RAW DATA'!M:M,'RAW DATA'!B40,'RAW DATA'!I:I))))</f>
        <v/>
      </c>
      <c r="H40" s="4" t="str">
        <f>IF(SUM(SUMIF('RAW DATA'!M:M,'RAW DATA'!B40,'RAW DATA'!J:J),SUMIF('RAW DATA'!N:N,'RAW DATA'!B40,'RAW DATA'!J:J),SUMIF('RAW DATA'!O:O,'RAW DATA'!B40,'RAW DATA'!J:J),SUMIF('RAW DATA'!P:P,'RAW DATA'!B40,'RAW DATA'!J:J))=0, "", SUM(SUMIF('RAW DATA'!M:M,'RAW DATA'!B40,'RAW DATA'!J:J),SUMIF('RAW DATA'!N:N,'RAW DATA'!B40,'RAW DATA'!J:J),SUMIF('RAW DATA'!O:O,'RAW DATA'!B40,'RAW DATA'!J:J),SUMIF('RAW DATA'!P:P,'RAW DATA'!B40,'RAW DATA'!J:J)))</f>
        <v/>
      </c>
      <c r="I40" s="4" t="str">
        <f>IF(SUMIF('RAW DATA'!M:M,'RAW DATA'!B40, 'RAW DATA'!K:K)=0, "", SUMIF('RAW DATA'!M:M,'RAW DATA'!B40, 'RAW DATA'!K:K))</f>
        <v/>
      </c>
      <c r="J40" s="29" t="str">
        <f>IF('RAW DATA'!B40&lt;&gt;"",IF(OR('RAW DATA'!H40=1,'RAW DATA'!H40=2),1,IF(ISNUMBER(FIND("Medic",'RAW DATA'!E40)),1,"")),"")</f>
        <v/>
      </c>
      <c r="K40" s="29" t="str">
        <f>IF(AND('RAW DATA'!$B40&lt;&gt;"",'RAW DATA'!L40=1),1,"")</f>
        <v/>
      </c>
      <c r="L40" s="24" t="str">
        <f t="shared" si="1"/>
        <v/>
      </c>
    </row>
    <row r="41" spans="2:12" ht="14.45" x14ac:dyDescent="0.3">
      <c r="B41" s="1" t="str">
        <f>IF('RAW DATA'!$C41&lt;&gt;"",'RAW DATA'!$C41,"")</f>
        <v/>
      </c>
      <c r="C41" s="1" t="str">
        <f>IF('RAW DATA'!$D41&lt;&gt;"",'RAW DATA'!$D41,"")</f>
        <v/>
      </c>
      <c r="D41" s="1" t="str">
        <f>IF(AND($B40&lt;&gt;"", $B41=""), "TOTAL:", IF($D40="TOTAL:","VESSEL TARGET "&amp;'RAW DATA'!$E$2&amp;":",IF('RAW DATA'!$E41&lt;&gt;"",'RAW DATA'!$E41,"")))</f>
        <v/>
      </c>
      <c r="E41" s="29" t="str">
        <f t="shared" si="0"/>
        <v/>
      </c>
      <c r="F41" s="4" t="str">
        <f>IF($D40="TOTAL:",FIXED(ROUND(((SUM($F$4:$F39)/'RAW DATA'!$E$2)*100),1),1)&amp;"%",IF($D41="TOTAL:",SUM($F$4:$F40),IF(SUMIF('RAW DATA'!M:M,'RAW DATA'!B41,'RAW DATA'!H:H)=0,"",SUMIF('RAW DATA'!M:M,'RAW DATA'!B41,'RAW DATA'!H:H))))</f>
        <v/>
      </c>
      <c r="G41" s="4" t="str">
        <f>IF($D40="TOTAL:",FIXED(ROUND(((SUM($G$4:$G39)/'RAW DATA'!$E$2)*100),1),1)&amp;"%",IF($D41="TOTAL:",SUM($G$4:$G40),IF(SUMIF('RAW DATA'!M:M,'RAW DATA'!B41,'RAW DATA'!I:I)=0,"",SUMIF('RAW DATA'!M:M,'RAW DATA'!B41,'RAW DATA'!I:I))))</f>
        <v/>
      </c>
      <c r="H41" s="4" t="str">
        <f>IF(SUM(SUMIF('RAW DATA'!M:M,'RAW DATA'!B41,'RAW DATA'!J:J),SUMIF('RAW DATA'!N:N,'RAW DATA'!B41,'RAW DATA'!J:J),SUMIF('RAW DATA'!O:O,'RAW DATA'!B41,'RAW DATA'!J:J),SUMIF('RAW DATA'!P:P,'RAW DATA'!B41,'RAW DATA'!J:J))=0, "", SUM(SUMIF('RAW DATA'!M:M,'RAW DATA'!B41,'RAW DATA'!J:J),SUMIF('RAW DATA'!N:N,'RAW DATA'!B41,'RAW DATA'!J:J),SUMIF('RAW DATA'!O:O,'RAW DATA'!B41,'RAW DATA'!J:J),SUMIF('RAW DATA'!P:P,'RAW DATA'!B41,'RAW DATA'!J:J)))</f>
        <v/>
      </c>
      <c r="I41" s="4" t="str">
        <f>IF(SUMIF('RAW DATA'!M:M,'RAW DATA'!B41, 'RAW DATA'!K:K)=0, "", SUMIF('RAW DATA'!M:M,'RAW DATA'!B41, 'RAW DATA'!K:K))</f>
        <v/>
      </c>
      <c r="J41" s="29" t="str">
        <f>IF('RAW DATA'!B41&lt;&gt;"",IF(OR('RAW DATA'!H41=1,'RAW DATA'!H41=2),1,IF(ISNUMBER(FIND("Medic",'RAW DATA'!E41)),1,"")),"")</f>
        <v/>
      </c>
      <c r="K41" s="29" t="str">
        <f>IF(AND('RAW DATA'!$B41&lt;&gt;"",'RAW DATA'!L41=1),1,"")</f>
        <v/>
      </c>
      <c r="L41" s="24" t="str">
        <f t="shared" si="1"/>
        <v/>
      </c>
    </row>
    <row r="42" spans="2:12" ht="14.45" x14ac:dyDescent="0.3">
      <c r="B42" s="1" t="str">
        <f>IF('RAW DATA'!$C42&lt;&gt;"",'RAW DATA'!$C42,"")</f>
        <v/>
      </c>
      <c r="C42" s="1" t="str">
        <f>IF('RAW DATA'!$D42&lt;&gt;"",'RAW DATA'!$D42,"")</f>
        <v/>
      </c>
      <c r="D42" s="1" t="str">
        <f>IF(AND($B41&lt;&gt;"", $B42=""), "TOTAL:", IF($D41="TOTAL:","VESSEL TARGET "&amp;'RAW DATA'!$E$2&amp;":",IF('RAW DATA'!$E42&lt;&gt;"",'RAW DATA'!$E42,"")))</f>
        <v/>
      </c>
      <c r="E42" s="29" t="str">
        <f t="shared" si="0"/>
        <v/>
      </c>
      <c r="F42" s="4" t="str">
        <f>IF($D41="TOTAL:",FIXED(ROUND(((SUM($F$4:$F40)/'RAW DATA'!$E$2)*100),1),1)&amp;"%",IF($D42="TOTAL:",SUM($F$4:$F41),IF(SUMIF('RAW DATA'!M:M,'RAW DATA'!B42,'RAW DATA'!H:H)=0,"",SUMIF('RAW DATA'!M:M,'RAW DATA'!B42,'RAW DATA'!H:H))))</f>
        <v/>
      </c>
      <c r="G42" s="4" t="str">
        <f>IF($D41="TOTAL:",FIXED(ROUND(((SUM($G$4:$G40)/'RAW DATA'!$E$2)*100),1),1)&amp;"%",IF($D42="TOTAL:",SUM($G$4:$G41),IF(SUMIF('RAW DATA'!M:M,'RAW DATA'!B42,'RAW DATA'!I:I)=0,"",SUMIF('RAW DATA'!M:M,'RAW DATA'!B42,'RAW DATA'!I:I))))</f>
        <v/>
      </c>
      <c r="H42" s="4" t="str">
        <f>IF(SUM(SUMIF('RAW DATA'!M:M,'RAW DATA'!B42,'RAW DATA'!J:J),SUMIF('RAW DATA'!N:N,'RAW DATA'!B42,'RAW DATA'!J:J),SUMIF('RAW DATA'!O:O,'RAW DATA'!B42,'RAW DATA'!J:J),SUMIF('RAW DATA'!P:P,'RAW DATA'!B42,'RAW DATA'!J:J))=0, "", SUM(SUMIF('RAW DATA'!M:M,'RAW DATA'!B42,'RAW DATA'!J:J),SUMIF('RAW DATA'!N:N,'RAW DATA'!B42,'RAW DATA'!J:J),SUMIF('RAW DATA'!O:O,'RAW DATA'!B42,'RAW DATA'!J:J),SUMIF('RAW DATA'!P:P,'RAW DATA'!B42,'RAW DATA'!J:J)))</f>
        <v/>
      </c>
      <c r="I42" s="4" t="str">
        <f>IF(SUMIF('RAW DATA'!M:M,'RAW DATA'!B42, 'RAW DATA'!K:K)=0, "", SUMIF('RAW DATA'!M:M,'RAW DATA'!B42, 'RAW DATA'!K:K))</f>
        <v/>
      </c>
      <c r="J42" s="29" t="str">
        <f>IF('RAW DATA'!B42&lt;&gt;"",IF(OR('RAW DATA'!H42=1,'RAW DATA'!H42=2),1,IF(ISNUMBER(FIND("Medic",'RAW DATA'!E42)),1,"")),"")</f>
        <v/>
      </c>
      <c r="K42" s="29" t="str">
        <f>IF(AND('RAW DATA'!$B42&lt;&gt;"",'RAW DATA'!L42=1),1,"")</f>
        <v/>
      </c>
      <c r="L42" s="24" t="str">
        <f t="shared" si="1"/>
        <v/>
      </c>
    </row>
    <row r="43" spans="2:12" ht="14.45" x14ac:dyDescent="0.3">
      <c r="B43" s="1" t="str">
        <f>IF('RAW DATA'!$C43&lt;&gt;"",'RAW DATA'!$C43,"")</f>
        <v/>
      </c>
      <c r="C43" s="1" t="str">
        <f>IF('RAW DATA'!$D43&lt;&gt;"",'RAW DATA'!$D43,"")</f>
        <v/>
      </c>
      <c r="D43" s="1" t="str">
        <f>IF(AND($B42&lt;&gt;"", $B43=""), "TOTAL:", IF($D42="TOTAL:","VESSEL TARGET "&amp;'RAW DATA'!$E$2&amp;":",IF('RAW DATA'!$E43&lt;&gt;"",'RAW DATA'!$E43,"")))</f>
        <v/>
      </c>
      <c r="E43" s="29" t="str">
        <f t="shared" si="0"/>
        <v/>
      </c>
      <c r="F43" s="4" t="str">
        <f>IF($D42="TOTAL:",FIXED(ROUND(((SUM($F$4:$F41)/'RAW DATA'!$E$2)*100),1),1)&amp;"%",IF($D43="TOTAL:",SUM($F$4:$F42),IF(SUMIF('RAW DATA'!M:M,'RAW DATA'!B43,'RAW DATA'!H:H)=0,"",SUMIF('RAW DATA'!M:M,'RAW DATA'!B43,'RAW DATA'!H:H))))</f>
        <v/>
      </c>
      <c r="G43" s="4" t="str">
        <f>IF($D42="TOTAL:",FIXED(ROUND(((SUM($G$4:$G41)/'RAW DATA'!$E$2)*100),1),1)&amp;"%",IF($D43="TOTAL:",SUM($G$4:$G42),IF(SUMIF('RAW DATA'!M:M,'RAW DATA'!B43,'RAW DATA'!I:I)=0,"",SUMIF('RAW DATA'!M:M,'RAW DATA'!B43,'RAW DATA'!I:I))))</f>
        <v/>
      </c>
      <c r="H43" s="4" t="str">
        <f>IF(SUM(SUMIF('RAW DATA'!M:M,'RAW DATA'!B43,'RAW DATA'!J:J),SUMIF('RAW DATA'!N:N,'RAW DATA'!B43,'RAW DATA'!J:J),SUMIF('RAW DATA'!O:O,'RAW DATA'!B43,'RAW DATA'!J:J),SUMIF('RAW DATA'!P:P,'RAW DATA'!B43,'RAW DATA'!J:J))=0, "", SUM(SUMIF('RAW DATA'!M:M,'RAW DATA'!B43,'RAW DATA'!J:J),SUMIF('RAW DATA'!N:N,'RAW DATA'!B43,'RAW DATA'!J:J),SUMIF('RAW DATA'!O:O,'RAW DATA'!B43,'RAW DATA'!J:J),SUMIF('RAW DATA'!P:P,'RAW DATA'!B43,'RAW DATA'!J:J)))</f>
        <v/>
      </c>
      <c r="I43" s="4" t="str">
        <f>IF(SUMIF('RAW DATA'!M:M,'RAW DATA'!B43, 'RAW DATA'!K:K)=0, "", SUMIF('RAW DATA'!M:M,'RAW DATA'!B43, 'RAW DATA'!K:K))</f>
        <v/>
      </c>
      <c r="J43" s="29" t="str">
        <f>IF('RAW DATA'!B43&lt;&gt;"",IF(OR('RAW DATA'!H43=1,'RAW DATA'!H43=2),1,IF(ISNUMBER(FIND("Medic",'RAW DATA'!E43)),1,"")),"")</f>
        <v/>
      </c>
      <c r="K43" s="29" t="str">
        <f>IF(AND('RAW DATA'!$B43&lt;&gt;"",'RAW DATA'!L43=1),1,"")</f>
        <v/>
      </c>
      <c r="L43" s="24" t="str">
        <f t="shared" si="1"/>
        <v/>
      </c>
    </row>
    <row r="44" spans="2:12" ht="14.45" x14ac:dyDescent="0.3">
      <c r="B44" s="1" t="str">
        <f>IF('RAW DATA'!$C44&lt;&gt;"",'RAW DATA'!$C44,"")</f>
        <v/>
      </c>
      <c r="C44" s="1" t="str">
        <f>IF('RAW DATA'!$D44&lt;&gt;"",'RAW DATA'!$D44,"")</f>
        <v/>
      </c>
      <c r="D44" s="1" t="str">
        <f>IF(AND($B43&lt;&gt;"", $B44=""), "TOTAL:", IF($D43="TOTAL:","VESSEL TARGET "&amp;'RAW DATA'!$E$2&amp;":",IF('RAW DATA'!$E44&lt;&gt;"",'RAW DATA'!$E44,"")))</f>
        <v/>
      </c>
      <c r="E44" s="29" t="str">
        <f t="shared" si="0"/>
        <v/>
      </c>
      <c r="F44" s="4" t="str">
        <f>IF($D43="TOTAL:",FIXED(ROUND(((SUM($F$4:$F42)/'RAW DATA'!$E$2)*100),1),1)&amp;"%",IF($D44="TOTAL:",SUM($F$4:$F43),IF(SUMIF('RAW DATA'!M:M,'RAW DATA'!B44,'RAW DATA'!H:H)=0,"",SUMIF('RAW DATA'!M:M,'RAW DATA'!B44,'RAW DATA'!H:H))))</f>
        <v/>
      </c>
      <c r="G44" s="4" t="str">
        <f>IF($D43="TOTAL:",FIXED(ROUND(((SUM($G$4:$G42)/'RAW DATA'!$E$2)*100),1),1)&amp;"%",IF($D44="TOTAL:",SUM($G$4:$G43),IF(SUMIF('RAW DATA'!M:M,'RAW DATA'!B44,'RAW DATA'!I:I)=0,"",SUMIF('RAW DATA'!M:M,'RAW DATA'!B44,'RAW DATA'!I:I))))</f>
        <v/>
      </c>
      <c r="H44" s="4" t="str">
        <f>IF(SUM(SUMIF('RAW DATA'!M:M,'RAW DATA'!B44,'RAW DATA'!J:J),SUMIF('RAW DATA'!N:N,'RAW DATA'!B44,'RAW DATA'!J:J),SUMIF('RAW DATA'!O:O,'RAW DATA'!B44,'RAW DATA'!J:J),SUMIF('RAW DATA'!P:P,'RAW DATA'!B44,'RAW DATA'!J:J))=0, "", SUM(SUMIF('RAW DATA'!M:M,'RAW DATA'!B44,'RAW DATA'!J:J),SUMIF('RAW DATA'!N:N,'RAW DATA'!B44,'RAW DATA'!J:J),SUMIF('RAW DATA'!O:O,'RAW DATA'!B44,'RAW DATA'!J:J),SUMIF('RAW DATA'!P:P,'RAW DATA'!B44,'RAW DATA'!J:J)))</f>
        <v/>
      </c>
      <c r="I44" s="4" t="str">
        <f>IF(SUMIF('RAW DATA'!M:M,'RAW DATA'!B44, 'RAW DATA'!K:K)=0, "", SUMIF('RAW DATA'!M:M,'RAW DATA'!B44, 'RAW DATA'!K:K))</f>
        <v/>
      </c>
      <c r="J44" s="29" t="str">
        <f>IF('RAW DATA'!B44&lt;&gt;"",IF(OR('RAW DATA'!H44=1,'RAW DATA'!H44=2),1,IF(ISNUMBER(FIND("Medic",'RAW DATA'!E44)),1,"")),"")</f>
        <v/>
      </c>
      <c r="K44" s="29" t="str">
        <f>IF(AND('RAW DATA'!$B44&lt;&gt;"",'RAW DATA'!L44=1),1,"")</f>
        <v/>
      </c>
      <c r="L44" s="24" t="str">
        <f t="shared" si="1"/>
        <v/>
      </c>
    </row>
    <row r="45" spans="2:12" ht="14.45" x14ac:dyDescent="0.3">
      <c r="B45" s="1" t="str">
        <f>IF('RAW DATA'!$C45&lt;&gt;"",'RAW DATA'!$C45,"")</f>
        <v/>
      </c>
      <c r="C45" s="1" t="str">
        <f>IF('RAW DATA'!$D45&lt;&gt;"",'RAW DATA'!$D45,"")</f>
        <v/>
      </c>
      <c r="D45" s="1" t="str">
        <f>IF(AND($B44&lt;&gt;"", $B45=""), "TOTAL:", IF($D44="TOTAL:","VESSEL TARGET "&amp;'RAW DATA'!$E$2&amp;":",IF('RAW DATA'!$E45&lt;&gt;"",'RAW DATA'!$E45,"")))</f>
        <v/>
      </c>
      <c r="E45" s="29" t="str">
        <f t="shared" si="0"/>
        <v/>
      </c>
      <c r="F45" s="4" t="str">
        <f>IF($D44="TOTAL:",FIXED(ROUND(((SUM($F$4:$F43)/'RAW DATA'!$E$2)*100),1),1)&amp;"%",IF($D45="TOTAL:",SUM($F$4:$F44),IF(SUMIF('RAW DATA'!M:M,'RAW DATA'!B45,'RAW DATA'!H:H)=0,"",SUMIF('RAW DATA'!M:M,'RAW DATA'!B45,'RAW DATA'!H:H))))</f>
        <v/>
      </c>
      <c r="G45" s="4" t="str">
        <f>IF($D44="TOTAL:",FIXED(ROUND(((SUM($G$4:$G43)/'RAW DATA'!$E$2)*100),1),1)&amp;"%",IF($D45="TOTAL:",SUM($G$4:$G44),IF(SUMIF('RAW DATA'!M:M,'RAW DATA'!B45,'RAW DATA'!I:I)=0,"",SUMIF('RAW DATA'!M:M,'RAW DATA'!B45,'RAW DATA'!I:I))))</f>
        <v/>
      </c>
      <c r="H45" s="4" t="str">
        <f>IF(SUM(SUMIF('RAW DATA'!M:M,'RAW DATA'!B45,'RAW DATA'!J:J),SUMIF('RAW DATA'!N:N,'RAW DATA'!B45,'RAW DATA'!J:J),SUMIF('RAW DATA'!O:O,'RAW DATA'!B45,'RAW DATA'!J:J),SUMIF('RAW DATA'!P:P,'RAW DATA'!B45,'RAW DATA'!J:J))=0, "", SUM(SUMIF('RAW DATA'!M:M,'RAW DATA'!B45,'RAW DATA'!J:J),SUMIF('RAW DATA'!N:N,'RAW DATA'!B45,'RAW DATA'!J:J),SUMIF('RAW DATA'!O:O,'RAW DATA'!B45,'RAW DATA'!J:J),SUMIF('RAW DATA'!P:P,'RAW DATA'!B45,'RAW DATA'!J:J)))</f>
        <v/>
      </c>
      <c r="I45" s="4" t="str">
        <f>IF(SUMIF('RAW DATA'!M:M,'RAW DATA'!B45, 'RAW DATA'!K:K)=0, "", SUMIF('RAW DATA'!M:M,'RAW DATA'!B45, 'RAW DATA'!K:K))</f>
        <v/>
      </c>
      <c r="J45" s="29" t="str">
        <f>IF('RAW DATA'!B45&lt;&gt;"",IF(OR('RAW DATA'!H45=1,'RAW DATA'!H45=2),1,IF(ISNUMBER(FIND("Medic",'RAW DATA'!E45)),1,"")),"")</f>
        <v/>
      </c>
      <c r="K45" s="29" t="str">
        <f>IF(AND('RAW DATA'!$B45&lt;&gt;"",'RAW DATA'!L45=1),1,"")</f>
        <v/>
      </c>
      <c r="L45" s="24" t="str">
        <f t="shared" si="1"/>
        <v/>
      </c>
    </row>
    <row r="46" spans="2:12" ht="14.45" x14ac:dyDescent="0.3">
      <c r="B46" s="1" t="str">
        <f>IF('RAW DATA'!$C46&lt;&gt;"",'RAW DATA'!$C46,"")</f>
        <v/>
      </c>
      <c r="C46" s="1" t="str">
        <f>IF('RAW DATA'!$D46&lt;&gt;"",'RAW DATA'!$D46,"")</f>
        <v/>
      </c>
      <c r="D46" s="1" t="str">
        <f>IF(AND($B45&lt;&gt;"", $B46=""), "TOTAL:", IF($D45="TOTAL:","VESSEL TARGET "&amp;'RAW DATA'!$E$2&amp;":",IF('RAW DATA'!$E46&lt;&gt;"",'RAW DATA'!$E46,"")))</f>
        <v/>
      </c>
      <c r="E46" s="29" t="str">
        <f t="shared" si="0"/>
        <v/>
      </c>
      <c r="F46" s="4" t="str">
        <f>IF($D45="TOTAL:",FIXED(ROUND(((SUM($F$4:$F44)/'RAW DATA'!$E$2)*100),1),1)&amp;"%",IF($D46="TOTAL:",SUM($F$4:$F45),IF(SUMIF('RAW DATA'!M:M,'RAW DATA'!B46,'RAW DATA'!H:H)=0,"",SUMIF('RAW DATA'!M:M,'RAW DATA'!B46,'RAW DATA'!H:H))))</f>
        <v/>
      </c>
      <c r="G46" s="4" t="str">
        <f>IF($D45="TOTAL:",FIXED(ROUND(((SUM($G$4:$G44)/'RAW DATA'!$E$2)*100),1),1)&amp;"%",IF($D46="TOTAL:",SUM($G$4:$G45),IF(SUMIF('RAW DATA'!M:M,'RAW DATA'!B46,'RAW DATA'!I:I)=0,"",SUMIF('RAW DATA'!M:M,'RAW DATA'!B46,'RAW DATA'!I:I))))</f>
        <v/>
      </c>
      <c r="H46" s="4" t="str">
        <f>IF(SUM(SUMIF('RAW DATA'!M:M,'RAW DATA'!B46,'RAW DATA'!J:J),SUMIF('RAW DATA'!N:N,'RAW DATA'!B46,'RAW DATA'!J:J),SUMIF('RAW DATA'!O:O,'RAW DATA'!B46,'RAW DATA'!J:J),SUMIF('RAW DATA'!P:P,'RAW DATA'!B46,'RAW DATA'!J:J))=0, "", SUM(SUMIF('RAW DATA'!M:M,'RAW DATA'!B46,'RAW DATA'!J:J),SUMIF('RAW DATA'!N:N,'RAW DATA'!B46,'RAW DATA'!J:J),SUMIF('RAW DATA'!O:O,'RAW DATA'!B46,'RAW DATA'!J:J),SUMIF('RAW DATA'!P:P,'RAW DATA'!B46,'RAW DATA'!J:J)))</f>
        <v/>
      </c>
      <c r="I46" s="4" t="str">
        <f>IF(SUMIF('RAW DATA'!M:M,'RAW DATA'!B46, 'RAW DATA'!K:K)=0, "", SUMIF('RAW DATA'!M:M,'RAW DATA'!B46, 'RAW DATA'!K:K))</f>
        <v/>
      </c>
      <c r="J46" s="29" t="str">
        <f>IF('RAW DATA'!B46&lt;&gt;"",IF(OR('RAW DATA'!H46=1,'RAW DATA'!H46=2),1,IF(ISNUMBER(FIND("Medic",'RAW DATA'!E46)),1,"")),"")</f>
        <v/>
      </c>
      <c r="K46" s="29" t="str">
        <f>IF(AND('RAW DATA'!$B46&lt;&gt;"",'RAW DATA'!L46=1),1,"")</f>
        <v/>
      </c>
      <c r="L46" s="24" t="str">
        <f t="shared" si="1"/>
        <v/>
      </c>
    </row>
    <row r="47" spans="2:12" ht="14.45" x14ac:dyDescent="0.3">
      <c r="B47" s="1" t="str">
        <f>IF('RAW DATA'!$C47&lt;&gt;"",'RAW DATA'!$C47,"")</f>
        <v/>
      </c>
      <c r="C47" s="1" t="str">
        <f>IF('RAW DATA'!$D47&lt;&gt;"",'RAW DATA'!$D47,"")</f>
        <v/>
      </c>
      <c r="D47" s="1" t="str">
        <f>IF(AND($B46&lt;&gt;"", $B47=""), "TOTAL:", IF($D46="TOTAL:","VESSEL TARGET "&amp;'RAW DATA'!$E$2&amp;":",IF('RAW DATA'!$E47&lt;&gt;"",'RAW DATA'!$E47,"")))</f>
        <v/>
      </c>
      <c r="E47" s="29" t="str">
        <f t="shared" si="0"/>
        <v/>
      </c>
      <c r="F47" s="4" t="str">
        <f>IF($D46="TOTAL:",FIXED(ROUND(((SUM($F$4:$F45)/'RAW DATA'!$E$2)*100),1),1)&amp;"%",IF($D47="TOTAL:",SUM($F$4:$F46),IF(SUMIF('RAW DATA'!M:M,'RAW DATA'!B47,'RAW DATA'!H:H)=0,"",SUMIF('RAW DATA'!M:M,'RAW DATA'!B47,'RAW DATA'!H:H))))</f>
        <v/>
      </c>
      <c r="G47" s="4" t="str">
        <f>IF($D46="TOTAL:",FIXED(ROUND(((SUM($G$4:$G45)/'RAW DATA'!$E$2)*100),1),1)&amp;"%",IF($D47="TOTAL:",SUM($G$4:$G46),IF(SUMIF('RAW DATA'!M:M,'RAW DATA'!B47,'RAW DATA'!I:I)=0,"",SUMIF('RAW DATA'!M:M,'RAW DATA'!B47,'RAW DATA'!I:I))))</f>
        <v/>
      </c>
      <c r="H47" s="4" t="str">
        <f>IF(SUM(SUMIF('RAW DATA'!M:M,'RAW DATA'!B47,'RAW DATA'!J:J),SUMIF('RAW DATA'!N:N,'RAW DATA'!B47,'RAW DATA'!J:J),SUMIF('RAW DATA'!O:O,'RAW DATA'!B47,'RAW DATA'!J:J),SUMIF('RAW DATA'!P:P,'RAW DATA'!B47,'RAW DATA'!J:J))=0, "", SUM(SUMIF('RAW DATA'!M:M,'RAW DATA'!B47,'RAW DATA'!J:J),SUMIF('RAW DATA'!N:N,'RAW DATA'!B47,'RAW DATA'!J:J),SUMIF('RAW DATA'!O:O,'RAW DATA'!B47,'RAW DATA'!J:J),SUMIF('RAW DATA'!P:P,'RAW DATA'!B47,'RAW DATA'!J:J)))</f>
        <v/>
      </c>
      <c r="I47" s="4" t="str">
        <f>IF(SUMIF('RAW DATA'!M:M,'RAW DATA'!B47, 'RAW DATA'!K:K)=0, "", SUMIF('RAW DATA'!M:M,'RAW DATA'!B47, 'RAW DATA'!K:K))</f>
        <v/>
      </c>
      <c r="J47" s="29" t="str">
        <f>IF('RAW DATA'!B47&lt;&gt;"",IF(OR('RAW DATA'!H47=1,'RAW DATA'!H47=2),1,IF(ISNUMBER(FIND("Medic",'RAW DATA'!E47)),1,"")),"")</f>
        <v/>
      </c>
      <c r="K47" s="29" t="str">
        <f>IF(AND('RAW DATA'!$B47&lt;&gt;"",'RAW DATA'!L47=1),1,"")</f>
        <v/>
      </c>
      <c r="L47" s="24" t="str">
        <f t="shared" si="1"/>
        <v/>
      </c>
    </row>
    <row r="48" spans="2:12" ht="14.45" x14ac:dyDescent="0.3">
      <c r="B48" s="1" t="str">
        <f>IF('RAW DATA'!$C48&lt;&gt;"",'RAW DATA'!$C48,"")</f>
        <v/>
      </c>
      <c r="C48" s="1" t="str">
        <f>IF('RAW DATA'!$D48&lt;&gt;"",'RAW DATA'!$D48,"")</f>
        <v/>
      </c>
      <c r="D48" s="1" t="str">
        <f>IF(AND($B47&lt;&gt;"", $B48=""), "TOTAL:", IF($D47="TOTAL:","VESSEL TARGET "&amp;'RAW DATA'!$E$2&amp;":",IF('RAW DATA'!$E48&lt;&gt;"",'RAW DATA'!$E48,"")))</f>
        <v/>
      </c>
      <c r="E48" s="29" t="str">
        <f t="shared" si="0"/>
        <v/>
      </c>
      <c r="F48" s="4" t="str">
        <f>IF($D47="TOTAL:",FIXED(ROUND(((SUM($F$4:$F46)/'RAW DATA'!$E$2)*100),1),1)&amp;"%",IF($D48="TOTAL:",SUM($F$4:$F47),IF(SUMIF('RAW DATA'!M:M,'RAW DATA'!B48,'RAW DATA'!H:H)=0,"",SUMIF('RAW DATA'!M:M,'RAW DATA'!B48,'RAW DATA'!H:H))))</f>
        <v/>
      </c>
      <c r="G48" s="4" t="str">
        <f>IF($D47="TOTAL:",FIXED(ROUND(((SUM($G$4:$G46)/'RAW DATA'!$E$2)*100),1),1)&amp;"%",IF($D48="TOTAL:",SUM($G$4:$G47),IF(SUMIF('RAW DATA'!M:M,'RAW DATA'!B48,'RAW DATA'!I:I)=0,"",SUMIF('RAW DATA'!M:M,'RAW DATA'!B48,'RAW DATA'!I:I))))</f>
        <v/>
      </c>
      <c r="H48" s="4" t="str">
        <f>IF(SUM(SUMIF('RAW DATA'!M:M,'RAW DATA'!B48,'RAW DATA'!J:J),SUMIF('RAW DATA'!N:N,'RAW DATA'!B48,'RAW DATA'!J:J),SUMIF('RAW DATA'!O:O,'RAW DATA'!B48,'RAW DATA'!J:J),SUMIF('RAW DATA'!P:P,'RAW DATA'!B48,'RAW DATA'!J:J))=0, "", SUM(SUMIF('RAW DATA'!M:M,'RAW DATA'!B48,'RAW DATA'!J:J),SUMIF('RAW DATA'!N:N,'RAW DATA'!B48,'RAW DATA'!J:J),SUMIF('RAW DATA'!O:O,'RAW DATA'!B48,'RAW DATA'!J:J),SUMIF('RAW DATA'!P:P,'RAW DATA'!B48,'RAW DATA'!J:J)))</f>
        <v/>
      </c>
      <c r="I48" s="4" t="str">
        <f>IF(SUMIF('RAW DATA'!M:M,'RAW DATA'!B48, 'RAW DATA'!K:K)=0, "", SUMIF('RAW DATA'!M:M,'RAW DATA'!B48, 'RAW DATA'!K:K))</f>
        <v/>
      </c>
      <c r="J48" s="29" t="str">
        <f>IF('RAW DATA'!B48&lt;&gt;"",IF(OR('RAW DATA'!H48=1,'RAW DATA'!H48=2),1,IF(ISNUMBER(FIND("Medic",'RAW DATA'!E48)),1,"")),"")</f>
        <v/>
      </c>
      <c r="K48" s="29" t="str">
        <f>IF(AND('RAW DATA'!$B48&lt;&gt;"",'RAW DATA'!L48=1),1,"")</f>
        <v/>
      </c>
      <c r="L48" s="24" t="str">
        <f t="shared" si="1"/>
        <v/>
      </c>
    </row>
    <row r="49" spans="2:12" ht="14.45" x14ac:dyDescent="0.3">
      <c r="B49" s="1" t="str">
        <f>IF('RAW DATA'!$C49&lt;&gt;"",'RAW DATA'!$C49,"")</f>
        <v/>
      </c>
      <c r="C49" s="1" t="str">
        <f>IF('RAW DATA'!$D49&lt;&gt;"",'RAW DATA'!$D49,"")</f>
        <v/>
      </c>
      <c r="D49" s="1" t="str">
        <f>IF(AND($B48&lt;&gt;"", $B49=""), "TOTAL:", IF($D48="TOTAL:","VESSEL TARGET "&amp;'RAW DATA'!$E$2&amp;":",IF('RAW DATA'!$E49&lt;&gt;"",'RAW DATA'!$E49,"")))</f>
        <v/>
      </c>
      <c r="E49" s="29" t="str">
        <f t="shared" si="0"/>
        <v/>
      </c>
      <c r="F49" s="4" t="str">
        <f>IF($D48="TOTAL:",FIXED(ROUND(((SUM($F$4:$F47)/'RAW DATA'!$E$2)*100),1),1)&amp;"%",IF($D49="TOTAL:",SUM($F$4:$F48),IF(SUMIF('RAW DATA'!M:M,'RAW DATA'!B49,'RAW DATA'!H:H)=0,"",SUMIF('RAW DATA'!M:M,'RAW DATA'!B49,'RAW DATA'!H:H))))</f>
        <v/>
      </c>
      <c r="G49" s="4" t="str">
        <f>IF($D48="TOTAL:",FIXED(ROUND(((SUM($G$4:$G47)/'RAW DATA'!$E$2)*100),1),1)&amp;"%",IF($D49="TOTAL:",SUM($G$4:$G48),IF(SUMIF('RAW DATA'!M:M,'RAW DATA'!B49,'RAW DATA'!I:I)=0,"",SUMIF('RAW DATA'!M:M,'RAW DATA'!B49,'RAW DATA'!I:I))))</f>
        <v/>
      </c>
      <c r="H49" s="4" t="str">
        <f>IF(SUM(SUMIF('RAW DATA'!M:M,'RAW DATA'!B49,'RAW DATA'!J:J),SUMIF('RAW DATA'!N:N,'RAW DATA'!B49,'RAW DATA'!J:J),SUMIF('RAW DATA'!O:O,'RAW DATA'!B49,'RAW DATA'!J:J),SUMIF('RAW DATA'!P:P,'RAW DATA'!B49,'RAW DATA'!J:J))=0, "", SUM(SUMIF('RAW DATA'!M:M,'RAW DATA'!B49,'RAW DATA'!J:J),SUMIF('RAW DATA'!N:N,'RAW DATA'!B49,'RAW DATA'!J:J),SUMIF('RAW DATA'!O:O,'RAW DATA'!B49,'RAW DATA'!J:J),SUMIF('RAW DATA'!P:P,'RAW DATA'!B49,'RAW DATA'!J:J)))</f>
        <v/>
      </c>
      <c r="I49" s="4" t="str">
        <f>IF(SUMIF('RAW DATA'!M:M,'RAW DATA'!B49, 'RAW DATA'!K:K)=0, "", SUMIF('RAW DATA'!M:M,'RAW DATA'!B49, 'RAW DATA'!K:K))</f>
        <v/>
      </c>
      <c r="J49" s="29" t="str">
        <f>IF('RAW DATA'!B49&lt;&gt;"",IF(OR('RAW DATA'!H49=1,'RAW DATA'!H49=2),1,IF(ISNUMBER(FIND("Medic",'RAW DATA'!E49)),1,"")),"")</f>
        <v/>
      </c>
      <c r="K49" s="29" t="str">
        <f>IF(AND('RAW DATA'!$B49&lt;&gt;"",'RAW DATA'!L49=1),1,"")</f>
        <v/>
      </c>
      <c r="L49" s="24" t="str">
        <f t="shared" si="1"/>
        <v/>
      </c>
    </row>
    <row r="50" spans="2:12" ht="14.45" x14ac:dyDescent="0.3">
      <c r="B50" s="1" t="str">
        <f>IF('RAW DATA'!$C50&lt;&gt;"",'RAW DATA'!$C50,"")</f>
        <v/>
      </c>
      <c r="C50" s="1" t="str">
        <f>IF('RAW DATA'!$D50&lt;&gt;"",'RAW DATA'!$D50,"")</f>
        <v/>
      </c>
      <c r="D50" s="1" t="str">
        <f>IF(AND($B49&lt;&gt;"", $B50=""), "TOTAL:", IF($D49="TOTAL:","VESSEL TARGET "&amp;'RAW DATA'!$E$2&amp;":",IF('RAW DATA'!$E50&lt;&gt;"",'RAW DATA'!$E50,"")))</f>
        <v/>
      </c>
      <c r="E50" s="29" t="str">
        <f t="shared" si="0"/>
        <v/>
      </c>
      <c r="F50" s="4" t="str">
        <f>IF($D49="TOTAL:",FIXED(ROUND(((SUM($F$4:$F48)/'RAW DATA'!$E$2)*100),1),1)&amp;"%",IF($D50="TOTAL:",SUM($F$4:$F49),IF(SUMIF('RAW DATA'!M:M,'RAW DATA'!B50,'RAW DATA'!H:H)=0,"",SUMIF('RAW DATA'!M:M,'RAW DATA'!B50,'RAW DATA'!H:H))))</f>
        <v/>
      </c>
      <c r="G50" s="4" t="str">
        <f>IF($D49="TOTAL:",FIXED(ROUND(((SUM($G$4:$G48)/'RAW DATA'!$E$2)*100),1),1)&amp;"%",IF($D50="TOTAL:",SUM($G$4:$G49),IF(SUMIF('RAW DATA'!M:M,'RAW DATA'!B50,'RAW DATA'!I:I)=0,"",SUMIF('RAW DATA'!M:M,'RAW DATA'!B50,'RAW DATA'!I:I))))</f>
        <v/>
      </c>
      <c r="H50" s="4" t="str">
        <f>IF(SUM(SUMIF('RAW DATA'!M:M,'RAW DATA'!B50,'RAW DATA'!J:J),SUMIF('RAW DATA'!N:N,'RAW DATA'!B50,'RAW DATA'!J:J),SUMIF('RAW DATA'!O:O,'RAW DATA'!B50,'RAW DATA'!J:J),SUMIF('RAW DATA'!P:P,'RAW DATA'!B50,'RAW DATA'!J:J))=0, "", SUM(SUMIF('RAW DATA'!M:M,'RAW DATA'!B50,'RAW DATA'!J:J),SUMIF('RAW DATA'!N:N,'RAW DATA'!B50,'RAW DATA'!J:J),SUMIF('RAW DATA'!O:O,'RAW DATA'!B50,'RAW DATA'!J:J),SUMIF('RAW DATA'!P:P,'RAW DATA'!B50,'RAW DATA'!J:J)))</f>
        <v/>
      </c>
      <c r="I50" s="4" t="str">
        <f>IF(SUMIF('RAW DATA'!M:M,'RAW DATA'!B50, 'RAW DATA'!K:K)=0, "", SUMIF('RAW DATA'!M:M,'RAW DATA'!B50, 'RAW DATA'!K:K))</f>
        <v/>
      </c>
      <c r="J50" s="29" t="str">
        <f>IF('RAW DATA'!B50&lt;&gt;"",IF(OR('RAW DATA'!H50=1,'RAW DATA'!H50=2),1,IF(ISNUMBER(FIND("Medic",'RAW DATA'!E50)),1,"")),"")</f>
        <v/>
      </c>
      <c r="K50" s="29" t="str">
        <f>IF(AND('RAW DATA'!$B50&lt;&gt;"",'RAW DATA'!L50=1),1,"")</f>
        <v/>
      </c>
      <c r="L50" s="24" t="str">
        <f t="shared" si="1"/>
        <v/>
      </c>
    </row>
    <row r="51" spans="2:12" ht="14.45" x14ac:dyDescent="0.3">
      <c r="B51" s="1" t="str">
        <f>IF('RAW DATA'!$C51&lt;&gt;"",'RAW DATA'!$C51,"")</f>
        <v/>
      </c>
      <c r="C51" s="1" t="str">
        <f>IF('RAW DATA'!$D51&lt;&gt;"",'RAW DATA'!$D51,"")</f>
        <v/>
      </c>
      <c r="D51" s="1" t="str">
        <f>IF(AND($B50&lt;&gt;"", $B51=""), "TOTAL:", IF($D50="TOTAL:","VESSEL TARGET "&amp;'RAW DATA'!$E$2&amp;":",IF('RAW DATA'!$E51&lt;&gt;"",'RAW DATA'!$E51,"")))</f>
        <v/>
      </c>
      <c r="E51" s="29" t="str">
        <f t="shared" si="0"/>
        <v/>
      </c>
      <c r="F51" s="4" t="str">
        <f>IF($D50="TOTAL:",FIXED(ROUND(((SUM($F$4:$F49)/'RAW DATA'!$E$2)*100),1),1)&amp;"%",IF($D51="TOTAL:",SUM($F$4:$F50),IF(SUMIF('RAW DATA'!M:M,'RAW DATA'!B51,'RAW DATA'!H:H)=0,"",SUMIF('RAW DATA'!M:M,'RAW DATA'!B51,'RAW DATA'!H:H))))</f>
        <v/>
      </c>
      <c r="G51" s="4" t="str">
        <f>IF($D50="TOTAL:",FIXED(ROUND(((SUM($G$4:$G49)/'RAW DATA'!$E$2)*100),1),1)&amp;"%",IF($D51="TOTAL:",SUM($G$4:$G50),IF(SUMIF('RAW DATA'!M:M,'RAW DATA'!B51,'RAW DATA'!I:I)=0,"",SUMIF('RAW DATA'!M:M,'RAW DATA'!B51,'RAW DATA'!I:I))))</f>
        <v/>
      </c>
      <c r="H51" s="4" t="str">
        <f>IF(SUM(SUMIF('RAW DATA'!M:M,'RAW DATA'!B51,'RAW DATA'!J:J),SUMIF('RAW DATA'!N:N,'RAW DATA'!B51,'RAW DATA'!J:J),SUMIF('RAW DATA'!O:O,'RAW DATA'!B51,'RAW DATA'!J:J),SUMIF('RAW DATA'!P:P,'RAW DATA'!B51,'RAW DATA'!J:J))=0, "", SUM(SUMIF('RAW DATA'!M:M,'RAW DATA'!B51,'RAW DATA'!J:J),SUMIF('RAW DATA'!N:N,'RAW DATA'!B51,'RAW DATA'!J:J),SUMIF('RAW DATA'!O:O,'RAW DATA'!B51,'RAW DATA'!J:J),SUMIF('RAW DATA'!P:P,'RAW DATA'!B51,'RAW DATA'!J:J)))</f>
        <v/>
      </c>
      <c r="I51" s="4" t="str">
        <f>IF(SUMIF('RAW DATA'!M:M,'RAW DATA'!B51, 'RAW DATA'!K:K)=0, "", SUMIF('RAW DATA'!M:M,'RAW DATA'!B51, 'RAW DATA'!K:K))</f>
        <v/>
      </c>
      <c r="J51" s="29" t="str">
        <f>IF('RAW DATA'!B51&lt;&gt;"",IF(OR('RAW DATA'!H51=1,'RAW DATA'!H51=2),1,IF(ISNUMBER(FIND("Medic",'RAW DATA'!E51)),1,"")),"")</f>
        <v/>
      </c>
      <c r="K51" s="29" t="str">
        <f>IF(AND('RAW DATA'!$B51&lt;&gt;"",'RAW DATA'!L51=1),1,"")</f>
        <v/>
      </c>
      <c r="L51" s="24" t="str">
        <f t="shared" si="1"/>
        <v/>
      </c>
    </row>
    <row r="52" spans="2:12" ht="14.45" x14ac:dyDescent="0.3">
      <c r="B52" s="1" t="str">
        <f>IF('RAW DATA'!$C52&lt;&gt;"",'RAW DATA'!$C52,"")</f>
        <v/>
      </c>
      <c r="C52" s="1" t="str">
        <f>IF('RAW DATA'!$D52&lt;&gt;"",'RAW DATA'!$D52,"")</f>
        <v/>
      </c>
      <c r="D52" s="1" t="str">
        <f>IF(AND($B51&lt;&gt;"", $B52=""), "TOTAL:", IF($D51="TOTAL:","VESSEL TARGET "&amp;'RAW DATA'!$E$2&amp;":",IF('RAW DATA'!$E52&lt;&gt;"",'RAW DATA'!$E52,"")))</f>
        <v/>
      </c>
      <c r="E52" s="29" t="str">
        <f t="shared" si="0"/>
        <v/>
      </c>
      <c r="F52" s="4" t="str">
        <f>IF($D51="TOTAL:",FIXED(ROUND(((SUM($F$4:$F50)/'RAW DATA'!$E$2)*100),1),1)&amp;"%",IF($D52="TOTAL:",SUM($F$4:$F51),IF(SUMIF('RAW DATA'!M:M,'RAW DATA'!B52,'RAW DATA'!H:H)=0,"",SUMIF('RAW DATA'!M:M,'RAW DATA'!B52,'RAW DATA'!H:H))))</f>
        <v/>
      </c>
      <c r="G52" s="4" t="str">
        <f>IF($D51="TOTAL:",FIXED(ROUND(((SUM($G$4:$G50)/'RAW DATA'!$E$2)*100),1),1)&amp;"%",IF($D52="TOTAL:",SUM($G$4:$G51),IF(SUMIF('RAW DATA'!M:M,'RAW DATA'!B52,'RAW DATA'!I:I)=0,"",SUMIF('RAW DATA'!M:M,'RAW DATA'!B52,'RAW DATA'!I:I))))</f>
        <v/>
      </c>
      <c r="H52" s="4" t="str">
        <f>IF(SUM(SUMIF('RAW DATA'!M:M,'RAW DATA'!B52,'RAW DATA'!J:J),SUMIF('RAW DATA'!N:N,'RAW DATA'!B52,'RAW DATA'!J:J),SUMIF('RAW DATA'!O:O,'RAW DATA'!B52,'RAW DATA'!J:J),SUMIF('RAW DATA'!P:P,'RAW DATA'!B52,'RAW DATA'!J:J))=0, "", SUM(SUMIF('RAW DATA'!M:M,'RAW DATA'!B52,'RAW DATA'!J:J),SUMIF('RAW DATA'!N:N,'RAW DATA'!B52,'RAW DATA'!J:J),SUMIF('RAW DATA'!O:O,'RAW DATA'!B52,'RAW DATA'!J:J),SUMIF('RAW DATA'!P:P,'RAW DATA'!B52,'RAW DATA'!J:J)))</f>
        <v/>
      </c>
      <c r="I52" s="4" t="str">
        <f>IF(SUMIF('RAW DATA'!M:M,'RAW DATA'!B52, 'RAW DATA'!K:K)=0, "", SUMIF('RAW DATA'!M:M,'RAW DATA'!B52, 'RAW DATA'!K:K))</f>
        <v/>
      </c>
      <c r="J52" s="29" t="str">
        <f>IF('RAW DATA'!B52&lt;&gt;"",IF(OR('RAW DATA'!H52=1,'RAW DATA'!H52=2),1,IF(ISNUMBER(FIND("Medic",'RAW DATA'!E52)),1,"")),"")</f>
        <v/>
      </c>
      <c r="K52" s="29" t="str">
        <f>IF(AND('RAW DATA'!$B52&lt;&gt;"",'RAW DATA'!L52=1),1,"")</f>
        <v/>
      </c>
      <c r="L52" s="24" t="str">
        <f t="shared" si="1"/>
        <v/>
      </c>
    </row>
    <row r="53" spans="2:12" ht="14.45" x14ac:dyDescent="0.3">
      <c r="B53" s="1" t="str">
        <f>IF('RAW DATA'!$C53&lt;&gt;"",'RAW DATA'!$C53,"")</f>
        <v/>
      </c>
      <c r="C53" s="1" t="str">
        <f>IF('RAW DATA'!$D53&lt;&gt;"",'RAW DATA'!$D53,"")</f>
        <v/>
      </c>
      <c r="D53" s="1" t="str">
        <f>IF(AND($B52&lt;&gt;"", $B53=""), "TOTAL:", IF($D52="TOTAL:","VESSEL TARGET "&amp;'RAW DATA'!$E$2&amp;":",IF('RAW DATA'!$E53&lt;&gt;"",'RAW DATA'!$E53,"")))</f>
        <v/>
      </c>
      <c r="E53" s="29" t="str">
        <f t="shared" si="0"/>
        <v/>
      </c>
      <c r="F53" s="4" t="str">
        <f>IF($D52="TOTAL:",FIXED(ROUND(((SUM($F$4:$F51)/'RAW DATA'!$E$2)*100),1),1)&amp;"%",IF($D53="TOTAL:",SUM($F$4:$F52),IF(SUMIF('RAW DATA'!M:M,'RAW DATA'!B53,'RAW DATA'!H:H)=0,"",SUMIF('RAW DATA'!M:M,'RAW DATA'!B53,'RAW DATA'!H:H))))</f>
        <v/>
      </c>
      <c r="G53" s="4" t="str">
        <f>IF($D52="TOTAL:",FIXED(ROUND(((SUM($G$4:$G51)/'RAW DATA'!$E$2)*100),1),1)&amp;"%",IF($D53="TOTAL:",SUM($G$4:$G52),IF(SUMIF('RAW DATA'!M:M,'RAW DATA'!B53,'RAW DATA'!I:I)=0,"",SUMIF('RAW DATA'!M:M,'RAW DATA'!B53,'RAW DATA'!I:I))))</f>
        <v/>
      </c>
      <c r="H53" s="4" t="str">
        <f>IF(SUM(SUMIF('RAW DATA'!M:M,'RAW DATA'!B53,'RAW DATA'!J:J),SUMIF('RAW DATA'!N:N,'RAW DATA'!B53,'RAW DATA'!J:J),SUMIF('RAW DATA'!O:O,'RAW DATA'!B53,'RAW DATA'!J:J),SUMIF('RAW DATA'!P:P,'RAW DATA'!B53,'RAW DATA'!J:J))=0, "", SUM(SUMIF('RAW DATA'!M:M,'RAW DATA'!B53,'RAW DATA'!J:J),SUMIF('RAW DATA'!N:N,'RAW DATA'!B53,'RAW DATA'!J:J),SUMIF('RAW DATA'!O:O,'RAW DATA'!B53,'RAW DATA'!J:J),SUMIF('RAW DATA'!P:P,'RAW DATA'!B53,'RAW DATA'!J:J)))</f>
        <v/>
      </c>
      <c r="I53" s="4" t="str">
        <f>IF(SUMIF('RAW DATA'!M:M,'RAW DATA'!B53, 'RAW DATA'!K:K)=0, "", SUMIF('RAW DATA'!M:M,'RAW DATA'!B53, 'RAW DATA'!K:K))</f>
        <v/>
      </c>
      <c r="J53" s="29" t="str">
        <f>IF('RAW DATA'!B53&lt;&gt;"",IF(OR('RAW DATA'!H53=1,'RAW DATA'!H53=2),1,IF(ISNUMBER(FIND("Medic",'RAW DATA'!E53)),1,"")),"")</f>
        <v/>
      </c>
      <c r="K53" s="29" t="str">
        <f>IF(AND('RAW DATA'!$B53&lt;&gt;"",'RAW DATA'!L53=1),1,"")</f>
        <v/>
      </c>
      <c r="L53" s="24" t="str">
        <f t="shared" si="1"/>
        <v/>
      </c>
    </row>
    <row r="54" spans="2:12" ht="14.45" x14ac:dyDescent="0.3">
      <c r="B54" s="1" t="str">
        <f>IF('RAW DATA'!$C54&lt;&gt;"",'RAW DATA'!$C54,"")</f>
        <v/>
      </c>
      <c r="C54" s="1" t="str">
        <f>IF('RAW DATA'!$D54&lt;&gt;"",'RAW DATA'!$D54,"")</f>
        <v/>
      </c>
      <c r="D54" s="1" t="str">
        <f>IF(AND($B53&lt;&gt;"", $B54=""), "TOTAL:", IF($D53="TOTAL:","VESSEL TARGET "&amp;'RAW DATA'!$E$2&amp;":",IF('RAW DATA'!$E54&lt;&gt;"",'RAW DATA'!$E54,"")))</f>
        <v/>
      </c>
      <c r="E54" s="29" t="str">
        <f t="shared" si="0"/>
        <v/>
      </c>
      <c r="F54" s="4" t="str">
        <f>IF($D53="TOTAL:",FIXED(ROUND(((SUM($F$4:$F52)/'RAW DATA'!$E$2)*100),1),1)&amp;"%",IF($D54="TOTAL:",SUM($F$4:$F53),IF(SUMIF('RAW DATA'!M:M,'RAW DATA'!B54,'RAW DATA'!H:H)=0,"",SUMIF('RAW DATA'!M:M,'RAW DATA'!B54,'RAW DATA'!H:H))))</f>
        <v/>
      </c>
      <c r="G54" s="4" t="str">
        <f>IF($D53="TOTAL:",FIXED(ROUND(((SUM($G$4:$G52)/'RAW DATA'!$E$2)*100),1),1)&amp;"%",IF($D54="TOTAL:",SUM($G$4:$G53),IF(SUMIF('RAW DATA'!M:M,'RAW DATA'!B54,'RAW DATA'!I:I)=0,"",SUMIF('RAW DATA'!M:M,'RAW DATA'!B54,'RAW DATA'!I:I))))</f>
        <v/>
      </c>
      <c r="H54" s="4" t="str">
        <f>IF(SUM(SUMIF('RAW DATA'!M:M,'RAW DATA'!B54,'RAW DATA'!J:J),SUMIF('RAW DATA'!N:N,'RAW DATA'!B54,'RAW DATA'!J:J),SUMIF('RAW DATA'!O:O,'RAW DATA'!B54,'RAW DATA'!J:J),SUMIF('RAW DATA'!P:P,'RAW DATA'!B54,'RAW DATA'!J:J))=0, "", SUM(SUMIF('RAW DATA'!M:M,'RAW DATA'!B54,'RAW DATA'!J:J),SUMIF('RAW DATA'!N:N,'RAW DATA'!B54,'RAW DATA'!J:J),SUMIF('RAW DATA'!O:O,'RAW DATA'!B54,'RAW DATA'!J:J),SUMIF('RAW DATA'!P:P,'RAW DATA'!B54,'RAW DATA'!J:J)))</f>
        <v/>
      </c>
      <c r="I54" s="4" t="str">
        <f>IF(SUMIF('RAW DATA'!M:M,'RAW DATA'!B54, 'RAW DATA'!K:K)=0, "", SUMIF('RAW DATA'!M:M,'RAW DATA'!B54, 'RAW DATA'!K:K))</f>
        <v/>
      </c>
      <c r="J54" s="29" t="str">
        <f>IF('RAW DATA'!B54&lt;&gt;"",IF(OR('RAW DATA'!H54=1,'RAW DATA'!H54=2),1,IF(ISNUMBER(FIND("Medic",'RAW DATA'!E54)),1,"")),"")</f>
        <v/>
      </c>
      <c r="K54" s="29" t="str">
        <f>IF(AND('RAW DATA'!$B54&lt;&gt;"",'RAW DATA'!L54=1),1,"")</f>
        <v/>
      </c>
      <c r="L54" s="24" t="str">
        <f t="shared" si="1"/>
        <v/>
      </c>
    </row>
    <row r="55" spans="2:12" ht="14.45" x14ac:dyDescent="0.3">
      <c r="B55" s="1" t="str">
        <f>IF('RAW DATA'!$C55&lt;&gt;"",'RAW DATA'!$C55,"")</f>
        <v/>
      </c>
      <c r="C55" s="1" t="str">
        <f>IF('RAW DATA'!$D55&lt;&gt;"",'RAW DATA'!$D55,"")</f>
        <v/>
      </c>
      <c r="D55" s="1" t="str">
        <f>IF(AND($B54&lt;&gt;"", $B55=""), "TOTAL:", IF($D54="TOTAL:","VESSEL TARGET "&amp;'RAW DATA'!$E$2&amp;":",IF('RAW DATA'!$E55&lt;&gt;"",'RAW DATA'!$E55,"")))</f>
        <v/>
      </c>
      <c r="E55" s="29" t="str">
        <f t="shared" si="0"/>
        <v/>
      </c>
      <c r="F55" s="4" t="str">
        <f>IF($D54="TOTAL:",FIXED(ROUND(((SUM($F$4:$F53)/'RAW DATA'!$E$2)*100),1),1)&amp;"%",IF($D55="TOTAL:",SUM($F$4:$F54),IF(SUMIF('RAW DATA'!M:M,'RAW DATA'!B55,'RAW DATA'!H:H)=0,"",SUMIF('RAW DATA'!M:M,'RAW DATA'!B55,'RAW DATA'!H:H))))</f>
        <v/>
      </c>
      <c r="G55" s="4" t="str">
        <f>IF($D54="TOTAL:",FIXED(ROUND(((SUM($G$4:$G53)/'RAW DATA'!$E$2)*100),1),1)&amp;"%",IF($D55="TOTAL:",SUM($G$4:$G54),IF(SUMIF('RAW DATA'!M:M,'RAW DATA'!B55,'RAW DATA'!I:I)=0,"",SUMIF('RAW DATA'!M:M,'RAW DATA'!B55,'RAW DATA'!I:I))))</f>
        <v/>
      </c>
      <c r="H55" s="4" t="str">
        <f>IF(SUM(SUMIF('RAW DATA'!M:M,'RAW DATA'!B55,'RAW DATA'!J:J),SUMIF('RAW DATA'!N:N,'RAW DATA'!B55,'RAW DATA'!J:J),SUMIF('RAW DATA'!O:O,'RAW DATA'!B55,'RAW DATA'!J:J),SUMIF('RAW DATA'!P:P,'RAW DATA'!B55,'RAW DATA'!J:J))=0, "", SUM(SUMIF('RAW DATA'!M:M,'RAW DATA'!B55,'RAW DATA'!J:J),SUMIF('RAW DATA'!N:N,'RAW DATA'!B55,'RAW DATA'!J:J),SUMIF('RAW DATA'!O:O,'RAW DATA'!B55,'RAW DATA'!J:J),SUMIF('RAW DATA'!P:P,'RAW DATA'!B55,'RAW DATA'!J:J)))</f>
        <v/>
      </c>
      <c r="I55" s="4" t="str">
        <f>IF(SUMIF('RAW DATA'!M:M,'RAW DATA'!B55, 'RAW DATA'!K:K)=0, "", SUMIF('RAW DATA'!M:M,'RAW DATA'!B55, 'RAW DATA'!K:K))</f>
        <v/>
      </c>
      <c r="J55" s="29" t="str">
        <f>IF('RAW DATA'!B55&lt;&gt;"",IF(OR('RAW DATA'!H55=1,'RAW DATA'!H55=2),1,IF(ISNUMBER(FIND("Medic",'RAW DATA'!E55)),1,"")),"")</f>
        <v/>
      </c>
      <c r="K55" s="29" t="str">
        <f>IF(AND('RAW DATA'!$B55&lt;&gt;"",'RAW DATA'!L55=1),1,"")</f>
        <v/>
      </c>
      <c r="L55" s="24" t="str">
        <f t="shared" si="1"/>
        <v/>
      </c>
    </row>
    <row r="56" spans="2:12" ht="14.45" x14ac:dyDescent="0.3">
      <c r="B56" s="1" t="str">
        <f>IF('RAW DATA'!$C56&lt;&gt;"",'RAW DATA'!$C56,"")</f>
        <v/>
      </c>
      <c r="C56" s="1" t="str">
        <f>IF('RAW DATA'!$D56&lt;&gt;"",'RAW DATA'!$D56,"")</f>
        <v/>
      </c>
      <c r="D56" s="1" t="str">
        <f>IF(AND($B55&lt;&gt;"", $B56=""), "TOTAL:", IF($D55="TOTAL:","VESSEL TARGET "&amp;'RAW DATA'!$E$2&amp;":",IF('RAW DATA'!$E56&lt;&gt;"",'RAW DATA'!$E56,"")))</f>
        <v/>
      </c>
      <c r="E56" s="29" t="str">
        <f t="shared" si="0"/>
        <v/>
      </c>
      <c r="F56" s="4" t="str">
        <f>IF($D55="TOTAL:",FIXED(ROUND(((SUM($F$4:$F54)/'RAW DATA'!$E$2)*100),1),1)&amp;"%",IF($D56="TOTAL:",SUM($F$4:$F55),IF(SUMIF('RAW DATA'!M:M,'RAW DATA'!B56,'RAW DATA'!H:H)=0,"",SUMIF('RAW DATA'!M:M,'RAW DATA'!B56,'RAW DATA'!H:H))))</f>
        <v/>
      </c>
      <c r="G56" s="4" t="str">
        <f>IF($D55="TOTAL:",FIXED(ROUND(((SUM($G$4:$G54)/'RAW DATA'!$E$2)*100),1),1)&amp;"%",IF($D56="TOTAL:",SUM($G$4:$G55),IF(SUMIF('RAW DATA'!M:M,'RAW DATA'!B56,'RAW DATA'!I:I)=0,"",SUMIF('RAW DATA'!M:M,'RAW DATA'!B56,'RAW DATA'!I:I))))</f>
        <v/>
      </c>
      <c r="H56" s="4" t="str">
        <f>IF(SUM(SUMIF('RAW DATA'!M:M,'RAW DATA'!B56,'RAW DATA'!J:J),SUMIF('RAW DATA'!N:N,'RAW DATA'!B56,'RAW DATA'!J:J),SUMIF('RAW DATA'!O:O,'RAW DATA'!B56,'RAW DATA'!J:J),SUMIF('RAW DATA'!P:P,'RAW DATA'!B56,'RAW DATA'!J:J))=0, "", SUM(SUMIF('RAW DATA'!M:M,'RAW DATA'!B56,'RAW DATA'!J:J),SUMIF('RAW DATA'!N:N,'RAW DATA'!B56,'RAW DATA'!J:J),SUMIF('RAW DATA'!O:O,'RAW DATA'!B56,'RAW DATA'!J:J),SUMIF('RAW DATA'!P:P,'RAW DATA'!B56,'RAW DATA'!J:J)))</f>
        <v/>
      </c>
      <c r="I56" s="4" t="str">
        <f>IF(SUMIF('RAW DATA'!M:M,'RAW DATA'!B56, 'RAW DATA'!K:K)=0, "", SUMIF('RAW DATA'!M:M,'RAW DATA'!B56, 'RAW DATA'!K:K))</f>
        <v/>
      </c>
      <c r="J56" s="29" t="str">
        <f>IF('RAW DATA'!B56&lt;&gt;"",IF(OR('RAW DATA'!H56=1,'RAW DATA'!H56=2),1,IF(ISNUMBER(FIND("Medic",'RAW DATA'!E56)),1,"")),"")</f>
        <v/>
      </c>
      <c r="K56" s="29" t="str">
        <f>IF(AND('RAW DATA'!$B56&lt;&gt;"",'RAW DATA'!L56=1),1,"")</f>
        <v/>
      </c>
      <c r="L56" s="24" t="str">
        <f t="shared" si="1"/>
        <v/>
      </c>
    </row>
    <row r="57" spans="2:12" ht="14.45" x14ac:dyDescent="0.3">
      <c r="B57" s="1" t="str">
        <f>IF('RAW DATA'!$C57&lt;&gt;"",'RAW DATA'!$C57,"")</f>
        <v/>
      </c>
      <c r="C57" s="1" t="str">
        <f>IF('RAW DATA'!$D57&lt;&gt;"",'RAW DATA'!$D57,"")</f>
        <v/>
      </c>
      <c r="D57" s="1" t="str">
        <f>IF(AND($B56&lt;&gt;"", $B57=""), "TOTAL:", IF($D56="TOTAL:","VESSEL TARGET "&amp;'RAW DATA'!$E$2&amp;":",IF('RAW DATA'!$E57&lt;&gt;"",'RAW DATA'!$E57,"")))</f>
        <v/>
      </c>
      <c r="E57" s="29" t="str">
        <f t="shared" si="0"/>
        <v/>
      </c>
      <c r="F57" s="4" t="str">
        <f>IF($D56="TOTAL:",FIXED(ROUND(((SUM($F$4:$F55)/'RAW DATA'!$E$2)*100),1),1)&amp;"%",IF($D57="TOTAL:",SUM($F$4:$F56),IF(SUMIF('RAW DATA'!M:M,'RAW DATA'!B57,'RAW DATA'!H:H)=0,"",SUMIF('RAW DATA'!M:M,'RAW DATA'!B57,'RAW DATA'!H:H))))</f>
        <v/>
      </c>
      <c r="G57" s="4" t="str">
        <f>IF($D56="TOTAL:",FIXED(ROUND(((SUM($G$4:$G55)/'RAW DATA'!$E$2)*100),1),1)&amp;"%",IF($D57="TOTAL:",SUM($G$4:$G56),IF(SUMIF('RAW DATA'!M:M,'RAW DATA'!B57,'RAW DATA'!I:I)=0,"",SUMIF('RAW DATA'!M:M,'RAW DATA'!B57,'RAW DATA'!I:I))))</f>
        <v/>
      </c>
      <c r="H57" s="4" t="str">
        <f>IF(SUM(SUMIF('RAW DATA'!M:M,'RAW DATA'!B57,'RAW DATA'!J:J),SUMIF('RAW DATA'!N:N,'RAW DATA'!B57,'RAW DATA'!J:J),SUMIF('RAW DATA'!O:O,'RAW DATA'!B57,'RAW DATA'!J:J),SUMIF('RAW DATA'!P:P,'RAW DATA'!B57,'RAW DATA'!J:J))=0, "", SUM(SUMIF('RAW DATA'!M:M,'RAW DATA'!B57,'RAW DATA'!J:J),SUMIF('RAW DATA'!N:N,'RAW DATA'!B57,'RAW DATA'!J:J),SUMIF('RAW DATA'!O:O,'RAW DATA'!B57,'RAW DATA'!J:J),SUMIF('RAW DATA'!P:P,'RAW DATA'!B57,'RAW DATA'!J:J)))</f>
        <v/>
      </c>
      <c r="I57" s="4" t="str">
        <f>IF(SUMIF('RAW DATA'!M:M,'RAW DATA'!B57, 'RAW DATA'!K:K)=0, "", SUMIF('RAW DATA'!M:M,'RAW DATA'!B57, 'RAW DATA'!K:K))</f>
        <v/>
      </c>
      <c r="J57" s="29" t="str">
        <f>IF('RAW DATA'!B57&lt;&gt;"",IF(OR('RAW DATA'!H57=1,'RAW DATA'!H57=2),1,IF(ISNUMBER(FIND("Medic",'RAW DATA'!E57)),1,"")),"")</f>
        <v/>
      </c>
      <c r="K57" s="29" t="str">
        <f>IF(AND('RAW DATA'!$B57&lt;&gt;"",'RAW DATA'!L57=1),1,"")</f>
        <v/>
      </c>
      <c r="L57" s="24" t="str">
        <f t="shared" si="1"/>
        <v/>
      </c>
    </row>
    <row r="58" spans="2:12" ht="14.45" x14ac:dyDescent="0.3">
      <c r="B58" s="1" t="str">
        <f>IF('RAW DATA'!$C58&lt;&gt;"",'RAW DATA'!$C58,"")</f>
        <v/>
      </c>
      <c r="C58" s="1" t="str">
        <f>IF('RAW DATA'!$D58&lt;&gt;"",'RAW DATA'!$D58,"")</f>
        <v/>
      </c>
      <c r="D58" s="1" t="str">
        <f>IF(AND($B57&lt;&gt;"", $B58=""), "TOTAL:", IF($D57="TOTAL:","VESSEL TARGET "&amp;'RAW DATA'!$E$2&amp;":",IF('RAW DATA'!$E58&lt;&gt;"",'RAW DATA'!$E58,"")))</f>
        <v/>
      </c>
      <c r="E58" s="29" t="str">
        <f t="shared" si="0"/>
        <v/>
      </c>
      <c r="F58" s="4" t="str">
        <f>IF($D57="TOTAL:",FIXED(ROUND(((SUM($F$4:$F56)/'RAW DATA'!$E$2)*100),1),1)&amp;"%",IF($D58="TOTAL:",SUM($F$4:$F57),IF(SUMIF('RAW DATA'!M:M,'RAW DATA'!B58,'RAW DATA'!H:H)=0,"",SUMIF('RAW DATA'!M:M,'RAW DATA'!B58,'RAW DATA'!H:H))))</f>
        <v/>
      </c>
      <c r="G58" s="4" t="str">
        <f>IF($D57="TOTAL:",FIXED(ROUND(((SUM($G$4:$G56)/'RAW DATA'!$E$2)*100),1),1)&amp;"%",IF($D58="TOTAL:",SUM($G$4:$G57),IF(SUMIF('RAW DATA'!M:M,'RAW DATA'!B58,'RAW DATA'!I:I)=0,"",SUMIF('RAW DATA'!M:M,'RAW DATA'!B58,'RAW DATA'!I:I))))</f>
        <v/>
      </c>
      <c r="H58" s="4" t="str">
        <f>IF(SUM(SUMIF('RAW DATA'!M:M,'RAW DATA'!B58,'RAW DATA'!J:J),SUMIF('RAW DATA'!N:N,'RAW DATA'!B58,'RAW DATA'!J:J),SUMIF('RAW DATA'!O:O,'RAW DATA'!B58,'RAW DATA'!J:J),SUMIF('RAW DATA'!P:P,'RAW DATA'!B58,'RAW DATA'!J:J))=0, "", SUM(SUMIF('RAW DATA'!M:M,'RAW DATA'!B58,'RAW DATA'!J:J),SUMIF('RAW DATA'!N:N,'RAW DATA'!B58,'RAW DATA'!J:J),SUMIF('RAW DATA'!O:O,'RAW DATA'!B58,'RAW DATA'!J:J),SUMIF('RAW DATA'!P:P,'RAW DATA'!B58,'RAW DATA'!J:J)))</f>
        <v/>
      </c>
      <c r="I58" s="4" t="str">
        <f>IF(SUMIF('RAW DATA'!M:M,'RAW DATA'!B58, 'RAW DATA'!K:K)=0, "", SUMIF('RAW DATA'!M:M,'RAW DATA'!B58, 'RAW DATA'!K:K))</f>
        <v/>
      </c>
      <c r="J58" s="29" t="str">
        <f>IF('RAW DATA'!B58&lt;&gt;"",IF(OR('RAW DATA'!H58=1,'RAW DATA'!H58=2),1,IF(ISNUMBER(FIND("Medic",'RAW DATA'!E58)),1,"")),"")</f>
        <v/>
      </c>
      <c r="K58" s="29" t="str">
        <f>IF(AND('RAW DATA'!$B58&lt;&gt;"",'RAW DATA'!L58=1),1,"")</f>
        <v/>
      </c>
      <c r="L58" s="24" t="str">
        <f t="shared" si="1"/>
        <v/>
      </c>
    </row>
    <row r="59" spans="2:12" ht="14.45" x14ac:dyDescent="0.3">
      <c r="B59" s="1" t="str">
        <f>IF('RAW DATA'!$C59&lt;&gt;"",'RAW DATA'!$C59,"")</f>
        <v/>
      </c>
      <c r="C59" s="1" t="str">
        <f>IF('RAW DATA'!$D59&lt;&gt;"",'RAW DATA'!$D59,"")</f>
        <v/>
      </c>
      <c r="D59" s="1" t="str">
        <f>IF(AND($B58&lt;&gt;"", $B59=""), "TOTAL:", IF($D58="TOTAL:","VESSEL TARGET "&amp;'RAW DATA'!$E$2&amp;":",IF('RAW DATA'!$E59&lt;&gt;"",'RAW DATA'!$E59,"")))</f>
        <v/>
      </c>
      <c r="E59" s="29" t="str">
        <f t="shared" si="0"/>
        <v/>
      </c>
      <c r="F59" s="4" t="str">
        <f>IF($D58="TOTAL:",FIXED(ROUND(((SUM($F$4:$F57)/'RAW DATA'!$E$2)*100),1),1)&amp;"%",IF($D59="TOTAL:",SUM($F$4:$F58),IF(SUMIF('RAW DATA'!M:M,'RAW DATA'!B59,'RAW DATA'!H:H)=0,"",SUMIF('RAW DATA'!M:M,'RAW DATA'!B59,'RAW DATA'!H:H))))</f>
        <v/>
      </c>
      <c r="G59" s="4" t="str">
        <f>IF($D58="TOTAL:",FIXED(ROUND(((SUM($G$4:$G57)/'RAW DATA'!$E$2)*100),1),1)&amp;"%",IF($D59="TOTAL:",SUM($G$4:$G58),IF(SUMIF('RAW DATA'!M:M,'RAW DATA'!B59,'RAW DATA'!I:I)=0,"",SUMIF('RAW DATA'!M:M,'RAW DATA'!B59,'RAW DATA'!I:I))))</f>
        <v/>
      </c>
      <c r="H59" s="4" t="str">
        <f>IF(SUM(SUMIF('RAW DATA'!M:M,'RAW DATA'!B59,'RAW DATA'!J:J),SUMIF('RAW DATA'!N:N,'RAW DATA'!B59,'RAW DATA'!J:J),SUMIF('RAW DATA'!O:O,'RAW DATA'!B59,'RAW DATA'!J:J),SUMIF('RAW DATA'!P:P,'RAW DATA'!B59,'RAW DATA'!J:J))=0, "", SUM(SUMIF('RAW DATA'!M:M,'RAW DATA'!B59,'RAW DATA'!J:J),SUMIF('RAW DATA'!N:N,'RAW DATA'!B59,'RAW DATA'!J:J),SUMIF('RAW DATA'!O:O,'RAW DATA'!B59,'RAW DATA'!J:J),SUMIF('RAW DATA'!P:P,'RAW DATA'!B59,'RAW DATA'!J:J)))</f>
        <v/>
      </c>
      <c r="I59" s="4" t="str">
        <f>IF(SUMIF('RAW DATA'!M:M,'RAW DATA'!B59, 'RAW DATA'!K:K)=0, "", SUMIF('RAW DATA'!M:M,'RAW DATA'!B59, 'RAW DATA'!K:K))</f>
        <v/>
      </c>
      <c r="J59" s="29" t="str">
        <f>IF('RAW DATA'!B59&lt;&gt;"",IF(OR('RAW DATA'!H59=1,'RAW DATA'!H59=2),1,IF(ISNUMBER(FIND("Medic",'RAW DATA'!E59)),1,"")),"")</f>
        <v/>
      </c>
      <c r="K59" s="29" t="str">
        <f>IF(AND('RAW DATA'!$B59&lt;&gt;"",'RAW DATA'!L59=1),1,"")</f>
        <v/>
      </c>
      <c r="L59" s="24" t="str">
        <f t="shared" si="1"/>
        <v/>
      </c>
    </row>
    <row r="60" spans="2:12" ht="14.45" x14ac:dyDescent="0.3">
      <c r="B60" s="1" t="str">
        <f>IF('RAW DATA'!$C60&lt;&gt;"",'RAW DATA'!$C60,"")</f>
        <v/>
      </c>
      <c r="C60" s="1" t="str">
        <f>IF('RAW DATA'!$D60&lt;&gt;"",'RAW DATA'!$D60,"")</f>
        <v/>
      </c>
      <c r="D60" s="1" t="str">
        <f>IF(AND($B59&lt;&gt;"", $B60=""), "TOTAL:", IF($D59="TOTAL:","VESSEL TARGET "&amp;'RAW DATA'!$E$2&amp;":",IF('RAW DATA'!$E60&lt;&gt;"",'RAW DATA'!$E60,"")))</f>
        <v/>
      </c>
      <c r="E60" s="29" t="str">
        <f t="shared" si="0"/>
        <v/>
      </c>
      <c r="F60" s="4" t="str">
        <f>IF($D59="TOTAL:",FIXED(ROUND(((SUM($F$4:$F58)/'RAW DATA'!$E$2)*100),1),1)&amp;"%",IF($D60="TOTAL:",SUM($F$4:$F59),IF(SUMIF('RAW DATA'!M:M,'RAW DATA'!B60,'RAW DATA'!H:H)=0,"",SUMIF('RAW DATA'!M:M,'RAW DATA'!B60,'RAW DATA'!H:H))))</f>
        <v/>
      </c>
      <c r="G60" s="4" t="str">
        <f>IF($D59="TOTAL:",FIXED(ROUND(((SUM($G$4:$G58)/'RAW DATA'!$E$2)*100),1),1)&amp;"%",IF($D60="TOTAL:",SUM($G$4:$G59),IF(SUMIF('RAW DATA'!M:M,'RAW DATA'!B60,'RAW DATA'!I:I)=0,"",SUMIF('RAW DATA'!M:M,'RAW DATA'!B60,'RAW DATA'!I:I))))</f>
        <v/>
      </c>
      <c r="H60" s="4" t="str">
        <f>IF(SUM(SUMIF('RAW DATA'!M:M,'RAW DATA'!B60,'RAW DATA'!J:J),SUMIF('RAW DATA'!N:N,'RAW DATA'!B60,'RAW DATA'!J:J),SUMIF('RAW DATA'!O:O,'RAW DATA'!B60,'RAW DATA'!J:J),SUMIF('RAW DATA'!P:P,'RAW DATA'!B60,'RAW DATA'!J:J))=0, "", SUM(SUMIF('RAW DATA'!M:M,'RAW DATA'!B60,'RAW DATA'!J:J),SUMIF('RAW DATA'!N:N,'RAW DATA'!B60,'RAW DATA'!J:J),SUMIF('RAW DATA'!O:O,'RAW DATA'!B60,'RAW DATA'!J:J),SUMIF('RAW DATA'!P:P,'RAW DATA'!B60,'RAW DATA'!J:J)))</f>
        <v/>
      </c>
      <c r="I60" s="4" t="str">
        <f>IF(SUMIF('RAW DATA'!M:M,'RAW DATA'!B60, 'RAW DATA'!K:K)=0, "", SUMIF('RAW DATA'!M:M,'RAW DATA'!B60, 'RAW DATA'!K:K))</f>
        <v/>
      </c>
      <c r="J60" s="29" t="str">
        <f>IF('RAW DATA'!B60&lt;&gt;"",IF(OR('RAW DATA'!H60=1,'RAW DATA'!H60=2),1,IF(ISNUMBER(FIND("Medic",'RAW DATA'!E60)),1,"")),"")</f>
        <v/>
      </c>
      <c r="K60" s="29" t="str">
        <f>IF(AND('RAW DATA'!$B60&lt;&gt;"",'RAW DATA'!L60=1),1,"")</f>
        <v/>
      </c>
      <c r="L60" s="24" t="str">
        <f t="shared" si="1"/>
        <v/>
      </c>
    </row>
    <row r="61" spans="2:12" ht="14.45" x14ac:dyDescent="0.3">
      <c r="B61" s="1" t="str">
        <f>IF('RAW DATA'!$C61&lt;&gt;"",'RAW DATA'!$C61,"")</f>
        <v/>
      </c>
      <c r="C61" s="1" t="str">
        <f>IF('RAW DATA'!$D61&lt;&gt;"",'RAW DATA'!$D61,"")</f>
        <v/>
      </c>
      <c r="D61" s="1" t="str">
        <f>IF(AND($B60&lt;&gt;"", $B61=""), "TOTAL:", IF($D60="TOTAL:","VESSEL TARGET "&amp;'RAW DATA'!$E$2&amp;":",IF('RAW DATA'!$E61&lt;&gt;"",'RAW DATA'!$E61,"")))</f>
        <v/>
      </c>
      <c r="E61" s="29" t="str">
        <f t="shared" si="0"/>
        <v/>
      </c>
      <c r="F61" s="4" t="str">
        <f>IF($D60="TOTAL:",FIXED(ROUND(((SUM($F$4:$F59)/'RAW DATA'!$E$2)*100),1),1)&amp;"%",IF($D61="TOTAL:",SUM($F$4:$F60),IF(SUMIF('RAW DATA'!M:M,'RAW DATA'!B61,'RAW DATA'!H:H)=0,"",SUMIF('RAW DATA'!M:M,'RAW DATA'!B61,'RAW DATA'!H:H))))</f>
        <v/>
      </c>
      <c r="G61" s="4" t="str">
        <f>IF($D60="TOTAL:",FIXED(ROUND(((SUM($G$4:$G59)/'RAW DATA'!$E$2)*100),1),1)&amp;"%",IF($D61="TOTAL:",SUM($G$4:$G60),IF(SUMIF('RAW DATA'!M:M,'RAW DATA'!B61,'RAW DATA'!I:I)=0,"",SUMIF('RAW DATA'!M:M,'RAW DATA'!B61,'RAW DATA'!I:I))))</f>
        <v/>
      </c>
      <c r="H61" s="4" t="str">
        <f>IF(SUM(SUMIF('RAW DATA'!M:M,'RAW DATA'!B61,'RAW DATA'!J:J),SUMIF('RAW DATA'!N:N,'RAW DATA'!B61,'RAW DATA'!J:J),SUMIF('RAW DATA'!O:O,'RAW DATA'!B61,'RAW DATA'!J:J),SUMIF('RAW DATA'!P:P,'RAW DATA'!B61,'RAW DATA'!J:J))=0, "", SUM(SUMIF('RAW DATA'!M:M,'RAW DATA'!B61,'RAW DATA'!J:J),SUMIF('RAW DATA'!N:N,'RAW DATA'!B61,'RAW DATA'!J:J),SUMIF('RAW DATA'!O:O,'RAW DATA'!B61,'RAW DATA'!J:J),SUMIF('RAW DATA'!P:P,'RAW DATA'!B61,'RAW DATA'!J:J)))</f>
        <v/>
      </c>
      <c r="I61" s="4" t="str">
        <f>IF(SUMIF('RAW DATA'!M:M,'RAW DATA'!B61, 'RAW DATA'!K:K)=0, "", SUMIF('RAW DATA'!M:M,'RAW DATA'!B61, 'RAW DATA'!K:K))</f>
        <v/>
      </c>
      <c r="J61" s="29" t="str">
        <f>IF('RAW DATA'!B61&lt;&gt;"",IF(OR('RAW DATA'!H61=1,'RAW DATA'!H61=2),1,IF(ISNUMBER(FIND("Medic",'RAW DATA'!E61)),1,"")),"")</f>
        <v/>
      </c>
      <c r="K61" s="29" t="str">
        <f>IF(AND('RAW DATA'!$B61&lt;&gt;"",'RAW DATA'!L61=1),1,"")</f>
        <v/>
      </c>
      <c r="L61" s="24" t="str">
        <f t="shared" si="1"/>
        <v/>
      </c>
    </row>
    <row r="62" spans="2:12" ht="14.45" x14ac:dyDescent="0.3">
      <c r="B62" s="1" t="str">
        <f>IF('RAW DATA'!$C62&lt;&gt;"",'RAW DATA'!$C62,"")</f>
        <v/>
      </c>
      <c r="C62" s="1" t="str">
        <f>IF('RAW DATA'!$D62&lt;&gt;"",'RAW DATA'!$D62,"")</f>
        <v/>
      </c>
      <c r="D62" s="1" t="str">
        <f>IF(AND($B61&lt;&gt;"", $B62=""), "TOTAL:", IF($D61="TOTAL:","VESSEL TARGET "&amp;'RAW DATA'!$E$2&amp;":",IF('RAW DATA'!$E62&lt;&gt;"",'RAW DATA'!$E62,"")))</f>
        <v/>
      </c>
      <c r="E62" s="29" t="str">
        <f t="shared" si="0"/>
        <v/>
      </c>
      <c r="F62" s="4" t="str">
        <f>IF($D61="TOTAL:",FIXED(ROUND(((SUM($F$4:$F60)/'RAW DATA'!$E$2)*100),1),1)&amp;"%",IF($D62="TOTAL:",SUM($F$4:$F61),IF(SUMIF('RAW DATA'!M:M,'RAW DATA'!B62,'RAW DATA'!H:H)=0,"",SUMIF('RAW DATA'!M:M,'RAW DATA'!B62,'RAW DATA'!H:H))))</f>
        <v/>
      </c>
      <c r="G62" s="4" t="str">
        <f>IF($D61="TOTAL:",FIXED(ROUND(((SUM($G$4:$G60)/'RAW DATA'!$E$2)*100),1),1)&amp;"%",IF($D62="TOTAL:",SUM($G$4:$G61),IF(SUMIF('RAW DATA'!M:M,'RAW DATA'!B62,'RAW DATA'!I:I)=0,"",SUMIF('RAW DATA'!M:M,'RAW DATA'!B62,'RAW DATA'!I:I))))</f>
        <v/>
      </c>
      <c r="H62" s="4" t="str">
        <f>IF(SUM(SUMIF('RAW DATA'!M:M,'RAW DATA'!B62,'RAW DATA'!J:J),SUMIF('RAW DATA'!N:N,'RAW DATA'!B62,'RAW DATA'!J:J),SUMIF('RAW DATA'!O:O,'RAW DATA'!B62,'RAW DATA'!J:J),SUMIF('RAW DATA'!P:P,'RAW DATA'!B62,'RAW DATA'!J:J))=0, "", SUM(SUMIF('RAW DATA'!M:M,'RAW DATA'!B62,'RAW DATA'!J:J),SUMIF('RAW DATA'!N:N,'RAW DATA'!B62,'RAW DATA'!J:J),SUMIF('RAW DATA'!O:O,'RAW DATA'!B62,'RAW DATA'!J:J),SUMIF('RAW DATA'!P:P,'RAW DATA'!B62,'RAW DATA'!J:J)))</f>
        <v/>
      </c>
      <c r="I62" s="4" t="str">
        <f>IF(SUMIF('RAW DATA'!M:M,'RAW DATA'!B62, 'RAW DATA'!K:K)=0, "", SUMIF('RAW DATA'!M:M,'RAW DATA'!B62, 'RAW DATA'!K:K))</f>
        <v/>
      </c>
      <c r="J62" s="29" t="str">
        <f>IF('RAW DATA'!B62&lt;&gt;"",IF(OR('RAW DATA'!H62=1,'RAW DATA'!H62=2),1,IF(ISNUMBER(FIND("Medic",'RAW DATA'!E62)),1,"")),"")</f>
        <v/>
      </c>
      <c r="K62" s="29" t="str">
        <f>IF(AND('RAW DATA'!$B62&lt;&gt;"",'RAW DATA'!L62=1),1,"")</f>
        <v/>
      </c>
      <c r="L62" s="24" t="str">
        <f t="shared" si="1"/>
        <v/>
      </c>
    </row>
    <row r="63" spans="2:12" ht="14.45" x14ac:dyDescent="0.3">
      <c r="B63" s="1" t="str">
        <f>IF('RAW DATA'!$C63&lt;&gt;"",'RAW DATA'!$C63,"")</f>
        <v/>
      </c>
      <c r="C63" s="1" t="str">
        <f>IF('RAW DATA'!$D63&lt;&gt;"",'RAW DATA'!$D63,"")</f>
        <v/>
      </c>
      <c r="D63" s="1" t="str">
        <f>IF(AND($B62&lt;&gt;"", $B63=""), "TOTAL:", IF($D62="TOTAL:","VESSEL TARGET "&amp;'RAW DATA'!$E$2&amp;":",IF('RAW DATA'!$E63&lt;&gt;"",'RAW DATA'!$E63,"")))</f>
        <v/>
      </c>
      <c r="E63" s="29" t="str">
        <f t="shared" si="0"/>
        <v/>
      </c>
      <c r="F63" s="4" t="str">
        <f>IF($D62="TOTAL:",FIXED(ROUND(((SUM($F$4:$F61)/'RAW DATA'!$E$2)*100),1),1)&amp;"%",IF($D63="TOTAL:",SUM($F$4:$F62),IF(SUMIF('RAW DATA'!M:M,'RAW DATA'!B63,'RAW DATA'!H:H)=0,"",SUMIF('RAW DATA'!M:M,'RAW DATA'!B63,'RAW DATA'!H:H))))</f>
        <v/>
      </c>
      <c r="G63" s="4" t="str">
        <f>IF($D62="TOTAL:",FIXED(ROUND(((SUM($G$4:$G61)/'RAW DATA'!$E$2)*100),1),1)&amp;"%",IF($D63="TOTAL:",SUM($G$4:$G62),IF(SUMIF('RAW DATA'!M:M,'RAW DATA'!B63,'RAW DATA'!I:I)=0,"",SUMIF('RAW DATA'!M:M,'RAW DATA'!B63,'RAW DATA'!I:I))))</f>
        <v/>
      </c>
      <c r="H63" s="4" t="str">
        <f>IF(SUM(SUMIF('RAW DATA'!M:M,'RAW DATA'!B63,'RAW DATA'!J:J),SUMIF('RAW DATA'!N:N,'RAW DATA'!B63,'RAW DATA'!J:J),SUMIF('RAW DATA'!O:O,'RAW DATA'!B63,'RAW DATA'!J:J),SUMIF('RAW DATA'!P:P,'RAW DATA'!B63,'RAW DATA'!J:J))=0, "", SUM(SUMIF('RAW DATA'!M:M,'RAW DATA'!B63,'RAW DATA'!J:J),SUMIF('RAW DATA'!N:N,'RAW DATA'!B63,'RAW DATA'!J:J),SUMIF('RAW DATA'!O:O,'RAW DATA'!B63,'RAW DATA'!J:J),SUMIF('RAW DATA'!P:P,'RAW DATA'!B63,'RAW DATA'!J:J)))</f>
        <v/>
      </c>
      <c r="I63" s="4" t="str">
        <f>IF(SUMIF('RAW DATA'!M:M,'RAW DATA'!B63, 'RAW DATA'!K:K)=0, "", SUMIF('RAW DATA'!M:M,'RAW DATA'!B63, 'RAW DATA'!K:K))</f>
        <v/>
      </c>
      <c r="J63" s="29" t="str">
        <f>IF('RAW DATA'!B63&lt;&gt;"",IF(OR('RAW DATA'!H63=1,'RAW DATA'!H63=2),1,IF(ISNUMBER(FIND("Medic",'RAW DATA'!E63)),1,"")),"")</f>
        <v/>
      </c>
      <c r="K63" s="29" t="str">
        <f>IF(AND('RAW DATA'!$B63&lt;&gt;"",'RAW DATA'!L63=1),1,"")</f>
        <v/>
      </c>
      <c r="L63" s="24" t="str">
        <f t="shared" si="1"/>
        <v/>
      </c>
    </row>
    <row r="64" spans="2:12" ht="14.45" x14ac:dyDescent="0.3">
      <c r="B64" s="1" t="str">
        <f>IF('RAW DATA'!$C64&lt;&gt;"",'RAW DATA'!$C64,"")</f>
        <v/>
      </c>
      <c r="C64" s="1" t="str">
        <f>IF('RAW DATA'!$D64&lt;&gt;"",'RAW DATA'!$D64,"")</f>
        <v/>
      </c>
      <c r="D64" s="1" t="str">
        <f>IF(AND($B63&lt;&gt;"", $B64=""), "TOTAL:", IF($D63="TOTAL:","VESSEL TARGET "&amp;'RAW DATA'!$E$2&amp;":",IF('RAW DATA'!$E64&lt;&gt;"",'RAW DATA'!$E64,"")))</f>
        <v/>
      </c>
      <c r="E64" s="29" t="str">
        <f t="shared" si="0"/>
        <v/>
      </c>
      <c r="F64" s="4" t="str">
        <f>IF($D63="TOTAL:",FIXED(ROUND(((SUM($F$4:$F62)/'RAW DATA'!$E$2)*100),1),1)&amp;"%",IF($D64="TOTAL:",SUM($F$4:$F63),IF(SUMIF('RAW DATA'!M:M,'RAW DATA'!B64,'RAW DATA'!H:H)=0,"",SUMIF('RAW DATA'!M:M,'RAW DATA'!B64,'RAW DATA'!H:H))))</f>
        <v/>
      </c>
      <c r="G64" s="4" t="str">
        <f>IF($D63="TOTAL:",FIXED(ROUND(((SUM($G$4:$G62)/'RAW DATA'!$E$2)*100),1),1)&amp;"%",IF($D64="TOTAL:",SUM($G$4:$G63),IF(SUMIF('RAW DATA'!M:M,'RAW DATA'!B64,'RAW DATA'!I:I)=0,"",SUMIF('RAW DATA'!M:M,'RAW DATA'!B64,'RAW DATA'!I:I))))</f>
        <v/>
      </c>
      <c r="H64" s="4" t="str">
        <f>IF(SUM(SUMIF('RAW DATA'!M:M,'RAW DATA'!B64,'RAW DATA'!J:J),SUMIF('RAW DATA'!N:N,'RAW DATA'!B64,'RAW DATA'!J:J),SUMIF('RAW DATA'!O:O,'RAW DATA'!B64,'RAW DATA'!J:J),SUMIF('RAW DATA'!P:P,'RAW DATA'!B64,'RAW DATA'!J:J))=0, "", SUM(SUMIF('RAW DATA'!M:M,'RAW DATA'!B64,'RAW DATA'!J:J),SUMIF('RAW DATA'!N:N,'RAW DATA'!B64,'RAW DATA'!J:J),SUMIF('RAW DATA'!O:O,'RAW DATA'!B64,'RAW DATA'!J:J),SUMIF('RAW DATA'!P:P,'RAW DATA'!B64,'RAW DATA'!J:J)))</f>
        <v/>
      </c>
      <c r="I64" s="4" t="str">
        <f>IF(SUMIF('RAW DATA'!M:M,'RAW DATA'!B64, 'RAW DATA'!K:K)=0, "", SUMIF('RAW DATA'!M:M,'RAW DATA'!B64, 'RAW DATA'!K:K))</f>
        <v/>
      </c>
      <c r="J64" s="29" t="str">
        <f>IF('RAW DATA'!B64&lt;&gt;"",IF(OR('RAW DATA'!H64=1,'RAW DATA'!H64=2),1,IF(ISNUMBER(FIND("Medic",'RAW DATA'!E64)),1,"")),"")</f>
        <v/>
      </c>
      <c r="K64" s="29" t="str">
        <f>IF(AND('RAW DATA'!$B64&lt;&gt;"",'RAW DATA'!L64=1),1,"")</f>
        <v/>
      </c>
      <c r="L64" s="24" t="str">
        <f t="shared" si="1"/>
        <v/>
      </c>
    </row>
    <row r="65" spans="2:12" ht="14.45" x14ac:dyDescent="0.3">
      <c r="B65" s="1" t="str">
        <f>IF('RAW DATA'!$C65&lt;&gt;"",'RAW DATA'!$C65,"")</f>
        <v/>
      </c>
      <c r="C65" s="1" t="str">
        <f>IF('RAW DATA'!$D65&lt;&gt;"",'RAW DATA'!$D65,"")</f>
        <v/>
      </c>
      <c r="D65" s="1" t="str">
        <f>IF(AND($B64&lt;&gt;"", $B65=""), "TOTAL:", IF($D64="TOTAL:","VESSEL TARGET "&amp;'RAW DATA'!$E$2&amp;":",IF('RAW DATA'!$E65&lt;&gt;"",'RAW DATA'!$E65,"")))</f>
        <v/>
      </c>
      <c r="E65" s="29" t="str">
        <f t="shared" si="0"/>
        <v/>
      </c>
      <c r="F65" s="4" t="str">
        <f>IF($D64="TOTAL:",FIXED(ROUND(((SUM($F$4:$F63)/'RAW DATA'!$E$2)*100),1),1)&amp;"%",IF($D65="TOTAL:",SUM($F$4:$F64),IF(SUMIF('RAW DATA'!M:M,'RAW DATA'!B65,'RAW DATA'!H:H)=0,"",SUMIF('RAW DATA'!M:M,'RAW DATA'!B65,'RAW DATA'!H:H))))</f>
        <v/>
      </c>
      <c r="G65" s="4" t="str">
        <f>IF($D64="TOTAL:",FIXED(ROUND(((SUM($G$4:$G63)/'RAW DATA'!$E$2)*100),1),1)&amp;"%",IF($D65="TOTAL:",SUM($G$4:$G64),IF(SUMIF('RAW DATA'!M:M,'RAW DATA'!B65,'RAW DATA'!I:I)=0,"",SUMIF('RAW DATA'!M:M,'RAW DATA'!B65,'RAW DATA'!I:I))))</f>
        <v/>
      </c>
      <c r="H65" s="4" t="str">
        <f>IF(SUM(SUMIF('RAW DATA'!M:M,'RAW DATA'!B65,'RAW DATA'!J:J),SUMIF('RAW DATA'!N:N,'RAW DATA'!B65,'RAW DATA'!J:J),SUMIF('RAW DATA'!O:O,'RAW DATA'!B65,'RAW DATA'!J:J),SUMIF('RAW DATA'!P:P,'RAW DATA'!B65,'RAW DATA'!J:J))=0, "", SUM(SUMIF('RAW DATA'!M:M,'RAW DATA'!B65,'RAW DATA'!J:J),SUMIF('RAW DATA'!N:N,'RAW DATA'!B65,'RAW DATA'!J:J),SUMIF('RAW DATA'!O:O,'RAW DATA'!B65,'RAW DATA'!J:J),SUMIF('RAW DATA'!P:P,'RAW DATA'!B65,'RAW DATA'!J:J)))</f>
        <v/>
      </c>
      <c r="I65" s="4" t="str">
        <f>IF(SUMIF('RAW DATA'!M:M,'RAW DATA'!B65, 'RAW DATA'!K:K)=0, "", SUMIF('RAW DATA'!M:M,'RAW DATA'!B65, 'RAW DATA'!K:K))</f>
        <v/>
      </c>
      <c r="J65" s="29" t="str">
        <f>IF('RAW DATA'!B65&lt;&gt;"",IF(OR('RAW DATA'!H65=1,'RAW DATA'!H65=2),1,IF(ISNUMBER(FIND("Medic",'RAW DATA'!E65)),1,"")),"")</f>
        <v/>
      </c>
      <c r="K65" s="29" t="str">
        <f>IF(AND('RAW DATA'!$B65&lt;&gt;"",'RAW DATA'!L65=1),1,"")</f>
        <v/>
      </c>
      <c r="L65" s="24" t="str">
        <f t="shared" si="1"/>
        <v/>
      </c>
    </row>
    <row r="66" spans="2:12" ht="14.45" x14ac:dyDescent="0.3">
      <c r="B66" s="1" t="str">
        <f>IF('RAW DATA'!$C66&lt;&gt;"",'RAW DATA'!$C66,"")</f>
        <v/>
      </c>
      <c r="C66" s="1" t="str">
        <f>IF('RAW DATA'!$D66&lt;&gt;"",'RAW DATA'!$D66,"")</f>
        <v/>
      </c>
      <c r="D66" s="1" t="str">
        <f>IF(AND($B65&lt;&gt;"", $B66=""), "TOTAL:", IF($D65="TOTAL:","VESSEL TARGET "&amp;'RAW DATA'!$E$2&amp;":",IF('RAW DATA'!$E66&lt;&gt;"",'RAW DATA'!$E66,"")))</f>
        <v/>
      </c>
      <c r="E66" s="29" t="str">
        <f t="shared" si="0"/>
        <v/>
      </c>
      <c r="F66" s="4" t="str">
        <f>IF($D65="TOTAL:",FIXED(ROUND(((SUM($F$4:$F64)/'RAW DATA'!$E$2)*100),1),1)&amp;"%",IF($D66="TOTAL:",SUM($F$4:$F65),IF(SUMIF('RAW DATA'!M:M,'RAW DATA'!B66,'RAW DATA'!H:H)=0,"",SUMIF('RAW DATA'!M:M,'RAW DATA'!B66,'RAW DATA'!H:H))))</f>
        <v/>
      </c>
      <c r="G66" s="4" t="str">
        <f>IF($D65="TOTAL:",FIXED(ROUND(((SUM($G$4:$G64)/'RAW DATA'!$E$2)*100),1),1)&amp;"%",IF($D66="TOTAL:",SUM($G$4:$G65),IF(SUMIF('RAW DATA'!M:M,'RAW DATA'!B66,'RAW DATA'!I:I)=0,"",SUMIF('RAW DATA'!M:M,'RAW DATA'!B66,'RAW DATA'!I:I))))</f>
        <v/>
      </c>
      <c r="H66" s="4" t="str">
        <f>IF(SUM(SUMIF('RAW DATA'!M:M,'RAW DATA'!B66,'RAW DATA'!J:J),SUMIF('RAW DATA'!N:N,'RAW DATA'!B66,'RAW DATA'!J:J),SUMIF('RAW DATA'!O:O,'RAW DATA'!B66,'RAW DATA'!J:J),SUMIF('RAW DATA'!P:P,'RAW DATA'!B66,'RAW DATA'!J:J))=0, "", SUM(SUMIF('RAW DATA'!M:M,'RAW DATA'!B66,'RAW DATA'!J:J),SUMIF('RAW DATA'!N:N,'RAW DATA'!B66,'RAW DATA'!J:J),SUMIF('RAW DATA'!O:O,'RAW DATA'!B66,'RAW DATA'!J:J),SUMIF('RAW DATA'!P:P,'RAW DATA'!B66,'RAW DATA'!J:J)))</f>
        <v/>
      </c>
      <c r="I66" s="4" t="str">
        <f>IF(SUMIF('RAW DATA'!M:M,'RAW DATA'!B66, 'RAW DATA'!K:K)=0, "", SUMIF('RAW DATA'!M:M,'RAW DATA'!B66, 'RAW DATA'!K:K))</f>
        <v/>
      </c>
      <c r="J66" s="29" t="str">
        <f>IF('RAW DATA'!B66&lt;&gt;"",IF(OR('RAW DATA'!H66=1,'RAW DATA'!H66=2),1,IF(ISNUMBER(FIND("Medic",'RAW DATA'!E66)),1,"")),"")</f>
        <v/>
      </c>
      <c r="K66" s="29" t="str">
        <f>IF(AND('RAW DATA'!$B66&lt;&gt;"",'RAW DATA'!L66=1),1,"")</f>
        <v/>
      </c>
      <c r="L66" s="24" t="str">
        <f t="shared" si="1"/>
        <v/>
      </c>
    </row>
    <row r="67" spans="2:12" ht="14.45" x14ac:dyDescent="0.3">
      <c r="B67" s="1" t="str">
        <f>IF('RAW DATA'!$C67&lt;&gt;"",'RAW DATA'!$C67,"")</f>
        <v/>
      </c>
      <c r="C67" s="1" t="str">
        <f>IF('RAW DATA'!$D67&lt;&gt;"",'RAW DATA'!$D67,"")</f>
        <v/>
      </c>
      <c r="D67" s="1" t="str">
        <f>IF(AND($B66&lt;&gt;"", $B67=""), "TOTAL:", IF($D66="TOTAL:","VESSEL TARGET "&amp;'RAW DATA'!$E$2&amp;":",IF('RAW DATA'!$E67&lt;&gt;"",'RAW DATA'!$E67,"")))</f>
        <v/>
      </c>
      <c r="E67" s="29" t="str">
        <f t="shared" si="0"/>
        <v/>
      </c>
      <c r="F67" s="4" t="str">
        <f>IF($D66="TOTAL:",FIXED(ROUND(((SUM($F$4:$F65)/'RAW DATA'!$E$2)*100),1),1)&amp;"%",IF($D67="TOTAL:",SUM($F$4:$F66),IF(SUMIF('RAW DATA'!M:M,'RAW DATA'!B67,'RAW DATA'!H:H)=0,"",SUMIF('RAW DATA'!M:M,'RAW DATA'!B67,'RAW DATA'!H:H))))</f>
        <v/>
      </c>
      <c r="G67" s="4" t="str">
        <f>IF($D66="TOTAL:",FIXED(ROUND(((SUM($G$4:$G65)/'RAW DATA'!$E$2)*100),1),1)&amp;"%",IF($D67="TOTAL:",SUM($G$4:$G66),IF(SUMIF('RAW DATA'!M:M,'RAW DATA'!B67,'RAW DATA'!I:I)=0,"",SUMIF('RAW DATA'!M:M,'RAW DATA'!B67,'RAW DATA'!I:I))))</f>
        <v/>
      </c>
      <c r="H67" s="4" t="str">
        <f>IF(SUM(SUMIF('RAW DATA'!M:M,'RAW DATA'!B67,'RAW DATA'!J:J),SUMIF('RAW DATA'!N:N,'RAW DATA'!B67,'RAW DATA'!J:J),SUMIF('RAW DATA'!O:O,'RAW DATA'!B67,'RAW DATA'!J:J),SUMIF('RAW DATA'!P:P,'RAW DATA'!B67,'RAW DATA'!J:J))=0, "", SUM(SUMIF('RAW DATA'!M:M,'RAW DATA'!B67,'RAW DATA'!J:J),SUMIF('RAW DATA'!N:N,'RAW DATA'!B67,'RAW DATA'!J:J),SUMIF('RAW DATA'!O:O,'RAW DATA'!B67,'RAW DATA'!J:J),SUMIF('RAW DATA'!P:P,'RAW DATA'!B67,'RAW DATA'!J:J)))</f>
        <v/>
      </c>
      <c r="I67" s="4" t="str">
        <f>IF(SUMIF('RAW DATA'!M:M,'RAW DATA'!B67, 'RAW DATA'!K:K)=0, "", SUMIF('RAW DATA'!M:M,'RAW DATA'!B67, 'RAW DATA'!K:K))</f>
        <v/>
      </c>
      <c r="J67" s="29" t="str">
        <f>IF('RAW DATA'!B67&lt;&gt;"",IF(OR('RAW DATA'!H67=1,'RAW DATA'!H67=2),1,IF(ISNUMBER(FIND("Medic",'RAW DATA'!E67)),1,"")),"")</f>
        <v/>
      </c>
      <c r="K67" s="29" t="str">
        <f>IF(AND('RAW DATA'!$B67&lt;&gt;"",'RAW DATA'!L67=1),1,"")</f>
        <v/>
      </c>
      <c r="L67" s="24" t="str">
        <f t="shared" si="1"/>
        <v/>
      </c>
    </row>
    <row r="68" spans="2:12" ht="14.45" x14ac:dyDescent="0.3">
      <c r="B68" s="1" t="str">
        <f>IF('RAW DATA'!$C68&lt;&gt;"",'RAW DATA'!$C68,"")</f>
        <v/>
      </c>
      <c r="C68" s="1" t="str">
        <f>IF('RAW DATA'!$D68&lt;&gt;"",'RAW DATA'!$D68,"")</f>
        <v/>
      </c>
      <c r="D68" s="1" t="str">
        <f>IF(AND($B67&lt;&gt;"", $B68=""), "TOTAL:", IF($D67="TOTAL:","VESSEL TARGET "&amp;'RAW DATA'!$E$2&amp;":",IF('RAW DATA'!$E68&lt;&gt;"",'RAW DATA'!$E68,"")))</f>
        <v/>
      </c>
      <c r="E68" s="29" t="str">
        <f t="shared" si="0"/>
        <v/>
      </c>
      <c r="F68" s="4" t="str">
        <f>IF($D67="TOTAL:",FIXED(ROUND(((SUM($F$4:$F66)/'RAW DATA'!$E$2)*100),1),1)&amp;"%",IF($D68="TOTAL:",SUM($F$4:$F67),IF(SUMIF('RAW DATA'!M:M,'RAW DATA'!B68,'RAW DATA'!H:H)=0,"",SUMIF('RAW DATA'!M:M,'RAW DATA'!B68,'RAW DATA'!H:H))))</f>
        <v/>
      </c>
      <c r="G68" s="4" t="str">
        <f>IF($D67="TOTAL:",FIXED(ROUND(((SUM($G$4:$G66)/'RAW DATA'!$E$2)*100),1),1)&amp;"%",IF($D68="TOTAL:",SUM($G$4:$G67),IF(SUMIF('RAW DATA'!M:M,'RAW DATA'!B68,'RAW DATA'!I:I)=0,"",SUMIF('RAW DATA'!M:M,'RAW DATA'!B68,'RAW DATA'!I:I))))</f>
        <v/>
      </c>
      <c r="H68" s="4" t="str">
        <f>IF(SUM(SUMIF('RAW DATA'!M:M,'RAW DATA'!B68,'RAW DATA'!J:J),SUMIF('RAW DATA'!N:N,'RAW DATA'!B68,'RAW DATA'!J:J),SUMIF('RAW DATA'!O:O,'RAW DATA'!B68,'RAW DATA'!J:J),SUMIF('RAW DATA'!P:P,'RAW DATA'!B68,'RAW DATA'!J:J))=0, "", SUM(SUMIF('RAW DATA'!M:M,'RAW DATA'!B68,'RAW DATA'!J:J),SUMIF('RAW DATA'!N:N,'RAW DATA'!B68,'RAW DATA'!J:J),SUMIF('RAW DATA'!O:O,'RAW DATA'!B68,'RAW DATA'!J:J),SUMIF('RAW DATA'!P:P,'RAW DATA'!B68,'RAW DATA'!J:J)))</f>
        <v/>
      </c>
      <c r="I68" s="4" t="str">
        <f>IF(SUMIF('RAW DATA'!M:M,'RAW DATA'!B68, 'RAW DATA'!K:K)=0, "", SUMIF('RAW DATA'!M:M,'RAW DATA'!B68, 'RAW DATA'!K:K))</f>
        <v/>
      </c>
      <c r="J68" s="29" t="str">
        <f>IF('RAW DATA'!B68&lt;&gt;"",IF(OR('RAW DATA'!H68=1,'RAW DATA'!H68=2),1,IF(ISNUMBER(FIND("Medic",'RAW DATA'!E68)),1,"")),"")</f>
        <v/>
      </c>
      <c r="K68" s="29" t="str">
        <f>IF(AND('RAW DATA'!$B68&lt;&gt;"",'RAW DATA'!L68=1),1,"")</f>
        <v/>
      </c>
      <c r="L68" s="24" t="str">
        <f t="shared" si="1"/>
        <v/>
      </c>
    </row>
    <row r="69" spans="2:12" x14ac:dyDescent="0.25">
      <c r="B69" s="1" t="str">
        <f>IF('RAW DATA'!$C69&lt;&gt;"",'RAW DATA'!$C69,"")</f>
        <v/>
      </c>
      <c r="C69" s="1" t="str">
        <f>IF('RAW DATA'!$D69&lt;&gt;"",'RAW DATA'!$D69,"")</f>
        <v/>
      </c>
      <c r="D69" s="1" t="str">
        <f>IF(AND($B68&lt;&gt;"", $B69=""), "TOTAL:", IF($D68="TOTAL:","VESSEL TARGET "&amp;'RAW DATA'!$E$2&amp;":",IF('RAW DATA'!$E69&lt;&gt;"",'RAW DATA'!$E69,"")))</f>
        <v/>
      </c>
      <c r="E69" s="29" t="str">
        <f t="shared" ref="E69:E132" si="2">IF(B69&lt;&gt;"",IF(SUM(FLOOR(SUM(F69)/3,1)*10,FLOOR(SUM(G69)/3,1)*10, IF(SUM(H69)&gt;=1,5,0), IF(SUM(I69)&gt;=2,5,0), IF(SUM(J69)&gt;=1,5,0), IF(SUM(K69)&gt;=1,15,0))&gt;0, SUM(FLOOR(SUM(F69)/3,1)*10,FLOOR(SUM(G69)/3,1)*10, IF(SUM(H69)&gt;=1,5,0), IF(SUM(I69)&gt;=2,5,0), IF(SUM(J69)&gt;=1,5,0), IF(SUM(K69)&gt;=1,15,0)),""),"")</f>
        <v/>
      </c>
      <c r="F69" s="4" t="str">
        <f>IF($D68="TOTAL:",FIXED(ROUND(((SUM($F$4:$F67)/'RAW DATA'!$E$2)*100),1),1)&amp;"%",IF($D69="TOTAL:",SUM($F$4:$F68),IF(SUMIF('RAW DATA'!M:M,'RAW DATA'!B69,'RAW DATA'!H:H)=0,"",SUMIF('RAW DATA'!M:M,'RAW DATA'!B69,'RAW DATA'!H:H))))</f>
        <v/>
      </c>
      <c r="G69" s="4" t="str">
        <f>IF($D68="TOTAL:",FIXED(ROUND(((SUM($G$4:$G67)/'RAW DATA'!$E$2)*100),1),1)&amp;"%",IF($D69="TOTAL:",SUM($G$4:$G68),IF(SUMIF('RAW DATA'!M:M,'RAW DATA'!B69,'RAW DATA'!I:I)=0,"",SUMIF('RAW DATA'!M:M,'RAW DATA'!B69,'RAW DATA'!I:I))))</f>
        <v/>
      </c>
      <c r="H69" s="4" t="str">
        <f>IF(SUM(SUMIF('RAW DATA'!M:M,'RAW DATA'!B69,'RAW DATA'!J:J),SUMIF('RAW DATA'!N:N,'RAW DATA'!B69,'RAW DATA'!J:J),SUMIF('RAW DATA'!O:O,'RAW DATA'!B69,'RAW DATA'!J:J),SUMIF('RAW DATA'!P:P,'RAW DATA'!B69,'RAW DATA'!J:J))=0, "", SUM(SUMIF('RAW DATA'!M:M,'RAW DATA'!B69,'RAW DATA'!J:J),SUMIF('RAW DATA'!N:N,'RAW DATA'!B69,'RAW DATA'!J:J),SUMIF('RAW DATA'!O:O,'RAW DATA'!B69,'RAW DATA'!J:J),SUMIF('RAW DATA'!P:P,'RAW DATA'!B69,'RAW DATA'!J:J)))</f>
        <v/>
      </c>
      <c r="I69" s="4" t="str">
        <f>IF(SUMIF('RAW DATA'!M:M,'RAW DATA'!B69, 'RAW DATA'!K:K)=0, "", SUMIF('RAW DATA'!M:M,'RAW DATA'!B69, 'RAW DATA'!K:K))</f>
        <v/>
      </c>
      <c r="J69" s="29" t="str">
        <f>IF('RAW DATA'!B69&lt;&gt;"",IF(OR('RAW DATA'!H69=1,'RAW DATA'!H69=2),1,IF(ISNUMBER(FIND("Medic",'RAW DATA'!E69)),1,"")),"")</f>
        <v/>
      </c>
      <c r="K69" s="29" t="str">
        <f>IF(AND('RAW DATA'!$B69&lt;&gt;"",'RAW DATA'!L69=1),1,"")</f>
        <v/>
      </c>
      <c r="L69" s="24" t="str">
        <f t="shared" ref="L69:L132" si="3">IF(OR($B69="", $F69="",$G69=""),"",IF(AND($F69&gt;=2,$G69&gt;=2),1,""))</f>
        <v/>
      </c>
    </row>
    <row r="70" spans="2:12" x14ac:dyDescent="0.25">
      <c r="B70" s="1" t="str">
        <f>IF('RAW DATA'!$C70&lt;&gt;"",'RAW DATA'!$C70,"")</f>
        <v/>
      </c>
      <c r="C70" s="1" t="str">
        <f>IF('RAW DATA'!$D70&lt;&gt;"",'RAW DATA'!$D70,"")</f>
        <v/>
      </c>
      <c r="D70" s="1" t="str">
        <f>IF(AND($B69&lt;&gt;"", $B70=""), "TOTAL:", IF($D69="TOTAL:","VESSEL TARGET "&amp;'RAW DATA'!$E$2&amp;":",IF('RAW DATA'!$E70&lt;&gt;"",'RAW DATA'!$E70,"")))</f>
        <v/>
      </c>
      <c r="E70" s="29" t="str">
        <f t="shared" si="2"/>
        <v/>
      </c>
      <c r="F70" s="4" t="str">
        <f>IF($D69="TOTAL:",FIXED(ROUND(((SUM($F$4:$F68)/'RAW DATA'!$E$2)*100),1),1)&amp;"%",IF($D70="TOTAL:",SUM($F$4:$F69),IF(SUMIF('RAW DATA'!M:M,'RAW DATA'!B70,'RAW DATA'!H:H)=0,"",SUMIF('RAW DATA'!M:M,'RAW DATA'!B70,'RAW DATA'!H:H))))</f>
        <v/>
      </c>
      <c r="G70" s="4" t="str">
        <f>IF($D69="TOTAL:",FIXED(ROUND(((SUM($G$4:$G68)/'RAW DATA'!$E$2)*100),1),1)&amp;"%",IF($D70="TOTAL:",SUM($G$4:$G69),IF(SUMIF('RAW DATA'!M:M,'RAW DATA'!B70,'RAW DATA'!I:I)=0,"",SUMIF('RAW DATA'!M:M,'RAW DATA'!B70,'RAW DATA'!I:I))))</f>
        <v/>
      </c>
      <c r="H70" s="4" t="str">
        <f>IF(SUM(SUMIF('RAW DATA'!M:M,'RAW DATA'!B70,'RAW DATA'!J:J),SUMIF('RAW DATA'!N:N,'RAW DATA'!B70,'RAW DATA'!J:J),SUMIF('RAW DATA'!O:O,'RAW DATA'!B70,'RAW DATA'!J:J),SUMIF('RAW DATA'!P:P,'RAW DATA'!B70,'RAW DATA'!J:J))=0, "", SUM(SUMIF('RAW DATA'!M:M,'RAW DATA'!B70,'RAW DATA'!J:J),SUMIF('RAW DATA'!N:N,'RAW DATA'!B70,'RAW DATA'!J:J),SUMIF('RAW DATA'!O:O,'RAW DATA'!B70,'RAW DATA'!J:J),SUMIF('RAW DATA'!P:P,'RAW DATA'!B70,'RAW DATA'!J:J)))</f>
        <v/>
      </c>
      <c r="I70" s="4" t="str">
        <f>IF(SUMIF('RAW DATA'!M:M,'RAW DATA'!B70, 'RAW DATA'!K:K)=0, "", SUMIF('RAW DATA'!M:M,'RAW DATA'!B70, 'RAW DATA'!K:K))</f>
        <v/>
      </c>
      <c r="J70" s="29" t="str">
        <f>IF('RAW DATA'!B70&lt;&gt;"",IF(OR('RAW DATA'!H70=1,'RAW DATA'!H70=2),1,IF(ISNUMBER(FIND("Medic",'RAW DATA'!E70)),1,"")),"")</f>
        <v/>
      </c>
      <c r="K70" s="29" t="str">
        <f>IF(AND('RAW DATA'!$B70&lt;&gt;"",'RAW DATA'!L70=1),1,"")</f>
        <v/>
      </c>
      <c r="L70" s="24" t="str">
        <f t="shared" si="3"/>
        <v/>
      </c>
    </row>
    <row r="71" spans="2:12" x14ac:dyDescent="0.25">
      <c r="B71" s="1" t="str">
        <f>IF('RAW DATA'!$C71&lt;&gt;"",'RAW DATA'!$C71,"")</f>
        <v/>
      </c>
      <c r="C71" s="1" t="str">
        <f>IF('RAW DATA'!$D71&lt;&gt;"",'RAW DATA'!$D71,"")</f>
        <v/>
      </c>
      <c r="D71" s="1" t="str">
        <f>IF(AND($B70&lt;&gt;"", $B71=""), "TOTAL:", IF($D70="TOTAL:","VESSEL TARGET "&amp;'RAW DATA'!$E$2&amp;":",IF('RAW DATA'!$E71&lt;&gt;"",'RAW DATA'!$E71,"")))</f>
        <v/>
      </c>
      <c r="E71" s="29" t="str">
        <f t="shared" si="2"/>
        <v/>
      </c>
      <c r="F71" s="4" t="str">
        <f>IF($D70="TOTAL:",FIXED(ROUND(((SUM($F$4:$F69)/'RAW DATA'!$E$2)*100),1),1)&amp;"%",IF($D71="TOTAL:",SUM($F$4:$F70),IF(SUMIF('RAW DATA'!M:M,'RAW DATA'!B71,'RAW DATA'!H:H)=0,"",SUMIF('RAW DATA'!M:M,'RAW DATA'!B71,'RAW DATA'!H:H))))</f>
        <v/>
      </c>
      <c r="G71" s="4" t="str">
        <f>IF($D70="TOTAL:",FIXED(ROUND(((SUM($G$4:$G69)/'RAW DATA'!$E$2)*100),1),1)&amp;"%",IF($D71="TOTAL:",SUM($G$4:$G70),IF(SUMIF('RAW DATA'!M:M,'RAW DATA'!B71,'RAW DATA'!I:I)=0,"",SUMIF('RAW DATA'!M:M,'RAW DATA'!B71,'RAW DATA'!I:I))))</f>
        <v/>
      </c>
      <c r="H71" s="4" t="str">
        <f>IF(SUM(SUMIF('RAW DATA'!M:M,'RAW DATA'!B71,'RAW DATA'!J:J),SUMIF('RAW DATA'!N:N,'RAW DATA'!B71,'RAW DATA'!J:J),SUMIF('RAW DATA'!O:O,'RAW DATA'!B71,'RAW DATA'!J:J),SUMIF('RAW DATA'!P:P,'RAW DATA'!B71,'RAW DATA'!J:J))=0, "", SUM(SUMIF('RAW DATA'!M:M,'RAW DATA'!B71,'RAW DATA'!J:J),SUMIF('RAW DATA'!N:N,'RAW DATA'!B71,'RAW DATA'!J:J),SUMIF('RAW DATA'!O:O,'RAW DATA'!B71,'RAW DATA'!J:J),SUMIF('RAW DATA'!P:P,'RAW DATA'!B71,'RAW DATA'!J:J)))</f>
        <v/>
      </c>
      <c r="I71" s="4" t="str">
        <f>IF(SUMIF('RAW DATA'!M:M,'RAW DATA'!B71, 'RAW DATA'!K:K)=0, "", SUMIF('RAW DATA'!M:M,'RAW DATA'!B71, 'RAW DATA'!K:K))</f>
        <v/>
      </c>
      <c r="J71" s="29" t="str">
        <f>IF('RAW DATA'!B71&lt;&gt;"",IF(OR('RAW DATA'!H71=1,'RAW DATA'!H71=2),1,IF(ISNUMBER(FIND("Medic",'RAW DATA'!E71)),1,"")),"")</f>
        <v/>
      </c>
      <c r="K71" s="29" t="str">
        <f>IF(AND('RAW DATA'!$B71&lt;&gt;"",'RAW DATA'!L71=1),1,"")</f>
        <v/>
      </c>
      <c r="L71" s="24" t="str">
        <f t="shared" si="3"/>
        <v/>
      </c>
    </row>
    <row r="72" spans="2:12" x14ac:dyDescent="0.25">
      <c r="B72" s="1" t="str">
        <f>IF('RAW DATA'!$C72&lt;&gt;"",'RAW DATA'!$C72,"")</f>
        <v/>
      </c>
      <c r="C72" s="1" t="str">
        <f>IF('RAW DATA'!$D72&lt;&gt;"",'RAW DATA'!$D72,"")</f>
        <v/>
      </c>
      <c r="D72" s="1" t="str">
        <f>IF(AND($B71&lt;&gt;"", $B72=""), "TOTAL:", IF($D71="TOTAL:","VESSEL TARGET "&amp;'RAW DATA'!$E$2&amp;":",IF('RAW DATA'!$E72&lt;&gt;"",'RAW DATA'!$E72,"")))</f>
        <v/>
      </c>
      <c r="E72" s="29" t="str">
        <f t="shared" si="2"/>
        <v/>
      </c>
      <c r="F72" s="4" t="str">
        <f>IF($D71="TOTAL:",FIXED(ROUND(((SUM($F$4:$F70)/'RAW DATA'!$E$2)*100),1),1)&amp;"%",IF($D72="TOTAL:",SUM($F$4:$F71),IF(SUMIF('RAW DATA'!M:M,'RAW DATA'!B72,'RAW DATA'!H:H)=0,"",SUMIF('RAW DATA'!M:M,'RAW DATA'!B72,'RAW DATA'!H:H))))</f>
        <v/>
      </c>
      <c r="G72" s="4" t="str">
        <f>IF($D71="TOTAL:",FIXED(ROUND(((SUM($G$4:$G70)/'RAW DATA'!$E$2)*100),1),1)&amp;"%",IF($D72="TOTAL:",SUM($G$4:$G71),IF(SUMIF('RAW DATA'!M:M,'RAW DATA'!B72,'RAW DATA'!I:I)=0,"",SUMIF('RAW DATA'!M:M,'RAW DATA'!B72,'RAW DATA'!I:I))))</f>
        <v/>
      </c>
      <c r="H72" s="4" t="str">
        <f>IF(SUM(SUMIF('RAW DATA'!M:M,'RAW DATA'!B72,'RAW DATA'!J:J),SUMIF('RAW DATA'!N:N,'RAW DATA'!B72,'RAW DATA'!J:J),SUMIF('RAW DATA'!O:O,'RAW DATA'!B72,'RAW DATA'!J:J),SUMIF('RAW DATA'!P:P,'RAW DATA'!B72,'RAW DATA'!J:J))=0, "", SUM(SUMIF('RAW DATA'!M:M,'RAW DATA'!B72,'RAW DATA'!J:J),SUMIF('RAW DATA'!N:N,'RAW DATA'!B72,'RAW DATA'!J:J),SUMIF('RAW DATA'!O:O,'RAW DATA'!B72,'RAW DATA'!J:J),SUMIF('RAW DATA'!P:P,'RAW DATA'!B72,'RAW DATA'!J:J)))</f>
        <v/>
      </c>
      <c r="I72" s="4" t="str">
        <f>IF(SUMIF('RAW DATA'!M:M,'RAW DATA'!B72, 'RAW DATA'!K:K)=0, "", SUMIF('RAW DATA'!M:M,'RAW DATA'!B72, 'RAW DATA'!K:K))</f>
        <v/>
      </c>
      <c r="J72" s="29" t="str">
        <f>IF('RAW DATA'!B72&lt;&gt;"",IF(OR('RAW DATA'!H72=1,'RAW DATA'!H72=2),1,IF(ISNUMBER(FIND("Medic",'RAW DATA'!E72)),1,"")),"")</f>
        <v/>
      </c>
      <c r="K72" s="29" t="str">
        <f>IF(AND('RAW DATA'!$B72&lt;&gt;"",'RAW DATA'!L72=1),1,"")</f>
        <v/>
      </c>
      <c r="L72" s="24" t="str">
        <f t="shared" si="3"/>
        <v/>
      </c>
    </row>
    <row r="73" spans="2:12" x14ac:dyDescent="0.25">
      <c r="B73" s="1" t="str">
        <f>IF('RAW DATA'!$C73&lt;&gt;"",'RAW DATA'!$C73,"")</f>
        <v/>
      </c>
      <c r="C73" s="1" t="str">
        <f>IF('RAW DATA'!$D73&lt;&gt;"",'RAW DATA'!$D73,"")</f>
        <v/>
      </c>
      <c r="D73" s="1" t="str">
        <f>IF(AND($B72&lt;&gt;"", $B73=""), "TOTAL:", IF($D72="TOTAL:","VESSEL TARGET "&amp;'RAW DATA'!$E$2&amp;":",IF('RAW DATA'!$E73&lt;&gt;"",'RAW DATA'!$E73,"")))</f>
        <v/>
      </c>
      <c r="E73" s="29" t="str">
        <f t="shared" si="2"/>
        <v/>
      </c>
      <c r="F73" s="4" t="str">
        <f>IF($D72="TOTAL:",FIXED(ROUND(((SUM($F$4:$F71)/'RAW DATA'!$E$2)*100),1),1)&amp;"%",IF($D73="TOTAL:",SUM($F$4:$F72),IF(SUMIF('RAW DATA'!M:M,'RAW DATA'!B73,'RAW DATA'!H:H)=0,"",SUMIF('RAW DATA'!M:M,'RAW DATA'!B73,'RAW DATA'!H:H))))</f>
        <v/>
      </c>
      <c r="G73" s="4" t="str">
        <f>IF($D72="TOTAL:",FIXED(ROUND(((SUM($G$4:$G71)/'RAW DATA'!$E$2)*100),1),1)&amp;"%",IF($D73="TOTAL:",SUM($G$4:$G72),IF(SUMIF('RAW DATA'!M:M,'RAW DATA'!B73,'RAW DATA'!I:I)=0,"",SUMIF('RAW DATA'!M:M,'RAW DATA'!B73,'RAW DATA'!I:I))))</f>
        <v/>
      </c>
      <c r="H73" s="4" t="str">
        <f>IF(SUM(SUMIF('RAW DATA'!M:M,'RAW DATA'!B73,'RAW DATA'!J:J),SUMIF('RAW DATA'!N:N,'RAW DATA'!B73,'RAW DATA'!J:J),SUMIF('RAW DATA'!O:O,'RAW DATA'!B73,'RAW DATA'!J:J),SUMIF('RAW DATA'!P:P,'RAW DATA'!B73,'RAW DATA'!J:J))=0, "", SUM(SUMIF('RAW DATA'!M:M,'RAW DATA'!B73,'RAW DATA'!J:J),SUMIF('RAW DATA'!N:N,'RAW DATA'!B73,'RAW DATA'!J:J),SUMIF('RAW DATA'!O:O,'RAW DATA'!B73,'RAW DATA'!J:J),SUMIF('RAW DATA'!P:P,'RAW DATA'!B73,'RAW DATA'!J:J)))</f>
        <v/>
      </c>
      <c r="I73" s="4" t="str">
        <f>IF(SUMIF('RAW DATA'!M:M,'RAW DATA'!B73, 'RAW DATA'!K:K)=0, "", SUMIF('RAW DATA'!M:M,'RAW DATA'!B73, 'RAW DATA'!K:K))</f>
        <v/>
      </c>
      <c r="J73" s="29" t="str">
        <f>IF('RAW DATA'!B73&lt;&gt;"",IF(OR('RAW DATA'!H73=1,'RAW DATA'!H73=2),1,IF(ISNUMBER(FIND("Medic",'RAW DATA'!E73)),1,"")),"")</f>
        <v/>
      </c>
      <c r="K73" s="29" t="str">
        <f>IF(AND('RAW DATA'!$B73&lt;&gt;"",'RAW DATA'!L73=1),1,"")</f>
        <v/>
      </c>
      <c r="L73" s="24" t="str">
        <f t="shared" si="3"/>
        <v/>
      </c>
    </row>
    <row r="74" spans="2:12" x14ac:dyDescent="0.25">
      <c r="B74" s="1" t="str">
        <f>IF('RAW DATA'!$C74&lt;&gt;"",'RAW DATA'!$C74,"")</f>
        <v/>
      </c>
      <c r="C74" s="1" t="str">
        <f>IF('RAW DATA'!$D74&lt;&gt;"",'RAW DATA'!$D74,"")</f>
        <v/>
      </c>
      <c r="D74" s="1" t="str">
        <f>IF(AND($B73&lt;&gt;"", $B74=""), "TOTAL:", IF($D73="TOTAL:","VESSEL TARGET "&amp;'RAW DATA'!$E$2&amp;":",IF('RAW DATA'!$E74&lt;&gt;"",'RAW DATA'!$E74,"")))</f>
        <v/>
      </c>
      <c r="E74" s="29" t="str">
        <f t="shared" si="2"/>
        <v/>
      </c>
      <c r="F74" s="4" t="str">
        <f>IF($D73="TOTAL:",FIXED(ROUND(((SUM($F$4:$F72)/'RAW DATA'!$E$2)*100),1),1)&amp;"%",IF($D74="TOTAL:",SUM($F$4:$F73),IF(SUMIF('RAW DATA'!M:M,'RAW DATA'!B74,'RAW DATA'!H:H)=0,"",SUMIF('RAW DATA'!M:M,'RAW DATA'!B74,'RAW DATA'!H:H))))</f>
        <v/>
      </c>
      <c r="G74" s="4" t="str">
        <f>IF($D73="TOTAL:",FIXED(ROUND(((SUM($G$4:$G72)/'RAW DATA'!$E$2)*100),1),1)&amp;"%",IF($D74="TOTAL:",SUM($G$4:$G73),IF(SUMIF('RAW DATA'!M:M,'RAW DATA'!B74,'RAW DATA'!I:I)=0,"",SUMIF('RAW DATA'!M:M,'RAW DATA'!B74,'RAW DATA'!I:I))))</f>
        <v/>
      </c>
      <c r="H74" s="4" t="str">
        <f>IF(SUM(SUMIF('RAW DATA'!M:M,'RAW DATA'!B74,'RAW DATA'!J:J),SUMIF('RAW DATA'!N:N,'RAW DATA'!B74,'RAW DATA'!J:J),SUMIF('RAW DATA'!O:O,'RAW DATA'!B74,'RAW DATA'!J:J),SUMIF('RAW DATA'!P:P,'RAW DATA'!B74,'RAW DATA'!J:J))=0, "", SUM(SUMIF('RAW DATA'!M:M,'RAW DATA'!B74,'RAW DATA'!J:J),SUMIF('RAW DATA'!N:N,'RAW DATA'!B74,'RAW DATA'!J:J),SUMIF('RAW DATA'!O:O,'RAW DATA'!B74,'RAW DATA'!J:J),SUMIF('RAW DATA'!P:P,'RAW DATA'!B74,'RAW DATA'!J:J)))</f>
        <v/>
      </c>
      <c r="I74" s="4" t="str">
        <f>IF(SUMIF('RAW DATA'!M:M,'RAW DATA'!B74, 'RAW DATA'!K:K)=0, "", SUMIF('RAW DATA'!M:M,'RAW DATA'!B74, 'RAW DATA'!K:K))</f>
        <v/>
      </c>
      <c r="J74" s="29" t="str">
        <f>IF('RAW DATA'!B74&lt;&gt;"",IF(OR('RAW DATA'!H74=1,'RAW DATA'!H74=2),1,IF(ISNUMBER(FIND("Medic",'RAW DATA'!E74)),1,"")),"")</f>
        <v/>
      </c>
      <c r="K74" s="29" t="str">
        <f>IF(AND('RAW DATA'!$B74&lt;&gt;"",'RAW DATA'!L74=1),1,"")</f>
        <v/>
      </c>
      <c r="L74" s="24" t="str">
        <f t="shared" si="3"/>
        <v/>
      </c>
    </row>
    <row r="75" spans="2:12" x14ac:dyDescent="0.25">
      <c r="B75" s="1" t="str">
        <f>IF('RAW DATA'!$C75&lt;&gt;"",'RAW DATA'!$C75,"")</f>
        <v/>
      </c>
      <c r="C75" s="1" t="str">
        <f>IF('RAW DATA'!$D75&lt;&gt;"",'RAW DATA'!$D75,"")</f>
        <v/>
      </c>
      <c r="D75" s="1" t="str">
        <f>IF(AND($B74&lt;&gt;"", $B75=""), "TOTAL:", IF($D74="TOTAL:","VESSEL TARGET "&amp;'RAW DATA'!$E$2&amp;":",IF('RAW DATA'!$E75&lt;&gt;"",'RAW DATA'!$E75,"")))</f>
        <v/>
      </c>
      <c r="E75" s="29" t="str">
        <f t="shared" si="2"/>
        <v/>
      </c>
      <c r="F75" s="4" t="str">
        <f>IF($D74="TOTAL:",FIXED(ROUND(((SUM($F$4:$F73)/'RAW DATA'!$E$2)*100),1),1)&amp;"%",IF($D75="TOTAL:",SUM($F$4:$F74),IF(SUMIF('RAW DATA'!M:M,'RAW DATA'!B75,'RAW DATA'!H:H)=0,"",SUMIF('RAW DATA'!M:M,'RAW DATA'!B75,'RAW DATA'!H:H))))</f>
        <v/>
      </c>
      <c r="G75" s="4" t="str">
        <f>IF($D74="TOTAL:",FIXED(ROUND(((SUM($G$4:$G73)/'RAW DATA'!$E$2)*100),1),1)&amp;"%",IF($D75="TOTAL:",SUM($G$4:$G74),IF(SUMIF('RAW DATA'!M:M,'RAW DATA'!B75,'RAW DATA'!I:I)=0,"",SUMIF('RAW DATA'!M:M,'RAW DATA'!B75,'RAW DATA'!I:I))))</f>
        <v/>
      </c>
      <c r="H75" s="4" t="str">
        <f>IF(SUM(SUMIF('RAW DATA'!M:M,'RAW DATA'!B75,'RAW DATA'!J:J),SUMIF('RAW DATA'!N:N,'RAW DATA'!B75,'RAW DATA'!J:J),SUMIF('RAW DATA'!O:O,'RAW DATA'!B75,'RAW DATA'!J:J),SUMIF('RAW DATA'!P:P,'RAW DATA'!B75,'RAW DATA'!J:J))=0, "", SUM(SUMIF('RAW DATA'!M:M,'RAW DATA'!B75,'RAW DATA'!J:J),SUMIF('RAW DATA'!N:N,'RAW DATA'!B75,'RAW DATA'!J:J),SUMIF('RAW DATA'!O:O,'RAW DATA'!B75,'RAW DATA'!J:J),SUMIF('RAW DATA'!P:P,'RAW DATA'!B75,'RAW DATA'!J:J)))</f>
        <v/>
      </c>
      <c r="I75" s="4" t="str">
        <f>IF(SUMIF('RAW DATA'!M:M,'RAW DATA'!B75, 'RAW DATA'!K:K)=0, "", SUMIF('RAW DATA'!M:M,'RAW DATA'!B75, 'RAW DATA'!K:K))</f>
        <v/>
      </c>
      <c r="J75" s="29" t="str">
        <f>IF('RAW DATA'!B75&lt;&gt;"",IF(OR('RAW DATA'!H75=1,'RAW DATA'!H75=2),1,IF(ISNUMBER(FIND("Medic",'RAW DATA'!E75)),1,"")),"")</f>
        <v/>
      </c>
      <c r="K75" s="29" t="str">
        <f>IF(AND('RAW DATA'!$B75&lt;&gt;"",'RAW DATA'!L75=1),1,"")</f>
        <v/>
      </c>
      <c r="L75" s="24" t="str">
        <f t="shared" si="3"/>
        <v/>
      </c>
    </row>
    <row r="76" spans="2:12" x14ac:dyDescent="0.25">
      <c r="B76" s="1" t="str">
        <f>IF('RAW DATA'!$C76&lt;&gt;"",'RAW DATA'!$C76,"")</f>
        <v/>
      </c>
      <c r="C76" s="1" t="str">
        <f>IF('RAW DATA'!$D76&lt;&gt;"",'RAW DATA'!$D76,"")</f>
        <v/>
      </c>
      <c r="D76" s="1" t="str">
        <f>IF(AND($B75&lt;&gt;"", $B76=""), "TOTAL:", IF($D75="TOTAL:","VESSEL TARGET "&amp;'RAW DATA'!$E$2&amp;":",IF('RAW DATA'!$E76&lt;&gt;"",'RAW DATA'!$E76,"")))</f>
        <v/>
      </c>
      <c r="E76" s="29" t="str">
        <f t="shared" si="2"/>
        <v/>
      </c>
      <c r="F76" s="4" t="str">
        <f>IF($D75="TOTAL:",FIXED(ROUND(((SUM($F$4:$F74)/'RAW DATA'!$E$2)*100),1),1)&amp;"%",IF($D76="TOTAL:",SUM($F$4:$F75),IF(SUMIF('RAW DATA'!M:M,'RAW DATA'!B76,'RAW DATA'!H:H)=0,"",SUMIF('RAW DATA'!M:M,'RAW DATA'!B76,'RAW DATA'!H:H))))</f>
        <v/>
      </c>
      <c r="G76" s="4" t="str">
        <f>IF($D75="TOTAL:",FIXED(ROUND(((SUM($G$4:$G74)/'RAW DATA'!$E$2)*100),1),1)&amp;"%",IF($D76="TOTAL:",SUM($G$4:$G75),IF(SUMIF('RAW DATA'!M:M,'RAW DATA'!B76,'RAW DATA'!I:I)=0,"",SUMIF('RAW DATA'!M:M,'RAW DATA'!B76,'RAW DATA'!I:I))))</f>
        <v/>
      </c>
      <c r="H76" s="4" t="str">
        <f>IF(SUM(SUMIF('RAW DATA'!M:M,'RAW DATA'!B76,'RAW DATA'!J:J),SUMIF('RAW DATA'!N:N,'RAW DATA'!B76,'RAW DATA'!J:J),SUMIF('RAW DATA'!O:O,'RAW DATA'!B76,'RAW DATA'!J:J),SUMIF('RAW DATA'!P:P,'RAW DATA'!B76,'RAW DATA'!J:J))=0, "", SUM(SUMIF('RAW DATA'!M:M,'RAW DATA'!B76,'RAW DATA'!J:J),SUMIF('RAW DATA'!N:N,'RAW DATA'!B76,'RAW DATA'!J:J),SUMIF('RAW DATA'!O:O,'RAW DATA'!B76,'RAW DATA'!J:J),SUMIF('RAW DATA'!P:P,'RAW DATA'!B76,'RAW DATA'!J:J)))</f>
        <v/>
      </c>
      <c r="I76" s="4" t="str">
        <f>IF(SUMIF('RAW DATA'!M:M,'RAW DATA'!B76, 'RAW DATA'!K:K)=0, "", SUMIF('RAW DATA'!M:M,'RAW DATA'!B76, 'RAW DATA'!K:K))</f>
        <v/>
      </c>
      <c r="J76" s="29" t="str">
        <f>IF('RAW DATA'!B76&lt;&gt;"",IF(OR('RAW DATA'!H76=1,'RAW DATA'!H76=2),1,IF(ISNUMBER(FIND("Medic",'RAW DATA'!E76)),1,"")),"")</f>
        <v/>
      </c>
      <c r="K76" s="29" t="str">
        <f>IF(AND('RAW DATA'!$B76&lt;&gt;"",'RAW DATA'!L76=1),1,"")</f>
        <v/>
      </c>
      <c r="L76" s="24" t="str">
        <f t="shared" si="3"/>
        <v/>
      </c>
    </row>
    <row r="77" spans="2:12" x14ac:dyDescent="0.25">
      <c r="B77" s="1" t="str">
        <f>IF('RAW DATA'!$C77&lt;&gt;"",'RAW DATA'!$C77,"")</f>
        <v/>
      </c>
      <c r="C77" s="1" t="str">
        <f>IF('RAW DATA'!$D77&lt;&gt;"",'RAW DATA'!$D77,"")</f>
        <v/>
      </c>
      <c r="D77" s="1" t="str">
        <f>IF(AND($B76&lt;&gt;"", $B77=""), "TOTAL:", IF($D76="TOTAL:","VESSEL TARGET "&amp;'RAW DATA'!$E$2&amp;":",IF('RAW DATA'!$E77&lt;&gt;"",'RAW DATA'!$E77,"")))</f>
        <v/>
      </c>
      <c r="E77" s="29" t="str">
        <f t="shared" si="2"/>
        <v/>
      </c>
      <c r="F77" s="4" t="str">
        <f>IF($D76="TOTAL:",FIXED(ROUND(((SUM($F$4:$F75)/'RAW DATA'!$E$2)*100),1),1)&amp;"%",IF($D77="TOTAL:",SUM($F$4:$F76),IF(SUMIF('RAW DATA'!M:M,'RAW DATA'!B77,'RAW DATA'!H:H)=0,"",SUMIF('RAW DATA'!M:M,'RAW DATA'!B77,'RAW DATA'!H:H))))</f>
        <v/>
      </c>
      <c r="G77" s="4" t="str">
        <f>IF($D76="TOTAL:",FIXED(ROUND(((SUM($G$4:$G75)/'RAW DATA'!$E$2)*100),1),1)&amp;"%",IF($D77="TOTAL:",SUM($G$4:$G76),IF(SUMIF('RAW DATA'!M:M,'RAW DATA'!B77,'RAW DATA'!I:I)=0,"",SUMIF('RAW DATA'!M:M,'RAW DATA'!B77,'RAW DATA'!I:I))))</f>
        <v/>
      </c>
      <c r="H77" s="4" t="str">
        <f>IF(SUM(SUMIF('RAW DATA'!M:M,'RAW DATA'!B77,'RAW DATA'!J:J),SUMIF('RAW DATA'!N:N,'RAW DATA'!B77,'RAW DATA'!J:J),SUMIF('RAW DATA'!O:O,'RAW DATA'!B77,'RAW DATA'!J:J),SUMIF('RAW DATA'!P:P,'RAW DATA'!B77,'RAW DATA'!J:J))=0, "", SUM(SUMIF('RAW DATA'!M:M,'RAW DATA'!B77,'RAW DATA'!J:J),SUMIF('RAW DATA'!N:N,'RAW DATA'!B77,'RAW DATA'!J:J),SUMIF('RAW DATA'!O:O,'RAW DATA'!B77,'RAW DATA'!J:J),SUMIF('RAW DATA'!P:P,'RAW DATA'!B77,'RAW DATA'!J:J)))</f>
        <v/>
      </c>
      <c r="I77" s="4" t="str">
        <f>IF(SUMIF('RAW DATA'!M:M,'RAW DATA'!B77, 'RAW DATA'!K:K)=0, "", SUMIF('RAW DATA'!M:M,'RAW DATA'!B77, 'RAW DATA'!K:K))</f>
        <v/>
      </c>
      <c r="J77" s="29" t="str">
        <f>IF('RAW DATA'!B77&lt;&gt;"",IF(OR('RAW DATA'!H77=1,'RAW DATA'!H77=2),1,IF(ISNUMBER(FIND("Medic",'RAW DATA'!E77)),1,"")),"")</f>
        <v/>
      </c>
      <c r="K77" s="29" t="str">
        <f>IF(AND('RAW DATA'!$B77&lt;&gt;"",'RAW DATA'!L77=1),1,"")</f>
        <v/>
      </c>
      <c r="L77" s="24" t="str">
        <f t="shared" si="3"/>
        <v/>
      </c>
    </row>
    <row r="78" spans="2:12" x14ac:dyDescent="0.25">
      <c r="B78" s="1" t="str">
        <f>IF('RAW DATA'!$C78&lt;&gt;"",'RAW DATA'!$C78,"")</f>
        <v/>
      </c>
      <c r="C78" s="1" t="str">
        <f>IF('RAW DATA'!$D78&lt;&gt;"",'RAW DATA'!$D78,"")</f>
        <v/>
      </c>
      <c r="D78" s="1" t="str">
        <f>IF(AND($B77&lt;&gt;"", $B78=""), "TOTAL:", IF($D77="TOTAL:","VESSEL TARGET "&amp;'RAW DATA'!$E$2&amp;":",IF('RAW DATA'!$E78&lt;&gt;"",'RAW DATA'!$E78,"")))</f>
        <v/>
      </c>
      <c r="E78" s="29" t="str">
        <f t="shared" si="2"/>
        <v/>
      </c>
      <c r="F78" s="4" t="str">
        <f>IF($D77="TOTAL:",FIXED(ROUND(((SUM($F$4:$F76)/'RAW DATA'!$E$2)*100),1),1)&amp;"%",IF($D78="TOTAL:",SUM($F$4:$F77),IF(SUMIF('RAW DATA'!M:M,'RAW DATA'!B78,'RAW DATA'!H:H)=0,"",SUMIF('RAW DATA'!M:M,'RAW DATA'!B78,'RAW DATA'!H:H))))</f>
        <v/>
      </c>
      <c r="G78" s="4" t="str">
        <f>IF($D77="TOTAL:",FIXED(ROUND(((SUM($G$4:$G76)/'RAW DATA'!$E$2)*100),1),1)&amp;"%",IF($D78="TOTAL:",SUM($G$4:$G77),IF(SUMIF('RAW DATA'!M:M,'RAW DATA'!B78,'RAW DATA'!I:I)=0,"",SUMIF('RAW DATA'!M:M,'RAW DATA'!B78,'RAW DATA'!I:I))))</f>
        <v/>
      </c>
      <c r="H78" s="4" t="str">
        <f>IF(SUM(SUMIF('RAW DATA'!M:M,'RAW DATA'!B78,'RAW DATA'!J:J),SUMIF('RAW DATA'!N:N,'RAW DATA'!B78,'RAW DATA'!J:J),SUMIF('RAW DATA'!O:O,'RAW DATA'!B78,'RAW DATA'!J:J),SUMIF('RAW DATA'!P:P,'RAW DATA'!B78,'RAW DATA'!J:J))=0, "", SUM(SUMIF('RAW DATA'!M:M,'RAW DATA'!B78,'RAW DATA'!J:J),SUMIF('RAW DATA'!N:N,'RAW DATA'!B78,'RAW DATA'!J:J),SUMIF('RAW DATA'!O:O,'RAW DATA'!B78,'RAW DATA'!J:J),SUMIF('RAW DATA'!P:P,'RAW DATA'!B78,'RAW DATA'!J:J)))</f>
        <v/>
      </c>
      <c r="I78" s="4" t="str">
        <f>IF(SUMIF('RAW DATA'!M:M,'RAW DATA'!B78, 'RAW DATA'!K:K)=0, "", SUMIF('RAW DATA'!M:M,'RAW DATA'!B78, 'RAW DATA'!K:K))</f>
        <v/>
      </c>
      <c r="J78" s="29" t="str">
        <f>IF('RAW DATA'!B78&lt;&gt;"",IF(OR('RAW DATA'!H78=1,'RAW DATA'!H78=2),1,IF(ISNUMBER(FIND("Medic",'RAW DATA'!E78)),1,"")),"")</f>
        <v/>
      </c>
      <c r="K78" s="29" t="str">
        <f>IF(AND('RAW DATA'!$B78&lt;&gt;"",'RAW DATA'!L78=1),1,"")</f>
        <v/>
      </c>
      <c r="L78" s="24" t="str">
        <f t="shared" si="3"/>
        <v/>
      </c>
    </row>
    <row r="79" spans="2:12" x14ac:dyDescent="0.25">
      <c r="B79" s="1" t="str">
        <f>IF('RAW DATA'!$C79&lt;&gt;"",'RAW DATA'!$C79,"")</f>
        <v/>
      </c>
      <c r="C79" s="1" t="str">
        <f>IF('RAW DATA'!$D79&lt;&gt;"",'RAW DATA'!$D79,"")</f>
        <v/>
      </c>
      <c r="D79" s="1" t="str">
        <f>IF(AND($B78&lt;&gt;"", $B79=""), "TOTAL:", IF($D78="TOTAL:","VESSEL TARGET "&amp;'RAW DATA'!$E$2&amp;":",IF('RAW DATA'!$E79&lt;&gt;"",'RAW DATA'!$E79,"")))</f>
        <v/>
      </c>
      <c r="E79" s="29" t="str">
        <f t="shared" si="2"/>
        <v/>
      </c>
      <c r="F79" s="4" t="str">
        <f>IF($D78="TOTAL:",FIXED(ROUND(((SUM($F$4:$F77)/'RAW DATA'!$E$2)*100),1),1)&amp;"%",IF($D79="TOTAL:",SUM($F$4:$F78),IF(SUMIF('RAW DATA'!M:M,'RAW DATA'!B79,'RAW DATA'!H:H)=0,"",SUMIF('RAW DATA'!M:M,'RAW DATA'!B79,'RAW DATA'!H:H))))</f>
        <v/>
      </c>
      <c r="G79" s="4" t="str">
        <f>IF($D78="TOTAL:",FIXED(ROUND(((SUM($G$4:$G77)/'RAW DATA'!$E$2)*100),1),1)&amp;"%",IF($D79="TOTAL:",SUM($G$4:$G78),IF(SUMIF('RAW DATA'!M:M,'RAW DATA'!B79,'RAW DATA'!I:I)=0,"",SUMIF('RAW DATA'!M:M,'RAW DATA'!B79,'RAW DATA'!I:I))))</f>
        <v/>
      </c>
      <c r="H79" s="4" t="str">
        <f>IF(SUM(SUMIF('RAW DATA'!M:M,'RAW DATA'!B79,'RAW DATA'!J:J),SUMIF('RAW DATA'!N:N,'RAW DATA'!B79,'RAW DATA'!J:J),SUMIF('RAW DATA'!O:O,'RAW DATA'!B79,'RAW DATA'!J:J),SUMIF('RAW DATA'!P:P,'RAW DATA'!B79,'RAW DATA'!J:J))=0, "", SUM(SUMIF('RAW DATA'!M:M,'RAW DATA'!B79,'RAW DATA'!J:J),SUMIF('RAW DATA'!N:N,'RAW DATA'!B79,'RAW DATA'!J:J),SUMIF('RAW DATA'!O:O,'RAW DATA'!B79,'RAW DATA'!J:J),SUMIF('RAW DATA'!P:P,'RAW DATA'!B79,'RAW DATA'!J:J)))</f>
        <v/>
      </c>
      <c r="I79" s="4" t="str">
        <f>IF(SUMIF('RAW DATA'!M:M,'RAW DATA'!B79, 'RAW DATA'!K:K)=0, "", SUMIF('RAW DATA'!M:M,'RAW DATA'!B79, 'RAW DATA'!K:K))</f>
        <v/>
      </c>
      <c r="J79" s="29" t="str">
        <f>IF('RAW DATA'!B79&lt;&gt;"",IF(OR('RAW DATA'!H79=1,'RAW DATA'!H79=2),1,IF(ISNUMBER(FIND("Medic",'RAW DATA'!E79)),1,"")),"")</f>
        <v/>
      </c>
      <c r="K79" s="29" t="str">
        <f>IF(AND('RAW DATA'!$B79&lt;&gt;"",'RAW DATA'!L79=1),1,"")</f>
        <v/>
      </c>
      <c r="L79" s="24" t="str">
        <f t="shared" si="3"/>
        <v/>
      </c>
    </row>
    <row r="80" spans="2:12" x14ac:dyDescent="0.25">
      <c r="B80" s="1" t="str">
        <f>IF('RAW DATA'!$C80&lt;&gt;"",'RAW DATA'!$C80,"")</f>
        <v/>
      </c>
      <c r="C80" s="1" t="str">
        <f>IF('RAW DATA'!$D80&lt;&gt;"",'RAW DATA'!$D80,"")</f>
        <v/>
      </c>
      <c r="D80" s="1" t="str">
        <f>IF(AND($B79&lt;&gt;"", $B80=""), "TOTAL:", IF($D79="TOTAL:","VESSEL TARGET "&amp;'RAW DATA'!$E$2&amp;":",IF('RAW DATA'!$E80&lt;&gt;"",'RAW DATA'!$E80,"")))</f>
        <v/>
      </c>
      <c r="E80" s="29" t="str">
        <f t="shared" si="2"/>
        <v/>
      </c>
      <c r="F80" s="4" t="str">
        <f>IF($D79="TOTAL:",FIXED(ROUND(((SUM($F$4:$F78)/'RAW DATA'!$E$2)*100),1),1)&amp;"%",IF($D80="TOTAL:",SUM($F$4:$F79),IF(SUMIF('RAW DATA'!M:M,'RAW DATA'!B80,'RAW DATA'!H:H)=0,"",SUMIF('RAW DATA'!M:M,'RAW DATA'!B80,'RAW DATA'!H:H))))</f>
        <v/>
      </c>
      <c r="G80" s="4" t="str">
        <f>IF($D79="TOTAL:",FIXED(ROUND(((SUM($G$4:$G78)/'RAW DATA'!$E$2)*100),1),1)&amp;"%",IF($D80="TOTAL:",SUM($G$4:$G79),IF(SUMIF('RAW DATA'!M:M,'RAW DATA'!B80,'RAW DATA'!I:I)=0,"",SUMIF('RAW DATA'!M:M,'RAW DATA'!B80,'RAW DATA'!I:I))))</f>
        <v/>
      </c>
      <c r="H80" s="4" t="str">
        <f>IF(SUM(SUMIF('RAW DATA'!M:M,'RAW DATA'!B80,'RAW DATA'!J:J),SUMIF('RAW DATA'!N:N,'RAW DATA'!B80,'RAW DATA'!J:J),SUMIF('RAW DATA'!O:O,'RAW DATA'!B80,'RAW DATA'!J:J),SUMIF('RAW DATA'!P:P,'RAW DATA'!B80,'RAW DATA'!J:J))=0, "", SUM(SUMIF('RAW DATA'!M:M,'RAW DATA'!B80,'RAW DATA'!J:J),SUMIF('RAW DATA'!N:N,'RAW DATA'!B80,'RAW DATA'!J:J),SUMIF('RAW DATA'!O:O,'RAW DATA'!B80,'RAW DATA'!J:J),SUMIF('RAW DATA'!P:P,'RAW DATA'!B80,'RAW DATA'!J:J)))</f>
        <v/>
      </c>
      <c r="I80" s="4" t="str">
        <f>IF(SUMIF('RAW DATA'!M:M,'RAW DATA'!B80, 'RAW DATA'!K:K)=0, "", SUMIF('RAW DATA'!M:M,'RAW DATA'!B80, 'RAW DATA'!K:K))</f>
        <v/>
      </c>
      <c r="J80" s="29" t="str">
        <f>IF('RAW DATA'!B80&lt;&gt;"",IF(OR('RAW DATA'!H80=1,'RAW DATA'!H80=2),1,IF(ISNUMBER(FIND("Medic",'RAW DATA'!E80)),1,"")),"")</f>
        <v/>
      </c>
      <c r="K80" s="29" t="str">
        <f>IF(AND('RAW DATA'!$B80&lt;&gt;"",'RAW DATA'!L80=1),1,"")</f>
        <v/>
      </c>
      <c r="L80" s="24" t="str">
        <f t="shared" si="3"/>
        <v/>
      </c>
    </row>
    <row r="81" spans="2:12" x14ac:dyDescent="0.25">
      <c r="B81" s="1" t="str">
        <f>IF('RAW DATA'!$C81&lt;&gt;"",'RAW DATA'!$C81,"")</f>
        <v/>
      </c>
      <c r="C81" s="1" t="str">
        <f>IF('RAW DATA'!$D81&lt;&gt;"",'RAW DATA'!$D81,"")</f>
        <v/>
      </c>
      <c r="D81" s="1" t="str">
        <f>IF(AND($B80&lt;&gt;"", $B81=""), "TOTAL:", IF($D80="TOTAL:","VESSEL TARGET "&amp;'RAW DATA'!$E$2&amp;":",IF('RAW DATA'!$E81&lt;&gt;"",'RAW DATA'!$E81,"")))</f>
        <v/>
      </c>
      <c r="E81" s="29" t="str">
        <f t="shared" si="2"/>
        <v/>
      </c>
      <c r="F81" s="4" t="str">
        <f>IF($D80="TOTAL:",FIXED(ROUND(((SUM($F$4:$F79)/'RAW DATA'!$E$2)*100),1),1)&amp;"%",IF($D81="TOTAL:",SUM($F$4:$F80),IF(SUMIF('RAW DATA'!M:M,'RAW DATA'!B81,'RAW DATA'!H:H)=0,"",SUMIF('RAW DATA'!M:M,'RAW DATA'!B81,'RAW DATA'!H:H))))</f>
        <v/>
      </c>
      <c r="G81" s="4" t="str">
        <f>IF($D80="TOTAL:",FIXED(ROUND(((SUM($G$4:$G79)/'RAW DATA'!$E$2)*100),1),1)&amp;"%",IF($D81="TOTAL:",SUM($G$4:$G80),IF(SUMIF('RAW DATA'!M:M,'RAW DATA'!B81,'RAW DATA'!I:I)=0,"",SUMIF('RAW DATA'!M:M,'RAW DATA'!B81,'RAW DATA'!I:I))))</f>
        <v/>
      </c>
      <c r="H81" s="4" t="str">
        <f>IF(SUM(SUMIF('RAW DATA'!M:M,'RAW DATA'!B81,'RAW DATA'!J:J),SUMIF('RAW DATA'!N:N,'RAW DATA'!B81,'RAW DATA'!J:J),SUMIF('RAW DATA'!O:O,'RAW DATA'!B81,'RAW DATA'!J:J),SUMIF('RAW DATA'!P:P,'RAW DATA'!B81,'RAW DATA'!J:J))=0, "", SUM(SUMIF('RAW DATA'!M:M,'RAW DATA'!B81,'RAW DATA'!J:J),SUMIF('RAW DATA'!N:N,'RAW DATA'!B81,'RAW DATA'!J:J),SUMIF('RAW DATA'!O:O,'RAW DATA'!B81,'RAW DATA'!J:J),SUMIF('RAW DATA'!P:P,'RAW DATA'!B81,'RAW DATA'!J:J)))</f>
        <v/>
      </c>
      <c r="I81" s="4" t="str">
        <f>IF(SUMIF('RAW DATA'!M:M,'RAW DATA'!B81, 'RAW DATA'!K:K)=0, "", SUMIF('RAW DATA'!M:M,'RAW DATA'!B81, 'RAW DATA'!K:K))</f>
        <v/>
      </c>
      <c r="J81" s="29" t="str">
        <f>IF('RAW DATA'!B81&lt;&gt;"",IF(OR('RAW DATA'!H81=1,'RAW DATA'!H81=2),1,IF(ISNUMBER(FIND("Medic",'RAW DATA'!E81)),1,"")),"")</f>
        <v/>
      </c>
      <c r="K81" s="29" t="str">
        <f>IF(AND('RAW DATA'!$B81&lt;&gt;"",'RAW DATA'!L81=1),1,"")</f>
        <v/>
      </c>
      <c r="L81" s="24" t="str">
        <f t="shared" si="3"/>
        <v/>
      </c>
    </row>
    <row r="82" spans="2:12" x14ac:dyDescent="0.25">
      <c r="B82" s="1" t="str">
        <f>IF('RAW DATA'!$C82&lt;&gt;"",'RAW DATA'!$C82,"")</f>
        <v/>
      </c>
      <c r="C82" s="1" t="str">
        <f>IF('RAW DATA'!$D82&lt;&gt;"",'RAW DATA'!$D82,"")</f>
        <v/>
      </c>
      <c r="D82" s="1" t="str">
        <f>IF(AND($B81&lt;&gt;"", $B82=""), "TOTAL:", IF($D81="TOTAL:","VESSEL TARGET "&amp;'RAW DATA'!$E$2&amp;":",IF('RAW DATA'!$E82&lt;&gt;"",'RAW DATA'!$E82,"")))</f>
        <v/>
      </c>
      <c r="E82" s="29" t="str">
        <f t="shared" si="2"/>
        <v/>
      </c>
      <c r="F82" s="4" t="str">
        <f>IF($D81="TOTAL:",FIXED(ROUND(((SUM($F$4:$F80)/'RAW DATA'!$E$2)*100),1),1)&amp;"%",IF($D82="TOTAL:",SUM($F$4:$F81),IF(SUMIF('RAW DATA'!M:M,'RAW DATA'!B82,'RAW DATA'!H:H)=0,"",SUMIF('RAW DATA'!M:M,'RAW DATA'!B82,'RAW DATA'!H:H))))</f>
        <v/>
      </c>
      <c r="G82" s="4" t="str">
        <f>IF($D81="TOTAL:",FIXED(ROUND(((SUM($G$4:$G80)/'RAW DATA'!$E$2)*100),1),1)&amp;"%",IF($D82="TOTAL:",SUM($G$4:$G81),IF(SUMIF('RAW DATA'!M:M,'RAW DATA'!B82,'RAW DATA'!I:I)=0,"",SUMIF('RAW DATA'!M:M,'RAW DATA'!B82,'RAW DATA'!I:I))))</f>
        <v/>
      </c>
      <c r="H82" s="4" t="str">
        <f>IF(SUM(SUMIF('RAW DATA'!M:M,'RAW DATA'!B82,'RAW DATA'!J:J),SUMIF('RAW DATA'!N:N,'RAW DATA'!B82,'RAW DATA'!J:J),SUMIF('RAW DATA'!O:O,'RAW DATA'!B82,'RAW DATA'!J:J),SUMIF('RAW DATA'!P:P,'RAW DATA'!B82,'RAW DATA'!J:J))=0, "", SUM(SUMIF('RAW DATA'!M:M,'RAW DATA'!B82,'RAW DATA'!J:J),SUMIF('RAW DATA'!N:N,'RAW DATA'!B82,'RAW DATA'!J:J),SUMIF('RAW DATA'!O:O,'RAW DATA'!B82,'RAW DATA'!J:J),SUMIF('RAW DATA'!P:P,'RAW DATA'!B82,'RAW DATA'!J:J)))</f>
        <v/>
      </c>
      <c r="I82" s="4" t="str">
        <f>IF(SUMIF('RAW DATA'!M:M,'RAW DATA'!B82, 'RAW DATA'!K:K)=0, "", SUMIF('RAW DATA'!M:M,'RAW DATA'!B82, 'RAW DATA'!K:K))</f>
        <v/>
      </c>
      <c r="J82" s="29" t="str">
        <f>IF('RAW DATA'!B82&lt;&gt;"",IF(OR('RAW DATA'!H82=1,'RAW DATA'!H82=2),1,IF(ISNUMBER(FIND("Medic",'RAW DATA'!E82)),1,"")),"")</f>
        <v/>
      </c>
      <c r="K82" s="29" t="str">
        <f>IF(AND('RAW DATA'!$B82&lt;&gt;"",'RAW DATA'!L82=1),1,"")</f>
        <v/>
      </c>
      <c r="L82" s="24" t="str">
        <f t="shared" si="3"/>
        <v/>
      </c>
    </row>
    <row r="83" spans="2:12" x14ac:dyDescent="0.25">
      <c r="B83" s="1" t="str">
        <f>IF('RAW DATA'!$C83&lt;&gt;"",'RAW DATA'!$C83,"")</f>
        <v/>
      </c>
      <c r="C83" s="1" t="str">
        <f>IF('RAW DATA'!$D83&lt;&gt;"",'RAW DATA'!$D83,"")</f>
        <v/>
      </c>
      <c r="D83" s="1" t="str">
        <f>IF(AND($B82&lt;&gt;"", $B83=""), "TOTAL:", IF($D82="TOTAL:","VESSEL TARGET "&amp;'RAW DATA'!$E$2&amp;":",IF('RAW DATA'!$E83&lt;&gt;"",'RAW DATA'!$E83,"")))</f>
        <v/>
      </c>
      <c r="E83" s="29" t="str">
        <f t="shared" si="2"/>
        <v/>
      </c>
      <c r="F83" s="4" t="str">
        <f>IF($D82="TOTAL:",FIXED(ROUND(((SUM($F$4:$F81)/'RAW DATA'!$E$2)*100),1),1)&amp;"%",IF($D83="TOTAL:",SUM($F$4:$F82),IF(SUMIF('RAW DATA'!M:M,'RAW DATA'!B83,'RAW DATA'!H:H)=0,"",SUMIF('RAW DATA'!M:M,'RAW DATA'!B83,'RAW DATA'!H:H))))</f>
        <v/>
      </c>
      <c r="G83" s="4" t="str">
        <f>IF($D82="TOTAL:",FIXED(ROUND(((SUM($G$4:$G81)/'RAW DATA'!$E$2)*100),1),1)&amp;"%",IF($D83="TOTAL:",SUM($G$4:$G82),IF(SUMIF('RAW DATA'!M:M,'RAW DATA'!B83,'RAW DATA'!I:I)=0,"",SUMIF('RAW DATA'!M:M,'RAW DATA'!B83,'RAW DATA'!I:I))))</f>
        <v/>
      </c>
      <c r="H83" s="4" t="str">
        <f>IF(SUM(SUMIF('RAW DATA'!M:M,'RAW DATA'!B83,'RAW DATA'!J:J),SUMIF('RAW DATA'!N:N,'RAW DATA'!B83,'RAW DATA'!J:J),SUMIF('RAW DATA'!O:O,'RAW DATA'!B83,'RAW DATA'!J:J),SUMIF('RAW DATA'!P:P,'RAW DATA'!B83,'RAW DATA'!J:J))=0, "", SUM(SUMIF('RAW DATA'!M:M,'RAW DATA'!B83,'RAW DATA'!J:J),SUMIF('RAW DATA'!N:N,'RAW DATA'!B83,'RAW DATA'!J:J),SUMIF('RAW DATA'!O:O,'RAW DATA'!B83,'RAW DATA'!J:J),SUMIF('RAW DATA'!P:P,'RAW DATA'!B83,'RAW DATA'!J:J)))</f>
        <v/>
      </c>
      <c r="I83" s="4" t="str">
        <f>IF(SUMIF('RAW DATA'!M:M,'RAW DATA'!B83, 'RAW DATA'!K:K)=0, "", SUMIF('RAW DATA'!M:M,'RAW DATA'!B83, 'RAW DATA'!K:K))</f>
        <v/>
      </c>
      <c r="J83" s="29" t="str">
        <f>IF('RAW DATA'!B83&lt;&gt;"",IF(OR('RAW DATA'!H83=1,'RAW DATA'!H83=2),1,IF(ISNUMBER(FIND("Medic",'RAW DATA'!E83)),1,"")),"")</f>
        <v/>
      </c>
      <c r="K83" s="29" t="str">
        <f>IF(AND('RAW DATA'!$B83&lt;&gt;"",'RAW DATA'!L83=1),1,"")</f>
        <v/>
      </c>
      <c r="L83" s="24" t="str">
        <f t="shared" si="3"/>
        <v/>
      </c>
    </row>
    <row r="84" spans="2:12" x14ac:dyDescent="0.25">
      <c r="B84" s="1" t="str">
        <f>IF('RAW DATA'!$C84&lt;&gt;"",'RAW DATA'!$C84,"")</f>
        <v/>
      </c>
      <c r="C84" s="1" t="str">
        <f>IF('RAW DATA'!$D84&lt;&gt;"",'RAW DATA'!$D84,"")</f>
        <v/>
      </c>
      <c r="D84" s="1" t="str">
        <f>IF(AND($B83&lt;&gt;"", $B84=""), "TOTAL:", IF($D83="TOTAL:","VESSEL TARGET "&amp;'RAW DATA'!$E$2&amp;":",IF('RAW DATA'!$E84&lt;&gt;"",'RAW DATA'!$E84,"")))</f>
        <v/>
      </c>
      <c r="E84" s="29" t="str">
        <f t="shared" si="2"/>
        <v/>
      </c>
      <c r="F84" s="4" t="str">
        <f>IF($D83="TOTAL:",FIXED(ROUND(((SUM($F$4:$F82)/'RAW DATA'!$E$2)*100),1),1)&amp;"%",IF($D84="TOTAL:",SUM($F$4:$F83),IF(SUMIF('RAW DATA'!M:M,'RAW DATA'!B84,'RAW DATA'!H:H)=0,"",SUMIF('RAW DATA'!M:M,'RAW DATA'!B84,'RAW DATA'!H:H))))</f>
        <v/>
      </c>
      <c r="G84" s="4" t="str">
        <f>IF($D83="TOTAL:",FIXED(ROUND(((SUM($G$4:$G82)/'RAW DATA'!$E$2)*100),1),1)&amp;"%",IF($D84="TOTAL:",SUM($G$4:$G83),IF(SUMIF('RAW DATA'!M:M,'RAW DATA'!B84,'RAW DATA'!I:I)=0,"",SUMIF('RAW DATA'!M:M,'RAW DATA'!B84,'RAW DATA'!I:I))))</f>
        <v/>
      </c>
      <c r="H84" s="4" t="str">
        <f>IF(SUM(SUMIF('RAW DATA'!M:M,'RAW DATA'!B84,'RAW DATA'!J:J),SUMIF('RAW DATA'!N:N,'RAW DATA'!B84,'RAW DATA'!J:J),SUMIF('RAW DATA'!O:O,'RAW DATA'!B84,'RAW DATA'!J:J),SUMIF('RAW DATA'!P:P,'RAW DATA'!B84,'RAW DATA'!J:J))=0, "", SUM(SUMIF('RAW DATA'!M:M,'RAW DATA'!B84,'RAW DATA'!J:J),SUMIF('RAW DATA'!N:N,'RAW DATA'!B84,'RAW DATA'!J:J),SUMIF('RAW DATA'!O:O,'RAW DATA'!B84,'RAW DATA'!J:J),SUMIF('RAW DATA'!P:P,'RAW DATA'!B84,'RAW DATA'!J:J)))</f>
        <v/>
      </c>
      <c r="I84" s="4" t="str">
        <f>IF(SUMIF('RAW DATA'!M:M,'RAW DATA'!B84, 'RAW DATA'!K:K)=0, "", SUMIF('RAW DATA'!M:M,'RAW DATA'!B84, 'RAW DATA'!K:K))</f>
        <v/>
      </c>
      <c r="J84" s="29" t="str">
        <f>IF('RAW DATA'!B84&lt;&gt;"",IF(OR('RAW DATA'!H84=1,'RAW DATA'!H84=2),1,IF(ISNUMBER(FIND("Medic",'RAW DATA'!E84)),1,"")),"")</f>
        <v/>
      </c>
      <c r="K84" s="29" t="str">
        <f>IF(AND('RAW DATA'!$B84&lt;&gt;"",'RAW DATA'!L84=1),1,"")</f>
        <v/>
      </c>
      <c r="L84" s="24" t="str">
        <f t="shared" si="3"/>
        <v/>
      </c>
    </row>
    <row r="85" spans="2:12" x14ac:dyDescent="0.25">
      <c r="B85" s="1" t="str">
        <f>IF('RAW DATA'!$C85&lt;&gt;"",'RAW DATA'!$C85,"")</f>
        <v/>
      </c>
      <c r="C85" s="1" t="str">
        <f>IF('RAW DATA'!$D85&lt;&gt;"",'RAW DATA'!$D85,"")</f>
        <v/>
      </c>
      <c r="D85" s="1" t="str">
        <f>IF(AND($B84&lt;&gt;"", $B85=""), "TOTAL:", IF($D84="TOTAL:","VESSEL TARGET "&amp;'RAW DATA'!$E$2&amp;":",IF('RAW DATA'!$E85&lt;&gt;"",'RAW DATA'!$E85,"")))</f>
        <v/>
      </c>
      <c r="E85" s="29" t="str">
        <f t="shared" si="2"/>
        <v/>
      </c>
      <c r="F85" s="4" t="str">
        <f>IF($D84="TOTAL:",FIXED(ROUND(((SUM($F$4:$F83)/'RAW DATA'!$E$2)*100),1),1)&amp;"%",IF($D85="TOTAL:",SUM($F$4:$F84),IF(SUMIF('RAW DATA'!M:M,'RAW DATA'!B85,'RAW DATA'!H:H)=0,"",SUMIF('RAW DATA'!M:M,'RAW DATA'!B85,'RAW DATA'!H:H))))</f>
        <v/>
      </c>
      <c r="G85" s="4" t="str">
        <f>IF($D84="TOTAL:",FIXED(ROUND(((SUM($G$4:$G83)/'RAW DATA'!$E$2)*100),1),1)&amp;"%",IF($D85="TOTAL:",SUM($G$4:$G84),IF(SUMIF('RAW DATA'!M:M,'RAW DATA'!B85,'RAW DATA'!I:I)=0,"",SUMIF('RAW DATA'!M:M,'RAW DATA'!B85,'RAW DATA'!I:I))))</f>
        <v/>
      </c>
      <c r="H85" s="4" t="str">
        <f>IF(SUM(SUMIF('RAW DATA'!M:M,'RAW DATA'!B85,'RAW DATA'!J:J),SUMIF('RAW DATA'!N:N,'RAW DATA'!B85,'RAW DATA'!J:J),SUMIF('RAW DATA'!O:O,'RAW DATA'!B85,'RAW DATA'!J:J),SUMIF('RAW DATA'!P:P,'RAW DATA'!B85,'RAW DATA'!J:J))=0, "", SUM(SUMIF('RAW DATA'!M:M,'RAW DATA'!B85,'RAW DATA'!J:J),SUMIF('RAW DATA'!N:N,'RAW DATA'!B85,'RAW DATA'!J:J),SUMIF('RAW DATA'!O:O,'RAW DATA'!B85,'RAW DATA'!J:J),SUMIF('RAW DATA'!P:P,'RAW DATA'!B85,'RAW DATA'!J:J)))</f>
        <v/>
      </c>
      <c r="I85" s="4" t="str">
        <f>IF(SUMIF('RAW DATA'!M:M,'RAW DATA'!B85, 'RAW DATA'!K:K)=0, "", SUMIF('RAW DATA'!M:M,'RAW DATA'!B85, 'RAW DATA'!K:K))</f>
        <v/>
      </c>
      <c r="J85" s="29" t="str">
        <f>IF('RAW DATA'!B85&lt;&gt;"",IF(OR('RAW DATA'!H85=1,'RAW DATA'!H85=2),1,IF(ISNUMBER(FIND("Medic",'RAW DATA'!E85)),1,"")),"")</f>
        <v/>
      </c>
      <c r="K85" s="29" t="str">
        <f>IF(AND('RAW DATA'!$B85&lt;&gt;"",'RAW DATA'!L85=1),1,"")</f>
        <v/>
      </c>
      <c r="L85" s="24" t="str">
        <f t="shared" si="3"/>
        <v/>
      </c>
    </row>
    <row r="86" spans="2:12" x14ac:dyDescent="0.25">
      <c r="B86" s="1" t="str">
        <f>IF('RAW DATA'!$C86&lt;&gt;"",'RAW DATA'!$C86,"")</f>
        <v/>
      </c>
      <c r="C86" s="1" t="str">
        <f>IF('RAW DATA'!$D86&lt;&gt;"",'RAW DATA'!$D86,"")</f>
        <v/>
      </c>
      <c r="D86" s="1" t="str">
        <f>IF(AND($B85&lt;&gt;"", $B86=""), "TOTAL:", IF($D85="TOTAL:","VESSEL TARGET "&amp;'RAW DATA'!$E$2&amp;":",IF('RAW DATA'!$E86&lt;&gt;"",'RAW DATA'!$E86,"")))</f>
        <v/>
      </c>
      <c r="E86" s="29" t="str">
        <f t="shared" si="2"/>
        <v/>
      </c>
      <c r="F86" s="4" t="str">
        <f>IF($D85="TOTAL:",FIXED(ROUND(((SUM($F$4:$F84)/'RAW DATA'!$E$2)*100),1),1)&amp;"%",IF($D86="TOTAL:",SUM($F$4:$F85),IF(SUMIF('RAW DATA'!M:M,'RAW DATA'!B86,'RAW DATA'!H:H)=0,"",SUMIF('RAW DATA'!M:M,'RAW DATA'!B86,'RAW DATA'!H:H))))</f>
        <v/>
      </c>
      <c r="G86" s="4" t="str">
        <f>IF($D85="TOTAL:",FIXED(ROUND(((SUM($G$4:$G84)/'RAW DATA'!$E$2)*100),1),1)&amp;"%",IF($D86="TOTAL:",SUM($G$4:$G85),IF(SUMIF('RAW DATA'!M:M,'RAW DATA'!B86,'RAW DATA'!I:I)=0,"",SUMIF('RAW DATA'!M:M,'RAW DATA'!B86,'RAW DATA'!I:I))))</f>
        <v/>
      </c>
      <c r="H86" s="4" t="str">
        <f>IF(SUM(SUMIF('RAW DATA'!M:M,'RAW DATA'!B86,'RAW DATA'!J:J),SUMIF('RAW DATA'!N:N,'RAW DATA'!B86,'RAW DATA'!J:J),SUMIF('RAW DATA'!O:O,'RAW DATA'!B86,'RAW DATA'!J:J),SUMIF('RAW DATA'!P:P,'RAW DATA'!B86,'RAW DATA'!J:J))=0, "", SUM(SUMIF('RAW DATA'!M:M,'RAW DATA'!B86,'RAW DATA'!J:J),SUMIF('RAW DATA'!N:N,'RAW DATA'!B86,'RAW DATA'!J:J),SUMIF('RAW DATA'!O:O,'RAW DATA'!B86,'RAW DATA'!J:J),SUMIF('RAW DATA'!P:P,'RAW DATA'!B86,'RAW DATA'!J:J)))</f>
        <v/>
      </c>
      <c r="I86" s="4" t="str">
        <f>IF(SUMIF('RAW DATA'!M:M,'RAW DATA'!B86, 'RAW DATA'!K:K)=0, "", SUMIF('RAW DATA'!M:M,'RAW DATA'!B86, 'RAW DATA'!K:K))</f>
        <v/>
      </c>
      <c r="J86" s="29" t="str">
        <f>IF('RAW DATA'!B86&lt;&gt;"",IF(OR('RAW DATA'!H86=1,'RAW DATA'!H86=2),1,IF(ISNUMBER(FIND("Medic",'RAW DATA'!E86)),1,"")),"")</f>
        <v/>
      </c>
      <c r="K86" s="29" t="str">
        <f>IF(AND('RAW DATA'!$B86&lt;&gt;"",'RAW DATA'!L86=1),1,"")</f>
        <v/>
      </c>
      <c r="L86" s="24" t="str">
        <f t="shared" si="3"/>
        <v/>
      </c>
    </row>
    <row r="87" spans="2:12" x14ac:dyDescent="0.25">
      <c r="B87" s="1" t="str">
        <f>IF('RAW DATA'!$C87&lt;&gt;"",'RAW DATA'!$C87,"")</f>
        <v/>
      </c>
      <c r="C87" s="1" t="str">
        <f>IF('RAW DATA'!$D87&lt;&gt;"",'RAW DATA'!$D87,"")</f>
        <v/>
      </c>
      <c r="D87" s="1" t="str">
        <f>IF(AND($B86&lt;&gt;"", $B87=""), "TOTAL:", IF($D86="TOTAL:","VESSEL TARGET "&amp;'RAW DATA'!$E$2&amp;":",IF('RAW DATA'!$E87&lt;&gt;"",'RAW DATA'!$E87,"")))</f>
        <v/>
      </c>
      <c r="E87" s="29" t="str">
        <f t="shared" si="2"/>
        <v/>
      </c>
      <c r="F87" s="4" t="str">
        <f>IF($D86="TOTAL:",FIXED(ROUND(((SUM($F$4:$F85)/'RAW DATA'!$E$2)*100),1),1)&amp;"%",IF($D87="TOTAL:",SUM($F$4:$F86),IF(SUMIF('RAW DATA'!M:M,'RAW DATA'!B87,'RAW DATA'!H:H)=0,"",SUMIF('RAW DATA'!M:M,'RAW DATA'!B87,'RAW DATA'!H:H))))</f>
        <v/>
      </c>
      <c r="G87" s="4" t="str">
        <f>IF($D86="TOTAL:",FIXED(ROUND(((SUM($G$4:$G85)/'RAW DATA'!$E$2)*100),1),1)&amp;"%",IF($D87="TOTAL:",SUM($G$4:$G86),IF(SUMIF('RAW DATA'!M:M,'RAW DATA'!B87,'RAW DATA'!I:I)=0,"",SUMIF('RAW DATA'!M:M,'RAW DATA'!B87,'RAW DATA'!I:I))))</f>
        <v/>
      </c>
      <c r="H87" s="4" t="str">
        <f>IF(SUM(SUMIF('RAW DATA'!M:M,'RAW DATA'!B87,'RAW DATA'!J:J),SUMIF('RAW DATA'!N:N,'RAW DATA'!B87,'RAW DATA'!J:J),SUMIF('RAW DATA'!O:O,'RAW DATA'!B87,'RAW DATA'!J:J),SUMIF('RAW DATA'!P:P,'RAW DATA'!B87,'RAW DATA'!J:J))=0, "", SUM(SUMIF('RAW DATA'!M:M,'RAW DATA'!B87,'RAW DATA'!J:J),SUMIF('RAW DATA'!N:N,'RAW DATA'!B87,'RAW DATA'!J:J),SUMIF('RAW DATA'!O:O,'RAW DATA'!B87,'RAW DATA'!J:J),SUMIF('RAW DATA'!P:P,'RAW DATA'!B87,'RAW DATA'!J:J)))</f>
        <v/>
      </c>
      <c r="I87" s="4" t="str">
        <f>IF(SUMIF('RAW DATA'!M:M,'RAW DATA'!B87, 'RAW DATA'!K:K)=0, "", SUMIF('RAW DATA'!M:M,'RAW DATA'!B87, 'RAW DATA'!K:K))</f>
        <v/>
      </c>
      <c r="J87" s="29" t="str">
        <f>IF('RAW DATA'!B87&lt;&gt;"",IF(OR('RAW DATA'!H87=1,'RAW DATA'!H87=2),1,IF(ISNUMBER(FIND("Medic",'RAW DATA'!E87)),1,"")),"")</f>
        <v/>
      </c>
      <c r="K87" s="29" t="str">
        <f>IF(AND('RAW DATA'!$B87&lt;&gt;"",'RAW DATA'!L87=1),1,"")</f>
        <v/>
      </c>
      <c r="L87" s="24" t="str">
        <f t="shared" si="3"/>
        <v/>
      </c>
    </row>
    <row r="88" spans="2:12" x14ac:dyDescent="0.25">
      <c r="B88" s="1" t="str">
        <f>IF('RAW DATA'!$C88&lt;&gt;"",'RAW DATA'!$C88,"")</f>
        <v/>
      </c>
      <c r="C88" s="1" t="str">
        <f>IF('RAW DATA'!$D88&lt;&gt;"",'RAW DATA'!$D88,"")</f>
        <v/>
      </c>
      <c r="D88" s="1" t="str">
        <f>IF(AND($B87&lt;&gt;"", $B88=""), "TOTAL:", IF($D87="TOTAL:","VESSEL TARGET "&amp;'RAW DATA'!$E$2&amp;":",IF('RAW DATA'!$E88&lt;&gt;"",'RAW DATA'!$E88,"")))</f>
        <v/>
      </c>
      <c r="E88" s="29" t="str">
        <f t="shared" si="2"/>
        <v/>
      </c>
      <c r="F88" s="4" t="str">
        <f>IF($D87="TOTAL:",FIXED(ROUND(((SUM($F$4:$F86)/'RAW DATA'!$E$2)*100),1),1)&amp;"%",IF($D88="TOTAL:",SUM($F$4:$F87),IF(SUMIF('RAW DATA'!M:M,'RAW DATA'!B88,'RAW DATA'!H:H)=0,"",SUMIF('RAW DATA'!M:M,'RAW DATA'!B88,'RAW DATA'!H:H))))</f>
        <v/>
      </c>
      <c r="G88" s="4" t="str">
        <f>IF($D87="TOTAL:",FIXED(ROUND(((SUM($G$4:$G86)/'RAW DATA'!$E$2)*100),1),1)&amp;"%",IF($D88="TOTAL:",SUM($G$4:$G87),IF(SUMIF('RAW DATA'!M:M,'RAW DATA'!B88,'RAW DATA'!I:I)=0,"",SUMIF('RAW DATA'!M:M,'RAW DATA'!B88,'RAW DATA'!I:I))))</f>
        <v/>
      </c>
      <c r="H88" s="4" t="str">
        <f>IF(SUM(SUMIF('RAW DATA'!M:M,'RAW DATA'!B88,'RAW DATA'!J:J),SUMIF('RAW DATA'!N:N,'RAW DATA'!B88,'RAW DATA'!J:J),SUMIF('RAW DATA'!O:O,'RAW DATA'!B88,'RAW DATA'!J:J),SUMIF('RAW DATA'!P:P,'RAW DATA'!B88,'RAW DATA'!J:J))=0, "", SUM(SUMIF('RAW DATA'!M:M,'RAW DATA'!B88,'RAW DATA'!J:J),SUMIF('RAW DATA'!N:N,'RAW DATA'!B88,'RAW DATA'!J:J),SUMIF('RAW DATA'!O:O,'RAW DATA'!B88,'RAW DATA'!J:J),SUMIF('RAW DATA'!P:P,'RAW DATA'!B88,'RAW DATA'!J:J)))</f>
        <v/>
      </c>
      <c r="I88" s="4" t="str">
        <f>IF(SUMIF('RAW DATA'!M:M,'RAW DATA'!B88, 'RAW DATA'!K:K)=0, "", SUMIF('RAW DATA'!M:M,'RAW DATA'!B88, 'RAW DATA'!K:K))</f>
        <v/>
      </c>
      <c r="J88" s="29" t="str">
        <f>IF('RAW DATA'!B88&lt;&gt;"",IF(OR('RAW DATA'!H88=1,'RAW DATA'!H88=2),1,IF(ISNUMBER(FIND("Medic",'RAW DATA'!E88)),1,"")),"")</f>
        <v/>
      </c>
      <c r="K88" s="29" t="str">
        <f>IF(AND('RAW DATA'!$B88&lt;&gt;"",'RAW DATA'!L88=1),1,"")</f>
        <v/>
      </c>
      <c r="L88" s="24" t="str">
        <f t="shared" si="3"/>
        <v/>
      </c>
    </row>
    <row r="89" spans="2:12" x14ac:dyDescent="0.25">
      <c r="B89" s="1" t="str">
        <f>IF('RAW DATA'!$C89&lt;&gt;"",'RAW DATA'!$C89,"")</f>
        <v/>
      </c>
      <c r="C89" s="1" t="str">
        <f>IF('RAW DATA'!$D89&lt;&gt;"",'RAW DATA'!$D89,"")</f>
        <v/>
      </c>
      <c r="D89" s="1" t="str">
        <f>IF(AND($B88&lt;&gt;"", $B89=""), "TOTAL:", IF($D88="TOTAL:","VESSEL TARGET "&amp;'RAW DATA'!$E$2&amp;":",IF('RAW DATA'!$E89&lt;&gt;"",'RAW DATA'!$E89,"")))</f>
        <v/>
      </c>
      <c r="E89" s="29" t="str">
        <f t="shared" si="2"/>
        <v/>
      </c>
      <c r="F89" s="4" t="str">
        <f>IF($D88="TOTAL:",FIXED(ROUND(((SUM($F$4:$F87)/'RAW DATA'!$E$2)*100),1),1)&amp;"%",IF($D89="TOTAL:",SUM($F$4:$F88),IF(SUMIF('RAW DATA'!M:M,'RAW DATA'!B89,'RAW DATA'!H:H)=0,"",SUMIF('RAW DATA'!M:M,'RAW DATA'!B89,'RAW DATA'!H:H))))</f>
        <v/>
      </c>
      <c r="G89" s="4" t="str">
        <f>IF($D88="TOTAL:",FIXED(ROUND(((SUM($G$4:$G87)/'RAW DATA'!$E$2)*100),1),1)&amp;"%",IF($D89="TOTAL:",SUM($G$4:$G88),IF(SUMIF('RAW DATA'!M:M,'RAW DATA'!B89,'RAW DATA'!I:I)=0,"",SUMIF('RAW DATA'!M:M,'RAW DATA'!B89,'RAW DATA'!I:I))))</f>
        <v/>
      </c>
      <c r="H89" s="4" t="str">
        <f>IF(SUM(SUMIF('RAW DATA'!M:M,'RAW DATA'!B89,'RAW DATA'!J:J),SUMIF('RAW DATA'!N:N,'RAW DATA'!B89,'RAW DATA'!J:J),SUMIF('RAW DATA'!O:O,'RAW DATA'!B89,'RAW DATA'!J:J),SUMIF('RAW DATA'!P:P,'RAW DATA'!B89,'RAW DATA'!J:J))=0, "", SUM(SUMIF('RAW DATA'!M:M,'RAW DATA'!B89,'RAW DATA'!J:J),SUMIF('RAW DATA'!N:N,'RAW DATA'!B89,'RAW DATA'!J:J),SUMIF('RAW DATA'!O:O,'RAW DATA'!B89,'RAW DATA'!J:J),SUMIF('RAW DATA'!P:P,'RAW DATA'!B89,'RAW DATA'!J:J)))</f>
        <v/>
      </c>
      <c r="I89" s="4" t="str">
        <f>IF(SUMIF('RAW DATA'!M:M,'RAW DATA'!B89, 'RAW DATA'!K:K)=0, "", SUMIF('RAW DATA'!M:M,'RAW DATA'!B89, 'RAW DATA'!K:K))</f>
        <v/>
      </c>
      <c r="J89" s="29" t="str">
        <f>IF('RAW DATA'!B89&lt;&gt;"",IF(OR('RAW DATA'!H89=1,'RAW DATA'!H89=2),1,IF(ISNUMBER(FIND("Medic",'RAW DATA'!E89)),1,"")),"")</f>
        <v/>
      </c>
      <c r="K89" s="29" t="str">
        <f>IF(AND('RAW DATA'!$B89&lt;&gt;"",'RAW DATA'!L89=1),1,"")</f>
        <v/>
      </c>
      <c r="L89" s="24" t="str">
        <f t="shared" si="3"/>
        <v/>
      </c>
    </row>
    <row r="90" spans="2:12" x14ac:dyDescent="0.25">
      <c r="B90" s="1" t="str">
        <f>IF('RAW DATA'!$C90&lt;&gt;"",'RAW DATA'!$C90,"")</f>
        <v/>
      </c>
      <c r="C90" s="1" t="str">
        <f>IF('RAW DATA'!$D90&lt;&gt;"",'RAW DATA'!$D90,"")</f>
        <v/>
      </c>
      <c r="D90" s="1" t="str">
        <f>IF(AND($B89&lt;&gt;"", $B90=""), "TOTAL:", IF($D89="TOTAL:","VESSEL TARGET "&amp;'RAW DATA'!$E$2&amp;":",IF('RAW DATA'!$E90&lt;&gt;"",'RAW DATA'!$E90,"")))</f>
        <v/>
      </c>
      <c r="E90" s="29" t="str">
        <f t="shared" si="2"/>
        <v/>
      </c>
      <c r="F90" s="4" t="str">
        <f>IF($D89="TOTAL:",FIXED(ROUND(((SUM($F$4:$F88)/'RAW DATA'!$E$2)*100),1),1)&amp;"%",IF($D90="TOTAL:",SUM($F$4:$F89),IF(SUMIF('RAW DATA'!M:M,'RAW DATA'!B90,'RAW DATA'!H:H)=0,"",SUMIF('RAW DATA'!M:M,'RAW DATA'!B90,'RAW DATA'!H:H))))</f>
        <v/>
      </c>
      <c r="G90" s="4" t="str">
        <f>IF($D89="TOTAL:",FIXED(ROUND(((SUM($G$4:$G88)/'RAW DATA'!$E$2)*100),1),1)&amp;"%",IF($D90="TOTAL:",SUM($G$4:$G89),IF(SUMIF('RAW DATA'!M:M,'RAW DATA'!B90,'RAW DATA'!I:I)=0,"",SUMIF('RAW DATA'!M:M,'RAW DATA'!B90,'RAW DATA'!I:I))))</f>
        <v/>
      </c>
      <c r="H90" s="4" t="str">
        <f>IF(SUM(SUMIF('RAW DATA'!M:M,'RAW DATA'!B90,'RAW DATA'!J:J),SUMIF('RAW DATA'!N:N,'RAW DATA'!B90,'RAW DATA'!J:J),SUMIF('RAW DATA'!O:O,'RAW DATA'!B90,'RAW DATA'!J:J),SUMIF('RAW DATA'!P:P,'RAW DATA'!B90,'RAW DATA'!J:J))=0, "", SUM(SUMIF('RAW DATA'!M:M,'RAW DATA'!B90,'RAW DATA'!J:J),SUMIF('RAW DATA'!N:N,'RAW DATA'!B90,'RAW DATA'!J:J),SUMIF('RAW DATA'!O:O,'RAW DATA'!B90,'RAW DATA'!J:J),SUMIF('RAW DATA'!P:P,'RAW DATA'!B90,'RAW DATA'!J:J)))</f>
        <v/>
      </c>
      <c r="I90" s="4" t="str">
        <f>IF(SUMIF('RAW DATA'!M:M,'RAW DATA'!B90, 'RAW DATA'!K:K)=0, "", SUMIF('RAW DATA'!M:M,'RAW DATA'!B90, 'RAW DATA'!K:K))</f>
        <v/>
      </c>
      <c r="J90" s="29" t="str">
        <f>IF('RAW DATA'!B90&lt;&gt;"",IF(OR('RAW DATA'!H90=1,'RAW DATA'!H90=2),1,IF(ISNUMBER(FIND("Medic",'RAW DATA'!E90)),1,"")),"")</f>
        <v/>
      </c>
      <c r="K90" s="29" t="str">
        <f>IF(AND('RAW DATA'!$B90&lt;&gt;"",'RAW DATA'!L90=1),1,"")</f>
        <v/>
      </c>
      <c r="L90" s="24" t="str">
        <f t="shared" si="3"/>
        <v/>
      </c>
    </row>
    <row r="91" spans="2:12" x14ac:dyDescent="0.25">
      <c r="B91" s="1" t="str">
        <f>IF('RAW DATA'!$C91&lt;&gt;"",'RAW DATA'!$C91,"")</f>
        <v/>
      </c>
      <c r="C91" s="1" t="str">
        <f>IF('RAW DATA'!$D91&lt;&gt;"",'RAW DATA'!$D91,"")</f>
        <v/>
      </c>
      <c r="D91" s="1" t="str">
        <f>IF(AND($B90&lt;&gt;"", $B91=""), "TOTAL:", IF($D90="TOTAL:","VESSEL TARGET "&amp;'RAW DATA'!$E$2&amp;":",IF('RAW DATA'!$E91&lt;&gt;"",'RAW DATA'!$E91,"")))</f>
        <v/>
      </c>
      <c r="E91" s="29" t="str">
        <f t="shared" si="2"/>
        <v/>
      </c>
      <c r="F91" s="4" t="str">
        <f>IF($D90="TOTAL:",FIXED(ROUND(((SUM($F$4:$F89)/'RAW DATA'!$E$2)*100),1),1)&amp;"%",IF($D91="TOTAL:",SUM($F$4:$F90),IF(SUMIF('RAW DATA'!M:M,'RAW DATA'!B91,'RAW DATA'!H:H)=0,"",SUMIF('RAW DATA'!M:M,'RAW DATA'!B91,'RAW DATA'!H:H))))</f>
        <v/>
      </c>
      <c r="G91" s="4" t="str">
        <f>IF($D90="TOTAL:",FIXED(ROUND(((SUM($G$4:$G89)/'RAW DATA'!$E$2)*100),1),1)&amp;"%",IF($D91="TOTAL:",SUM($G$4:$G90),IF(SUMIF('RAW DATA'!M:M,'RAW DATA'!B91,'RAW DATA'!I:I)=0,"",SUMIF('RAW DATA'!M:M,'RAW DATA'!B91,'RAW DATA'!I:I))))</f>
        <v/>
      </c>
      <c r="H91" s="4" t="str">
        <f>IF(SUM(SUMIF('RAW DATA'!M:M,'RAW DATA'!B91,'RAW DATA'!J:J),SUMIF('RAW DATA'!N:N,'RAW DATA'!B91,'RAW DATA'!J:J),SUMIF('RAW DATA'!O:O,'RAW DATA'!B91,'RAW DATA'!J:J),SUMIF('RAW DATA'!P:P,'RAW DATA'!B91,'RAW DATA'!J:J))=0, "", SUM(SUMIF('RAW DATA'!M:M,'RAW DATA'!B91,'RAW DATA'!J:J),SUMIF('RAW DATA'!N:N,'RAW DATA'!B91,'RAW DATA'!J:J),SUMIF('RAW DATA'!O:O,'RAW DATA'!B91,'RAW DATA'!J:J),SUMIF('RAW DATA'!P:P,'RAW DATA'!B91,'RAW DATA'!J:J)))</f>
        <v/>
      </c>
      <c r="I91" s="4" t="str">
        <f>IF(SUMIF('RAW DATA'!M:M,'RAW DATA'!B91, 'RAW DATA'!K:K)=0, "", SUMIF('RAW DATA'!M:M,'RAW DATA'!B91, 'RAW DATA'!K:K))</f>
        <v/>
      </c>
      <c r="J91" s="29" t="str">
        <f>IF('RAW DATA'!B91&lt;&gt;"",IF(OR('RAW DATA'!H91=1,'RAW DATA'!H91=2),1,IF(ISNUMBER(FIND("Medic",'RAW DATA'!E91)),1,"")),"")</f>
        <v/>
      </c>
      <c r="K91" s="29" t="str">
        <f>IF(AND('RAW DATA'!$B91&lt;&gt;"",'RAW DATA'!L91=1),1,"")</f>
        <v/>
      </c>
      <c r="L91" s="24" t="str">
        <f t="shared" si="3"/>
        <v/>
      </c>
    </row>
    <row r="92" spans="2:12" x14ac:dyDescent="0.25">
      <c r="B92" s="1" t="str">
        <f>IF('RAW DATA'!$C92&lt;&gt;"",'RAW DATA'!$C92,"")</f>
        <v/>
      </c>
      <c r="C92" s="1" t="str">
        <f>IF('RAW DATA'!$D92&lt;&gt;"",'RAW DATA'!$D92,"")</f>
        <v/>
      </c>
      <c r="D92" s="1" t="str">
        <f>IF(AND($B91&lt;&gt;"", $B92=""), "TOTAL:", IF($D91="TOTAL:","VESSEL TARGET "&amp;'RAW DATA'!$E$2&amp;":",IF('RAW DATA'!$E92&lt;&gt;"",'RAW DATA'!$E92,"")))</f>
        <v/>
      </c>
      <c r="E92" s="29" t="str">
        <f t="shared" si="2"/>
        <v/>
      </c>
      <c r="F92" s="4" t="str">
        <f>IF($D91="TOTAL:",FIXED(ROUND(((SUM($F$4:$F90)/'RAW DATA'!$E$2)*100),1),1)&amp;"%",IF($D92="TOTAL:",SUM($F$4:$F91),IF(SUMIF('RAW DATA'!M:M,'RAW DATA'!B92,'RAW DATA'!H:H)=0,"",SUMIF('RAW DATA'!M:M,'RAW DATA'!B92,'RAW DATA'!H:H))))</f>
        <v/>
      </c>
      <c r="G92" s="4" t="str">
        <f>IF($D91="TOTAL:",FIXED(ROUND(((SUM($G$4:$G90)/'RAW DATA'!$E$2)*100),1),1)&amp;"%",IF($D92="TOTAL:",SUM($G$4:$G91),IF(SUMIF('RAW DATA'!M:M,'RAW DATA'!B92,'RAW DATA'!I:I)=0,"",SUMIF('RAW DATA'!M:M,'RAW DATA'!B92,'RAW DATA'!I:I))))</f>
        <v/>
      </c>
      <c r="H92" s="4" t="str">
        <f>IF(SUM(SUMIF('RAW DATA'!M:M,'RAW DATA'!B92,'RAW DATA'!J:J),SUMIF('RAW DATA'!N:N,'RAW DATA'!B92,'RAW DATA'!J:J),SUMIF('RAW DATA'!O:O,'RAW DATA'!B92,'RAW DATA'!J:J),SUMIF('RAW DATA'!P:P,'RAW DATA'!B92,'RAW DATA'!J:J))=0, "", SUM(SUMIF('RAW DATA'!M:M,'RAW DATA'!B92,'RAW DATA'!J:J),SUMIF('RAW DATA'!N:N,'RAW DATA'!B92,'RAW DATA'!J:J),SUMIF('RAW DATA'!O:O,'RAW DATA'!B92,'RAW DATA'!J:J),SUMIF('RAW DATA'!P:P,'RAW DATA'!B92,'RAW DATA'!J:J)))</f>
        <v/>
      </c>
      <c r="I92" s="4" t="str">
        <f>IF(SUMIF('RAW DATA'!M:M,'RAW DATA'!B92, 'RAW DATA'!K:K)=0, "", SUMIF('RAW DATA'!M:M,'RAW DATA'!B92, 'RAW DATA'!K:K))</f>
        <v/>
      </c>
      <c r="J92" s="29" t="str">
        <f>IF('RAW DATA'!B92&lt;&gt;"",IF(OR('RAW DATA'!H92=1,'RAW DATA'!H92=2),1,IF(ISNUMBER(FIND("Medic",'RAW DATA'!E92)),1,"")),"")</f>
        <v/>
      </c>
      <c r="K92" s="29" t="str">
        <f>IF(AND('RAW DATA'!$B92&lt;&gt;"",'RAW DATA'!L92=1),1,"")</f>
        <v/>
      </c>
      <c r="L92" s="24" t="str">
        <f t="shared" si="3"/>
        <v/>
      </c>
    </row>
    <row r="93" spans="2:12" x14ac:dyDescent="0.25">
      <c r="B93" s="1" t="str">
        <f>IF('RAW DATA'!$C93&lt;&gt;"",'RAW DATA'!$C93,"")</f>
        <v/>
      </c>
      <c r="C93" s="1" t="str">
        <f>IF('RAW DATA'!$D93&lt;&gt;"",'RAW DATA'!$D93,"")</f>
        <v/>
      </c>
      <c r="D93" s="1" t="str">
        <f>IF(AND($B92&lt;&gt;"", $B93=""), "TOTAL:", IF($D92="TOTAL:","VESSEL TARGET "&amp;'RAW DATA'!$E$2&amp;":",IF('RAW DATA'!$E93&lt;&gt;"",'RAW DATA'!$E93,"")))</f>
        <v/>
      </c>
      <c r="E93" s="29" t="str">
        <f t="shared" si="2"/>
        <v/>
      </c>
      <c r="F93" s="4" t="str">
        <f>IF($D92="TOTAL:",FIXED(ROUND(((SUM($F$4:$F91)/'RAW DATA'!$E$2)*100),1),1)&amp;"%",IF($D93="TOTAL:",SUM($F$4:$F92),IF(SUMIF('RAW DATA'!M:M,'RAW DATA'!B93,'RAW DATA'!H:H)=0,"",SUMIF('RAW DATA'!M:M,'RAW DATA'!B93,'RAW DATA'!H:H))))</f>
        <v/>
      </c>
      <c r="G93" s="4" t="str">
        <f>IF($D92="TOTAL:",FIXED(ROUND(((SUM($G$4:$G91)/'RAW DATA'!$E$2)*100),1),1)&amp;"%",IF($D93="TOTAL:",SUM($G$4:$G92),IF(SUMIF('RAW DATA'!M:M,'RAW DATA'!B93,'RAW DATA'!I:I)=0,"",SUMIF('RAW DATA'!M:M,'RAW DATA'!B93,'RAW DATA'!I:I))))</f>
        <v/>
      </c>
      <c r="H93" s="4" t="str">
        <f>IF(SUM(SUMIF('RAW DATA'!M:M,'RAW DATA'!B93,'RAW DATA'!J:J),SUMIF('RAW DATA'!N:N,'RAW DATA'!B93,'RAW DATA'!J:J),SUMIF('RAW DATA'!O:O,'RAW DATA'!B93,'RAW DATA'!J:J),SUMIF('RAW DATA'!P:P,'RAW DATA'!B93,'RAW DATA'!J:J))=0, "", SUM(SUMIF('RAW DATA'!M:M,'RAW DATA'!B93,'RAW DATA'!J:J),SUMIF('RAW DATA'!N:N,'RAW DATA'!B93,'RAW DATA'!J:J),SUMIF('RAW DATA'!O:O,'RAW DATA'!B93,'RAW DATA'!J:J),SUMIF('RAW DATA'!P:P,'RAW DATA'!B93,'RAW DATA'!J:J)))</f>
        <v/>
      </c>
      <c r="I93" s="4" t="str">
        <f>IF(SUMIF('RAW DATA'!M:M,'RAW DATA'!B93, 'RAW DATA'!K:K)=0, "", SUMIF('RAW DATA'!M:M,'RAW DATA'!B93, 'RAW DATA'!K:K))</f>
        <v/>
      </c>
      <c r="J93" s="29" t="str">
        <f>IF('RAW DATA'!B93&lt;&gt;"",IF(OR('RAW DATA'!H93=1,'RAW DATA'!H93=2),1,IF(ISNUMBER(FIND("Medic",'RAW DATA'!E93)),1,"")),"")</f>
        <v/>
      </c>
      <c r="K93" s="29" t="str">
        <f>IF(AND('RAW DATA'!$B93&lt;&gt;"",'RAW DATA'!L93=1),1,"")</f>
        <v/>
      </c>
      <c r="L93" s="24" t="str">
        <f t="shared" si="3"/>
        <v/>
      </c>
    </row>
    <row r="94" spans="2:12" x14ac:dyDescent="0.25">
      <c r="B94" s="1" t="str">
        <f>IF('RAW DATA'!$C94&lt;&gt;"",'RAW DATA'!$C94,"")</f>
        <v/>
      </c>
      <c r="C94" s="1" t="str">
        <f>IF('RAW DATA'!$D94&lt;&gt;"",'RAW DATA'!$D94,"")</f>
        <v/>
      </c>
      <c r="D94" s="1" t="str">
        <f>IF(AND($B93&lt;&gt;"", $B94=""), "TOTAL:", IF($D93="TOTAL:","VESSEL TARGET "&amp;'RAW DATA'!$E$2&amp;":",IF('RAW DATA'!$E94&lt;&gt;"",'RAW DATA'!$E94,"")))</f>
        <v/>
      </c>
      <c r="E94" s="29" t="str">
        <f t="shared" si="2"/>
        <v/>
      </c>
      <c r="F94" s="4" t="str">
        <f>IF($D93="TOTAL:",FIXED(ROUND(((SUM($F$4:$F92)/'RAW DATA'!$E$2)*100),1),1)&amp;"%",IF($D94="TOTAL:",SUM($F$4:$F93),IF(SUMIF('RAW DATA'!M:M,'RAW DATA'!B94,'RAW DATA'!H:H)=0,"",SUMIF('RAW DATA'!M:M,'RAW DATA'!B94,'RAW DATA'!H:H))))</f>
        <v/>
      </c>
      <c r="G94" s="4" t="str">
        <f>IF($D93="TOTAL:",FIXED(ROUND(((SUM($G$4:$G92)/'RAW DATA'!$E$2)*100),1),1)&amp;"%",IF($D94="TOTAL:",SUM($G$4:$G93),IF(SUMIF('RAW DATA'!M:M,'RAW DATA'!B94,'RAW DATA'!I:I)=0,"",SUMIF('RAW DATA'!M:M,'RAW DATA'!B94,'RAW DATA'!I:I))))</f>
        <v/>
      </c>
      <c r="H94" s="4" t="str">
        <f>IF(SUM(SUMIF('RAW DATA'!M:M,'RAW DATA'!B94,'RAW DATA'!J:J),SUMIF('RAW DATA'!N:N,'RAW DATA'!B94,'RAW DATA'!J:J),SUMIF('RAW DATA'!O:O,'RAW DATA'!B94,'RAW DATA'!J:J),SUMIF('RAW DATA'!P:P,'RAW DATA'!B94,'RAW DATA'!J:J))=0, "", SUM(SUMIF('RAW DATA'!M:M,'RAW DATA'!B94,'RAW DATA'!J:J),SUMIF('RAW DATA'!N:N,'RAW DATA'!B94,'RAW DATA'!J:J),SUMIF('RAW DATA'!O:O,'RAW DATA'!B94,'RAW DATA'!J:J),SUMIF('RAW DATA'!P:P,'RAW DATA'!B94,'RAW DATA'!J:J)))</f>
        <v/>
      </c>
      <c r="I94" s="4" t="str">
        <f>IF(SUMIF('RAW DATA'!M:M,'RAW DATA'!B94, 'RAW DATA'!K:K)=0, "", SUMIF('RAW DATA'!M:M,'RAW DATA'!B94, 'RAW DATA'!K:K))</f>
        <v/>
      </c>
      <c r="J94" s="29" t="str">
        <f>IF('RAW DATA'!B94&lt;&gt;"",IF(OR('RAW DATA'!H94=1,'RAW DATA'!H94=2),1,IF(ISNUMBER(FIND("Medic",'RAW DATA'!E94)),1,"")),"")</f>
        <v/>
      </c>
      <c r="K94" s="29" t="str">
        <f>IF(AND('RAW DATA'!$B94&lt;&gt;"",'RAW DATA'!L94=1),1,"")</f>
        <v/>
      </c>
      <c r="L94" s="24" t="str">
        <f t="shared" si="3"/>
        <v/>
      </c>
    </row>
    <row r="95" spans="2:12" x14ac:dyDescent="0.25">
      <c r="B95" s="1" t="str">
        <f>IF('RAW DATA'!$C95&lt;&gt;"",'RAW DATA'!$C95,"")</f>
        <v/>
      </c>
      <c r="C95" s="1" t="str">
        <f>IF('RAW DATA'!$D95&lt;&gt;"",'RAW DATA'!$D95,"")</f>
        <v/>
      </c>
      <c r="D95" s="1" t="str">
        <f>IF(AND($B94&lt;&gt;"", $B95=""), "TOTAL:", IF($D94="TOTAL:","VESSEL TARGET "&amp;'RAW DATA'!$E$2&amp;":",IF('RAW DATA'!$E95&lt;&gt;"",'RAW DATA'!$E95,"")))</f>
        <v/>
      </c>
      <c r="E95" s="29" t="str">
        <f t="shared" si="2"/>
        <v/>
      </c>
      <c r="F95" s="4" t="str">
        <f>IF($D94="TOTAL:",FIXED(ROUND(((SUM($F$4:$F93)/'RAW DATA'!$E$2)*100),1),1)&amp;"%",IF($D95="TOTAL:",SUM($F$4:$F94),IF(SUMIF('RAW DATA'!M:M,'RAW DATA'!B95,'RAW DATA'!H:H)=0,"",SUMIF('RAW DATA'!M:M,'RAW DATA'!B95,'RAW DATA'!H:H))))</f>
        <v/>
      </c>
      <c r="G95" s="4" t="str">
        <f>IF($D94="TOTAL:",FIXED(ROUND(((SUM($G$4:$G93)/'RAW DATA'!$E$2)*100),1),1)&amp;"%",IF($D95="TOTAL:",SUM($G$4:$G94),IF(SUMIF('RAW DATA'!M:M,'RAW DATA'!B95,'RAW DATA'!I:I)=0,"",SUMIF('RAW DATA'!M:M,'RAW DATA'!B95,'RAW DATA'!I:I))))</f>
        <v/>
      </c>
      <c r="H95" s="4" t="str">
        <f>IF(SUM(SUMIF('RAW DATA'!M:M,'RAW DATA'!B95,'RAW DATA'!J:J),SUMIF('RAW DATA'!N:N,'RAW DATA'!B95,'RAW DATA'!J:J),SUMIF('RAW DATA'!O:O,'RAW DATA'!B95,'RAW DATA'!J:J),SUMIF('RAW DATA'!P:P,'RAW DATA'!B95,'RAW DATA'!J:J))=0, "", SUM(SUMIF('RAW DATA'!M:M,'RAW DATA'!B95,'RAW DATA'!J:J),SUMIF('RAW DATA'!N:N,'RAW DATA'!B95,'RAW DATA'!J:J),SUMIF('RAW DATA'!O:O,'RAW DATA'!B95,'RAW DATA'!J:J),SUMIF('RAW DATA'!P:P,'RAW DATA'!B95,'RAW DATA'!J:J)))</f>
        <v/>
      </c>
      <c r="I95" s="4" t="str">
        <f>IF(SUMIF('RAW DATA'!M:M,'RAW DATA'!B95, 'RAW DATA'!K:K)=0, "", SUMIF('RAW DATA'!M:M,'RAW DATA'!B95, 'RAW DATA'!K:K))</f>
        <v/>
      </c>
      <c r="J95" s="29" t="str">
        <f>IF('RAW DATA'!B95&lt;&gt;"",IF(OR('RAW DATA'!H95=1,'RAW DATA'!H95=2),1,IF(ISNUMBER(FIND("Medic",'RAW DATA'!E95)),1,"")),"")</f>
        <v/>
      </c>
      <c r="K95" s="29" t="str">
        <f>IF(AND('RAW DATA'!$B95&lt;&gt;"",'RAW DATA'!L95=1),1,"")</f>
        <v/>
      </c>
      <c r="L95" s="24" t="str">
        <f t="shared" si="3"/>
        <v/>
      </c>
    </row>
    <row r="96" spans="2:12" x14ac:dyDescent="0.25">
      <c r="B96" s="1" t="str">
        <f>IF('RAW DATA'!$C96&lt;&gt;"",'RAW DATA'!$C96,"")</f>
        <v/>
      </c>
      <c r="C96" s="1" t="str">
        <f>IF('RAW DATA'!$D96&lt;&gt;"",'RAW DATA'!$D96,"")</f>
        <v/>
      </c>
      <c r="D96" s="1" t="str">
        <f>IF(AND($B95&lt;&gt;"", $B96=""), "TOTAL:", IF($D95="TOTAL:","VESSEL TARGET "&amp;'RAW DATA'!$E$2&amp;":",IF('RAW DATA'!$E96&lt;&gt;"",'RAW DATA'!$E96,"")))</f>
        <v/>
      </c>
      <c r="E96" s="29" t="str">
        <f t="shared" si="2"/>
        <v/>
      </c>
      <c r="F96" s="4" t="str">
        <f>IF($D95="TOTAL:",FIXED(ROUND(((SUM($F$4:$F94)/'RAW DATA'!$E$2)*100),1),1)&amp;"%",IF($D96="TOTAL:",SUM($F$4:$F95),IF(SUMIF('RAW DATA'!M:M,'RAW DATA'!B96,'RAW DATA'!H:H)=0,"",SUMIF('RAW DATA'!M:M,'RAW DATA'!B96,'RAW DATA'!H:H))))</f>
        <v/>
      </c>
      <c r="G96" s="4" t="str">
        <f>IF($D95="TOTAL:",FIXED(ROUND(((SUM($G$4:$G94)/'RAW DATA'!$E$2)*100),1),1)&amp;"%",IF($D96="TOTAL:",SUM($G$4:$G95),IF(SUMIF('RAW DATA'!M:M,'RAW DATA'!B96,'RAW DATA'!I:I)=0,"",SUMIF('RAW DATA'!M:M,'RAW DATA'!B96,'RAW DATA'!I:I))))</f>
        <v/>
      </c>
      <c r="H96" s="4" t="str">
        <f>IF(SUM(SUMIF('RAW DATA'!M:M,'RAW DATA'!B96,'RAW DATA'!J:J),SUMIF('RAW DATA'!N:N,'RAW DATA'!B96,'RAW DATA'!J:J),SUMIF('RAW DATA'!O:O,'RAW DATA'!B96,'RAW DATA'!J:J),SUMIF('RAW DATA'!P:P,'RAW DATA'!B96,'RAW DATA'!J:J))=0, "", SUM(SUMIF('RAW DATA'!M:M,'RAW DATA'!B96,'RAW DATA'!J:J),SUMIF('RAW DATA'!N:N,'RAW DATA'!B96,'RAW DATA'!J:J),SUMIF('RAW DATA'!O:O,'RAW DATA'!B96,'RAW DATA'!J:J),SUMIF('RAW DATA'!P:P,'RAW DATA'!B96,'RAW DATA'!J:J)))</f>
        <v/>
      </c>
      <c r="I96" s="4" t="str">
        <f>IF(SUMIF('RAW DATA'!M:M,'RAW DATA'!B96, 'RAW DATA'!K:K)=0, "", SUMIF('RAW DATA'!M:M,'RAW DATA'!B96, 'RAW DATA'!K:K))</f>
        <v/>
      </c>
      <c r="J96" s="29" t="str">
        <f>IF('RAW DATA'!B96&lt;&gt;"",IF(OR('RAW DATA'!H96=1,'RAW DATA'!H96=2),1,IF(ISNUMBER(FIND("Medic",'RAW DATA'!E96)),1,"")),"")</f>
        <v/>
      </c>
      <c r="K96" s="29" t="str">
        <f>IF(AND('RAW DATA'!$B96&lt;&gt;"",'RAW DATA'!L96=1),1,"")</f>
        <v/>
      </c>
      <c r="L96" s="24" t="str">
        <f t="shared" si="3"/>
        <v/>
      </c>
    </row>
    <row r="97" spans="2:12" x14ac:dyDescent="0.25">
      <c r="B97" s="1" t="str">
        <f>IF('RAW DATA'!$C97&lt;&gt;"",'RAW DATA'!$C97,"")</f>
        <v/>
      </c>
      <c r="C97" s="1" t="str">
        <f>IF('RAW DATA'!$D97&lt;&gt;"",'RAW DATA'!$D97,"")</f>
        <v/>
      </c>
      <c r="D97" s="1" t="str">
        <f>IF(AND($B96&lt;&gt;"", $B97=""), "TOTAL:", IF($D96="TOTAL:","VESSEL TARGET "&amp;'RAW DATA'!$E$2&amp;":",IF('RAW DATA'!$E97&lt;&gt;"",'RAW DATA'!$E97,"")))</f>
        <v/>
      </c>
      <c r="E97" s="29" t="str">
        <f t="shared" si="2"/>
        <v/>
      </c>
      <c r="F97" s="4" t="str">
        <f>IF($D96="TOTAL:",FIXED(ROUND(((SUM($F$4:$F95)/'RAW DATA'!$E$2)*100),1),1)&amp;"%",IF($D97="TOTAL:",SUM($F$4:$F96),IF(SUMIF('RAW DATA'!M:M,'RAW DATA'!B97,'RAW DATA'!H:H)=0,"",SUMIF('RAW DATA'!M:M,'RAW DATA'!B97,'RAW DATA'!H:H))))</f>
        <v/>
      </c>
      <c r="G97" s="4" t="str">
        <f>IF($D96="TOTAL:",FIXED(ROUND(((SUM($G$4:$G95)/'RAW DATA'!$E$2)*100),1),1)&amp;"%",IF($D97="TOTAL:",SUM($G$4:$G96),IF(SUMIF('RAW DATA'!M:M,'RAW DATA'!B97,'RAW DATA'!I:I)=0,"",SUMIF('RAW DATA'!M:M,'RAW DATA'!B97,'RAW DATA'!I:I))))</f>
        <v/>
      </c>
      <c r="H97" s="4" t="str">
        <f>IF(SUM(SUMIF('RAW DATA'!M:M,'RAW DATA'!B97,'RAW DATA'!J:J),SUMIF('RAW DATA'!N:N,'RAW DATA'!B97,'RAW DATA'!J:J),SUMIF('RAW DATA'!O:O,'RAW DATA'!B97,'RAW DATA'!J:J),SUMIF('RAW DATA'!P:P,'RAW DATA'!B97,'RAW DATA'!J:J))=0, "", SUM(SUMIF('RAW DATA'!M:M,'RAW DATA'!B97,'RAW DATA'!J:J),SUMIF('RAW DATA'!N:N,'RAW DATA'!B97,'RAW DATA'!J:J),SUMIF('RAW DATA'!O:O,'RAW DATA'!B97,'RAW DATA'!J:J),SUMIF('RAW DATA'!P:P,'RAW DATA'!B97,'RAW DATA'!J:J)))</f>
        <v/>
      </c>
      <c r="I97" s="4" t="str">
        <f>IF(SUMIF('RAW DATA'!M:M,'RAW DATA'!B97, 'RAW DATA'!K:K)=0, "", SUMIF('RAW DATA'!M:M,'RAW DATA'!B97, 'RAW DATA'!K:K))</f>
        <v/>
      </c>
      <c r="J97" s="29" t="str">
        <f>IF('RAW DATA'!B97&lt;&gt;"",IF(OR('RAW DATA'!H97=1,'RAW DATA'!H97=2),1,IF(ISNUMBER(FIND("Medic",'RAW DATA'!E97)),1,"")),"")</f>
        <v/>
      </c>
      <c r="K97" s="29" t="str">
        <f>IF(AND('RAW DATA'!$B97&lt;&gt;"",'RAW DATA'!L97=1),1,"")</f>
        <v/>
      </c>
      <c r="L97" s="24" t="str">
        <f t="shared" si="3"/>
        <v/>
      </c>
    </row>
    <row r="98" spans="2:12" x14ac:dyDescent="0.25">
      <c r="B98" s="1" t="str">
        <f>IF('RAW DATA'!$C98&lt;&gt;"",'RAW DATA'!$C98,"")</f>
        <v/>
      </c>
      <c r="C98" s="1" t="str">
        <f>IF('RAW DATA'!$D98&lt;&gt;"",'RAW DATA'!$D98,"")</f>
        <v/>
      </c>
      <c r="D98" s="1" t="str">
        <f>IF(AND($B97&lt;&gt;"", $B98=""), "TOTAL:", IF($D97="TOTAL:","VESSEL TARGET "&amp;'RAW DATA'!$E$2&amp;":",IF('RAW DATA'!$E98&lt;&gt;"",'RAW DATA'!$E98,"")))</f>
        <v/>
      </c>
      <c r="E98" s="29" t="str">
        <f t="shared" si="2"/>
        <v/>
      </c>
      <c r="F98" s="4" t="str">
        <f>IF($D97="TOTAL:",FIXED(ROUND(((SUM($F$4:$F96)/'RAW DATA'!$E$2)*100),1),1)&amp;"%",IF($D98="TOTAL:",SUM($F$4:$F97),IF(SUMIF('RAW DATA'!M:M,'RAW DATA'!B98,'RAW DATA'!H:H)=0,"",SUMIF('RAW DATA'!M:M,'RAW DATA'!B98,'RAW DATA'!H:H))))</f>
        <v/>
      </c>
      <c r="G98" s="4" t="str">
        <f>IF($D97="TOTAL:",FIXED(ROUND(((SUM($G$4:$G96)/'RAW DATA'!$E$2)*100),1),1)&amp;"%",IF($D98="TOTAL:",SUM($G$4:$G97),IF(SUMIF('RAW DATA'!M:M,'RAW DATA'!B98,'RAW DATA'!I:I)=0,"",SUMIF('RAW DATA'!M:M,'RAW DATA'!B98,'RAW DATA'!I:I))))</f>
        <v/>
      </c>
      <c r="H98" s="4" t="str">
        <f>IF(SUM(SUMIF('RAW DATA'!M:M,'RAW DATA'!B98,'RAW DATA'!J:J),SUMIF('RAW DATA'!N:N,'RAW DATA'!B98,'RAW DATA'!J:J),SUMIF('RAW DATA'!O:O,'RAW DATA'!B98,'RAW DATA'!J:J),SUMIF('RAW DATA'!P:P,'RAW DATA'!B98,'RAW DATA'!J:J))=0, "", SUM(SUMIF('RAW DATA'!M:M,'RAW DATA'!B98,'RAW DATA'!J:J),SUMIF('RAW DATA'!N:N,'RAW DATA'!B98,'RAW DATA'!J:J),SUMIF('RAW DATA'!O:O,'RAW DATA'!B98,'RAW DATA'!J:J),SUMIF('RAW DATA'!P:P,'RAW DATA'!B98,'RAW DATA'!J:J)))</f>
        <v/>
      </c>
      <c r="I98" s="4" t="str">
        <f>IF(SUMIF('RAW DATA'!M:M,'RAW DATA'!B98, 'RAW DATA'!K:K)=0, "", SUMIF('RAW DATA'!M:M,'RAW DATA'!B98, 'RAW DATA'!K:K))</f>
        <v/>
      </c>
      <c r="J98" s="29" t="str">
        <f>IF('RAW DATA'!B98&lt;&gt;"",IF(OR('RAW DATA'!H98=1,'RAW DATA'!H98=2),1,IF(ISNUMBER(FIND("Medic",'RAW DATA'!E98)),1,"")),"")</f>
        <v/>
      </c>
      <c r="K98" s="29" t="str">
        <f>IF(AND('RAW DATA'!$B98&lt;&gt;"",'RAW DATA'!L98=1),1,"")</f>
        <v/>
      </c>
      <c r="L98" s="24" t="str">
        <f t="shared" si="3"/>
        <v/>
      </c>
    </row>
    <row r="99" spans="2:12" x14ac:dyDescent="0.25">
      <c r="B99" s="1" t="str">
        <f>IF('RAW DATA'!$C99&lt;&gt;"",'RAW DATA'!$C99,"")</f>
        <v/>
      </c>
      <c r="C99" s="1" t="str">
        <f>IF('RAW DATA'!$D99&lt;&gt;"",'RAW DATA'!$D99,"")</f>
        <v/>
      </c>
      <c r="D99" s="1" t="str">
        <f>IF(AND($B98&lt;&gt;"", $B99=""), "TOTAL:", IF($D98="TOTAL:","VESSEL TARGET "&amp;'RAW DATA'!$E$2&amp;":",IF('RAW DATA'!$E99&lt;&gt;"",'RAW DATA'!$E99,"")))</f>
        <v/>
      </c>
      <c r="E99" s="29" t="str">
        <f t="shared" si="2"/>
        <v/>
      </c>
      <c r="F99" s="4" t="str">
        <f>IF($D98="TOTAL:",FIXED(ROUND(((SUM($F$4:$F97)/'RAW DATA'!$E$2)*100),1),1)&amp;"%",IF($D99="TOTAL:",SUM($F$4:$F98),IF(SUMIF('RAW DATA'!M:M,'RAW DATA'!B99,'RAW DATA'!H:H)=0,"",SUMIF('RAW DATA'!M:M,'RAW DATA'!B99,'RAW DATA'!H:H))))</f>
        <v/>
      </c>
      <c r="G99" s="4" t="str">
        <f>IF($D98="TOTAL:",FIXED(ROUND(((SUM($G$4:$G97)/'RAW DATA'!$E$2)*100),1),1)&amp;"%",IF($D99="TOTAL:",SUM($G$4:$G98),IF(SUMIF('RAW DATA'!M:M,'RAW DATA'!B99,'RAW DATA'!I:I)=0,"",SUMIF('RAW DATA'!M:M,'RAW DATA'!B99,'RAW DATA'!I:I))))</f>
        <v/>
      </c>
      <c r="H99" s="4" t="str">
        <f>IF(SUM(SUMIF('RAW DATA'!M:M,'RAW DATA'!B99,'RAW DATA'!J:J),SUMIF('RAW DATA'!N:N,'RAW DATA'!B99,'RAW DATA'!J:J),SUMIF('RAW DATA'!O:O,'RAW DATA'!B99,'RAW DATA'!J:J),SUMIF('RAW DATA'!P:P,'RAW DATA'!B99,'RAW DATA'!J:J))=0, "", SUM(SUMIF('RAW DATA'!M:M,'RAW DATA'!B99,'RAW DATA'!J:J),SUMIF('RAW DATA'!N:N,'RAW DATA'!B99,'RAW DATA'!J:J),SUMIF('RAW DATA'!O:O,'RAW DATA'!B99,'RAW DATA'!J:J),SUMIF('RAW DATA'!P:P,'RAW DATA'!B99,'RAW DATA'!J:J)))</f>
        <v/>
      </c>
      <c r="I99" s="4" t="str">
        <f>IF(SUMIF('RAW DATA'!M:M,'RAW DATA'!B99, 'RAW DATA'!K:K)=0, "", SUMIF('RAW DATA'!M:M,'RAW DATA'!B99, 'RAW DATA'!K:K))</f>
        <v/>
      </c>
      <c r="J99" s="29" t="str">
        <f>IF('RAW DATA'!B99&lt;&gt;"",IF(OR('RAW DATA'!H99=1,'RAW DATA'!H99=2),1,IF(ISNUMBER(FIND("Medic",'RAW DATA'!E99)),1,"")),"")</f>
        <v/>
      </c>
      <c r="K99" s="29" t="str">
        <f>IF(AND('RAW DATA'!$B99&lt;&gt;"",'RAW DATA'!L99=1),1,"")</f>
        <v/>
      </c>
      <c r="L99" s="24" t="str">
        <f t="shared" si="3"/>
        <v/>
      </c>
    </row>
    <row r="100" spans="2:12" x14ac:dyDescent="0.25">
      <c r="B100" s="1" t="str">
        <f>IF('RAW DATA'!$C100&lt;&gt;"",'RAW DATA'!$C100,"")</f>
        <v/>
      </c>
      <c r="C100" s="1" t="str">
        <f>IF('RAW DATA'!$D100&lt;&gt;"",'RAW DATA'!$D100,"")</f>
        <v/>
      </c>
      <c r="D100" s="1" t="str">
        <f>IF(AND($B99&lt;&gt;"", $B100=""), "TOTAL:", IF($D99="TOTAL:","VESSEL TARGET "&amp;'RAW DATA'!$E$2&amp;":",IF('RAW DATA'!$E100&lt;&gt;"",'RAW DATA'!$E100,"")))</f>
        <v/>
      </c>
      <c r="E100" s="29" t="str">
        <f t="shared" si="2"/>
        <v/>
      </c>
      <c r="F100" s="4" t="str">
        <f>IF($D99="TOTAL:",FIXED(ROUND(((SUM($F$4:$F98)/'RAW DATA'!$E$2)*100),1),1)&amp;"%",IF($D100="TOTAL:",SUM($F$4:$F99),IF(SUMIF('RAW DATA'!M:M,'RAW DATA'!B100,'RAW DATA'!H:H)=0,"",SUMIF('RAW DATA'!M:M,'RAW DATA'!B100,'RAW DATA'!H:H))))</f>
        <v/>
      </c>
      <c r="G100" s="4" t="str">
        <f>IF($D99="TOTAL:",FIXED(ROUND(((SUM($G$4:$G98)/'RAW DATA'!$E$2)*100),1),1)&amp;"%",IF($D100="TOTAL:",SUM($G$4:$G99),IF(SUMIF('RAW DATA'!M:M,'RAW DATA'!B100,'RAW DATA'!I:I)=0,"",SUMIF('RAW DATA'!M:M,'RAW DATA'!B100,'RAW DATA'!I:I))))</f>
        <v/>
      </c>
      <c r="H100" s="4" t="str">
        <f>IF(SUM(SUMIF('RAW DATA'!M:M,'RAW DATA'!B100,'RAW DATA'!J:J),SUMIF('RAW DATA'!N:N,'RAW DATA'!B100,'RAW DATA'!J:J),SUMIF('RAW DATA'!O:O,'RAW DATA'!B100,'RAW DATA'!J:J),SUMIF('RAW DATA'!P:P,'RAW DATA'!B100,'RAW DATA'!J:J))=0, "", SUM(SUMIF('RAW DATA'!M:M,'RAW DATA'!B100,'RAW DATA'!J:J),SUMIF('RAW DATA'!N:N,'RAW DATA'!B100,'RAW DATA'!J:J),SUMIF('RAW DATA'!O:O,'RAW DATA'!B100,'RAW DATA'!J:J),SUMIF('RAW DATA'!P:P,'RAW DATA'!B100,'RAW DATA'!J:J)))</f>
        <v/>
      </c>
      <c r="I100" s="4" t="str">
        <f>IF(SUMIF('RAW DATA'!M:M,'RAW DATA'!B100, 'RAW DATA'!K:K)=0, "", SUMIF('RAW DATA'!M:M,'RAW DATA'!B100, 'RAW DATA'!K:K))</f>
        <v/>
      </c>
      <c r="J100" s="29" t="str">
        <f>IF('RAW DATA'!B100&lt;&gt;"",IF(OR('RAW DATA'!H100=1,'RAW DATA'!H100=2),1,IF(ISNUMBER(FIND("Medic",'RAW DATA'!E100)),1,"")),"")</f>
        <v/>
      </c>
      <c r="K100" s="29" t="str">
        <f>IF(AND('RAW DATA'!$B100&lt;&gt;"",'RAW DATA'!L100=1),1,"")</f>
        <v/>
      </c>
      <c r="L100" s="24" t="str">
        <f t="shared" si="3"/>
        <v/>
      </c>
    </row>
    <row r="101" spans="2:12" x14ac:dyDescent="0.25">
      <c r="B101" s="1" t="str">
        <f>IF('RAW DATA'!$C101&lt;&gt;"",'RAW DATA'!$C101,"")</f>
        <v/>
      </c>
      <c r="C101" s="1" t="str">
        <f>IF('RAW DATA'!$D101&lt;&gt;"",'RAW DATA'!$D101,"")</f>
        <v/>
      </c>
      <c r="D101" s="1" t="str">
        <f>IF(AND($B100&lt;&gt;"", $B101=""), "TOTAL:", IF($D100="TOTAL:","VESSEL TARGET "&amp;'RAW DATA'!$E$2&amp;":",IF('RAW DATA'!$E101&lt;&gt;"",'RAW DATA'!$E101,"")))</f>
        <v/>
      </c>
      <c r="E101" s="29" t="str">
        <f t="shared" si="2"/>
        <v/>
      </c>
      <c r="F101" s="4" t="str">
        <f>IF($D100="TOTAL:",FIXED(ROUND(((SUM($F$4:$F99)/'RAW DATA'!$E$2)*100),1),1)&amp;"%",IF($D101="TOTAL:",SUM($F$4:$F100),IF(SUMIF('RAW DATA'!M:M,'RAW DATA'!B101,'RAW DATA'!H:H)=0,"",SUMIF('RAW DATA'!M:M,'RAW DATA'!B101,'RAW DATA'!H:H))))</f>
        <v/>
      </c>
      <c r="G101" s="4" t="str">
        <f>IF($D100="TOTAL:",FIXED(ROUND(((SUM($G$4:$G99)/'RAW DATA'!$E$2)*100),1),1)&amp;"%",IF($D101="TOTAL:",SUM($G$4:$G100),IF(SUMIF('RAW DATA'!M:M,'RAW DATA'!B101,'RAW DATA'!I:I)=0,"",SUMIF('RAW DATA'!M:M,'RAW DATA'!B101,'RAW DATA'!I:I))))</f>
        <v/>
      </c>
      <c r="H101" s="4" t="str">
        <f>IF(SUM(SUMIF('RAW DATA'!M:M,'RAW DATA'!B101,'RAW DATA'!J:J),SUMIF('RAW DATA'!N:N,'RAW DATA'!B101,'RAW DATA'!J:J),SUMIF('RAW DATA'!O:O,'RAW DATA'!B101,'RAW DATA'!J:J),SUMIF('RAW DATA'!P:P,'RAW DATA'!B101,'RAW DATA'!J:J))=0, "", SUM(SUMIF('RAW DATA'!M:M,'RAW DATA'!B101,'RAW DATA'!J:J),SUMIF('RAW DATA'!N:N,'RAW DATA'!B101,'RAW DATA'!J:J),SUMIF('RAW DATA'!O:O,'RAW DATA'!B101,'RAW DATA'!J:J),SUMIF('RAW DATA'!P:P,'RAW DATA'!B101,'RAW DATA'!J:J)))</f>
        <v/>
      </c>
      <c r="I101" s="4" t="str">
        <f>IF(SUMIF('RAW DATA'!M:M,'RAW DATA'!B101, 'RAW DATA'!K:K)=0, "", SUMIF('RAW DATA'!M:M,'RAW DATA'!B101, 'RAW DATA'!K:K))</f>
        <v/>
      </c>
      <c r="J101" s="29" t="str">
        <f>IF('RAW DATA'!B101&lt;&gt;"",IF(OR('RAW DATA'!H101=1,'RAW DATA'!H101=2),1,IF(ISNUMBER(FIND("Medic",'RAW DATA'!E101)),1,"")),"")</f>
        <v/>
      </c>
      <c r="K101" s="29" t="str">
        <f>IF(AND('RAW DATA'!$B101&lt;&gt;"",'RAW DATA'!L101=1),1,"")</f>
        <v/>
      </c>
      <c r="L101" s="24" t="str">
        <f t="shared" si="3"/>
        <v/>
      </c>
    </row>
    <row r="102" spans="2:12" x14ac:dyDescent="0.25">
      <c r="B102" s="1" t="str">
        <f>IF('RAW DATA'!$C102&lt;&gt;"",'RAW DATA'!$C102,"")</f>
        <v/>
      </c>
      <c r="C102" s="1" t="str">
        <f>IF('RAW DATA'!$D102&lt;&gt;"",'RAW DATA'!$D102,"")</f>
        <v/>
      </c>
      <c r="D102" s="1" t="str">
        <f>IF(AND($B101&lt;&gt;"", $B102=""), "TOTAL:", IF($D101="TOTAL:","VESSEL TARGET "&amp;'RAW DATA'!$E$2&amp;":",IF('RAW DATA'!$E102&lt;&gt;"",'RAW DATA'!$E102,"")))</f>
        <v/>
      </c>
      <c r="E102" s="29" t="str">
        <f t="shared" si="2"/>
        <v/>
      </c>
      <c r="F102" s="4" t="str">
        <f>IF($D101="TOTAL:",FIXED(ROUND(((SUM($F$4:$F100)/'RAW DATA'!$E$2)*100),1),1)&amp;"%",IF($D102="TOTAL:",SUM($F$4:$F101),IF(SUMIF('RAW DATA'!M:M,'RAW DATA'!B102,'RAW DATA'!H:H)=0,"",SUMIF('RAW DATA'!M:M,'RAW DATA'!B102,'RAW DATA'!H:H))))</f>
        <v/>
      </c>
      <c r="G102" s="4" t="str">
        <f>IF($D101="TOTAL:",FIXED(ROUND(((SUM($G$4:$G100)/'RAW DATA'!$E$2)*100),1),1)&amp;"%",IF($D102="TOTAL:",SUM($G$4:$G101),IF(SUMIF('RAW DATA'!M:M,'RAW DATA'!B102,'RAW DATA'!I:I)=0,"",SUMIF('RAW DATA'!M:M,'RAW DATA'!B102,'RAW DATA'!I:I))))</f>
        <v/>
      </c>
      <c r="H102" s="4" t="str">
        <f>IF(SUM(SUMIF('RAW DATA'!M:M,'RAW DATA'!B102,'RAW DATA'!J:J),SUMIF('RAW DATA'!N:N,'RAW DATA'!B102,'RAW DATA'!J:J),SUMIF('RAW DATA'!O:O,'RAW DATA'!B102,'RAW DATA'!J:J),SUMIF('RAW DATA'!P:P,'RAW DATA'!B102,'RAW DATA'!J:J))=0, "", SUM(SUMIF('RAW DATA'!M:M,'RAW DATA'!B102,'RAW DATA'!J:J),SUMIF('RAW DATA'!N:N,'RAW DATA'!B102,'RAW DATA'!J:J),SUMIF('RAW DATA'!O:O,'RAW DATA'!B102,'RAW DATA'!J:J),SUMIF('RAW DATA'!P:P,'RAW DATA'!B102,'RAW DATA'!J:J)))</f>
        <v/>
      </c>
      <c r="I102" s="4" t="str">
        <f>IF(SUMIF('RAW DATA'!M:M,'RAW DATA'!B102, 'RAW DATA'!K:K)=0, "", SUMIF('RAW DATA'!M:M,'RAW DATA'!B102, 'RAW DATA'!K:K))</f>
        <v/>
      </c>
      <c r="J102" s="29" t="str">
        <f>IF('RAW DATA'!B102&lt;&gt;"",IF(OR('RAW DATA'!H102=1,'RAW DATA'!H102=2),1,IF(ISNUMBER(FIND("Medic",'RAW DATA'!E102)),1,"")),"")</f>
        <v/>
      </c>
      <c r="K102" s="29" t="str">
        <f>IF(AND('RAW DATA'!$B102&lt;&gt;"",'RAW DATA'!L102=1),1,"")</f>
        <v/>
      </c>
      <c r="L102" s="24" t="str">
        <f t="shared" si="3"/>
        <v/>
      </c>
    </row>
    <row r="103" spans="2:12" x14ac:dyDescent="0.25">
      <c r="B103" s="1" t="str">
        <f>IF('RAW DATA'!$C103&lt;&gt;"",'RAW DATA'!$C103,"")</f>
        <v/>
      </c>
      <c r="C103" s="1" t="str">
        <f>IF('RAW DATA'!$D103&lt;&gt;"",'RAW DATA'!$D103,"")</f>
        <v/>
      </c>
      <c r="D103" s="1" t="str">
        <f>IF(AND($B102&lt;&gt;"", $B103=""), "TOTAL:", IF($D102="TOTAL:","VESSEL TARGET "&amp;'RAW DATA'!$E$2&amp;":",IF('RAW DATA'!$E103&lt;&gt;"",'RAW DATA'!$E103,"")))</f>
        <v/>
      </c>
      <c r="E103" s="29" t="str">
        <f t="shared" si="2"/>
        <v/>
      </c>
      <c r="F103" s="4" t="str">
        <f>IF($D102="TOTAL:",FIXED(ROUND(((SUM($F$4:$F101)/'RAW DATA'!$E$2)*100),1),1)&amp;"%",IF($D103="TOTAL:",SUM($F$4:$F102),IF(SUMIF('RAW DATA'!M:M,'RAW DATA'!B103,'RAW DATA'!H:H)=0,"",SUMIF('RAW DATA'!M:M,'RAW DATA'!B103,'RAW DATA'!H:H))))</f>
        <v/>
      </c>
      <c r="G103" s="4" t="str">
        <f>IF($D102="TOTAL:",FIXED(ROUND(((SUM($G$4:$G101)/'RAW DATA'!$E$2)*100),1),1)&amp;"%",IF($D103="TOTAL:",SUM($G$4:$G102),IF(SUMIF('RAW DATA'!M:M,'RAW DATA'!B103,'RAW DATA'!I:I)=0,"",SUMIF('RAW DATA'!M:M,'RAW DATA'!B103,'RAW DATA'!I:I))))</f>
        <v/>
      </c>
      <c r="H103" s="4" t="str">
        <f>IF(SUM(SUMIF('RAW DATA'!M:M,'RAW DATA'!B103,'RAW DATA'!J:J),SUMIF('RAW DATA'!N:N,'RAW DATA'!B103,'RAW DATA'!J:J),SUMIF('RAW DATA'!O:O,'RAW DATA'!B103,'RAW DATA'!J:J),SUMIF('RAW DATA'!P:P,'RAW DATA'!B103,'RAW DATA'!J:J))=0, "", SUM(SUMIF('RAW DATA'!M:M,'RAW DATA'!B103,'RAW DATA'!J:J),SUMIF('RAW DATA'!N:N,'RAW DATA'!B103,'RAW DATA'!J:J),SUMIF('RAW DATA'!O:O,'RAW DATA'!B103,'RAW DATA'!J:J),SUMIF('RAW DATA'!P:P,'RAW DATA'!B103,'RAW DATA'!J:J)))</f>
        <v/>
      </c>
      <c r="I103" s="4" t="str">
        <f>IF(SUMIF('RAW DATA'!M:M,'RAW DATA'!B103, 'RAW DATA'!K:K)=0, "", SUMIF('RAW DATA'!M:M,'RAW DATA'!B103, 'RAW DATA'!K:K))</f>
        <v/>
      </c>
      <c r="J103" s="29" t="str">
        <f>IF('RAW DATA'!B103&lt;&gt;"",IF(OR('RAW DATA'!H103=1,'RAW DATA'!H103=2),1,IF(ISNUMBER(FIND("Medic",'RAW DATA'!E103)),1,"")),"")</f>
        <v/>
      </c>
      <c r="K103" s="29" t="str">
        <f>IF(AND('RAW DATA'!$B103&lt;&gt;"",'RAW DATA'!L103=1),1,"")</f>
        <v/>
      </c>
      <c r="L103" s="24" t="str">
        <f t="shared" si="3"/>
        <v/>
      </c>
    </row>
    <row r="104" spans="2:12" x14ac:dyDescent="0.25">
      <c r="B104" s="1" t="str">
        <f>IF('RAW DATA'!$C104&lt;&gt;"",'RAW DATA'!$C104,"")</f>
        <v/>
      </c>
      <c r="C104" s="1" t="str">
        <f>IF('RAW DATA'!$D104&lt;&gt;"",'RAW DATA'!$D104,"")</f>
        <v/>
      </c>
      <c r="D104" s="1" t="str">
        <f>IF(AND($B103&lt;&gt;"", $B104=""), "TOTAL:", IF($D103="TOTAL:","VESSEL TARGET "&amp;'RAW DATA'!$E$2&amp;":",IF('RAW DATA'!$E104&lt;&gt;"",'RAW DATA'!$E104,"")))</f>
        <v/>
      </c>
      <c r="E104" s="29" t="str">
        <f t="shared" si="2"/>
        <v/>
      </c>
      <c r="F104" s="4" t="str">
        <f>IF($D103="TOTAL:",FIXED(ROUND(((SUM($F$4:$F102)/'RAW DATA'!$E$2)*100),1),1)&amp;"%",IF($D104="TOTAL:",SUM($F$4:$F103),IF(SUMIF('RAW DATA'!M:M,'RAW DATA'!B104,'RAW DATA'!H:H)=0,"",SUMIF('RAW DATA'!M:M,'RAW DATA'!B104,'RAW DATA'!H:H))))</f>
        <v/>
      </c>
      <c r="G104" s="4" t="str">
        <f>IF($D103="TOTAL:",FIXED(ROUND(((SUM($G$4:$G102)/'RAW DATA'!$E$2)*100),1),1)&amp;"%",IF($D104="TOTAL:",SUM($G$4:$G103),IF(SUMIF('RAW DATA'!M:M,'RAW DATA'!B104,'RAW DATA'!I:I)=0,"",SUMIF('RAW DATA'!M:M,'RAW DATA'!B104,'RAW DATA'!I:I))))</f>
        <v/>
      </c>
      <c r="H104" s="4" t="str">
        <f>IF(SUM(SUMIF('RAW DATA'!M:M,'RAW DATA'!B104,'RAW DATA'!J:J),SUMIF('RAW DATA'!N:N,'RAW DATA'!B104,'RAW DATA'!J:J),SUMIF('RAW DATA'!O:O,'RAW DATA'!B104,'RAW DATA'!J:J),SUMIF('RAW DATA'!P:P,'RAW DATA'!B104,'RAW DATA'!J:J))=0, "", SUM(SUMIF('RAW DATA'!M:M,'RAW DATA'!B104,'RAW DATA'!J:J),SUMIF('RAW DATA'!N:N,'RAW DATA'!B104,'RAW DATA'!J:J),SUMIF('RAW DATA'!O:O,'RAW DATA'!B104,'RAW DATA'!J:J),SUMIF('RAW DATA'!P:P,'RAW DATA'!B104,'RAW DATA'!J:J)))</f>
        <v/>
      </c>
      <c r="I104" s="4" t="str">
        <f>IF(SUMIF('RAW DATA'!M:M,'RAW DATA'!B104, 'RAW DATA'!K:K)=0, "", SUMIF('RAW DATA'!M:M,'RAW DATA'!B104, 'RAW DATA'!K:K))</f>
        <v/>
      </c>
      <c r="J104" s="29" t="str">
        <f>IF('RAW DATA'!B104&lt;&gt;"",IF(OR('RAW DATA'!H104=1,'RAW DATA'!H104=2),1,IF(ISNUMBER(FIND("Medic",'RAW DATA'!E104)),1,"")),"")</f>
        <v/>
      </c>
      <c r="K104" s="29" t="str">
        <f>IF(AND('RAW DATA'!$B104&lt;&gt;"",'RAW DATA'!L104=1),1,"")</f>
        <v/>
      </c>
      <c r="L104" s="24" t="str">
        <f t="shared" si="3"/>
        <v/>
      </c>
    </row>
    <row r="105" spans="2:12" x14ac:dyDescent="0.25">
      <c r="B105" s="1" t="str">
        <f>IF('RAW DATA'!$C105&lt;&gt;"",'RAW DATA'!$C105,"")</f>
        <v/>
      </c>
      <c r="C105" s="1" t="str">
        <f>IF('RAW DATA'!$D105&lt;&gt;"",'RAW DATA'!$D105,"")</f>
        <v/>
      </c>
      <c r="D105" s="1" t="str">
        <f>IF(AND($B104&lt;&gt;"", $B105=""), "TOTAL:", IF($D104="TOTAL:","VESSEL TARGET "&amp;'RAW DATA'!$E$2&amp;":",IF('RAW DATA'!$E105&lt;&gt;"",'RAW DATA'!$E105,"")))</f>
        <v/>
      </c>
      <c r="E105" s="29" t="str">
        <f t="shared" si="2"/>
        <v/>
      </c>
      <c r="F105" s="4" t="str">
        <f>IF($D104="TOTAL:",FIXED(ROUND(((SUM($F$4:$F103)/'RAW DATA'!$E$2)*100),1),1)&amp;"%",IF($D105="TOTAL:",SUM($F$4:$F104),IF(SUMIF('RAW DATA'!M:M,'RAW DATA'!B105,'RAW DATA'!H:H)=0,"",SUMIF('RAW DATA'!M:M,'RAW DATA'!B105,'RAW DATA'!H:H))))</f>
        <v/>
      </c>
      <c r="G105" s="4" t="str">
        <f>IF($D104="TOTAL:",FIXED(ROUND(((SUM($G$4:$G103)/'RAW DATA'!$E$2)*100),1),1)&amp;"%",IF($D105="TOTAL:",SUM($G$4:$G104),IF(SUMIF('RAW DATA'!M:M,'RAW DATA'!B105,'RAW DATA'!I:I)=0,"",SUMIF('RAW DATA'!M:M,'RAW DATA'!B105,'RAW DATA'!I:I))))</f>
        <v/>
      </c>
      <c r="H105" s="4" t="str">
        <f>IF(SUM(SUMIF('RAW DATA'!M:M,'RAW DATA'!B105,'RAW DATA'!J:J),SUMIF('RAW DATA'!N:N,'RAW DATA'!B105,'RAW DATA'!J:J),SUMIF('RAW DATA'!O:O,'RAW DATA'!B105,'RAW DATA'!J:J),SUMIF('RAW DATA'!P:P,'RAW DATA'!B105,'RAW DATA'!J:J))=0, "", SUM(SUMIF('RAW DATA'!M:M,'RAW DATA'!B105,'RAW DATA'!J:J),SUMIF('RAW DATA'!N:N,'RAW DATA'!B105,'RAW DATA'!J:J),SUMIF('RAW DATA'!O:O,'RAW DATA'!B105,'RAW DATA'!J:J),SUMIF('RAW DATA'!P:P,'RAW DATA'!B105,'RAW DATA'!J:J)))</f>
        <v/>
      </c>
      <c r="I105" s="4" t="str">
        <f>IF(SUMIF('RAW DATA'!M:M,'RAW DATA'!B105, 'RAW DATA'!K:K)=0, "", SUMIF('RAW DATA'!M:M,'RAW DATA'!B105, 'RAW DATA'!K:K))</f>
        <v/>
      </c>
      <c r="J105" s="29" t="str">
        <f>IF('RAW DATA'!B105&lt;&gt;"",IF(OR('RAW DATA'!H105=1,'RAW DATA'!H105=2),1,IF(ISNUMBER(FIND("Medic",'RAW DATA'!E105)),1,"")),"")</f>
        <v/>
      </c>
      <c r="K105" s="29" t="str">
        <f>IF(AND('RAW DATA'!$B105&lt;&gt;"",'RAW DATA'!L105=1),1,"")</f>
        <v/>
      </c>
      <c r="L105" s="24" t="str">
        <f t="shared" si="3"/>
        <v/>
      </c>
    </row>
    <row r="106" spans="2:12" x14ac:dyDescent="0.25">
      <c r="B106" s="1" t="str">
        <f>IF('RAW DATA'!$C106&lt;&gt;"",'RAW DATA'!$C106,"")</f>
        <v/>
      </c>
      <c r="C106" s="1" t="str">
        <f>IF('RAW DATA'!$D106&lt;&gt;"",'RAW DATA'!$D106,"")</f>
        <v/>
      </c>
      <c r="D106" s="1" t="str">
        <f>IF(AND($B105&lt;&gt;"", $B106=""), "TOTAL:", IF($D105="TOTAL:","VESSEL TARGET "&amp;'RAW DATA'!$E$2&amp;":",IF('RAW DATA'!$E106&lt;&gt;"",'RAW DATA'!$E106,"")))</f>
        <v/>
      </c>
      <c r="E106" s="29" t="str">
        <f t="shared" si="2"/>
        <v/>
      </c>
      <c r="F106" s="4" t="str">
        <f>IF($D105="TOTAL:",FIXED(ROUND(((SUM($F$4:$F104)/'RAW DATA'!$E$2)*100),1),1)&amp;"%",IF($D106="TOTAL:",SUM($F$4:$F105),IF(SUMIF('RAW DATA'!M:M,'RAW DATA'!B106,'RAW DATA'!H:H)=0,"",SUMIF('RAW DATA'!M:M,'RAW DATA'!B106,'RAW DATA'!H:H))))</f>
        <v/>
      </c>
      <c r="G106" s="4" t="str">
        <f>IF($D105="TOTAL:",FIXED(ROUND(((SUM($G$4:$G104)/'RAW DATA'!$E$2)*100),1),1)&amp;"%",IF($D106="TOTAL:",SUM($G$4:$G105),IF(SUMIF('RAW DATA'!M:M,'RAW DATA'!B106,'RAW DATA'!I:I)=0,"",SUMIF('RAW DATA'!M:M,'RAW DATA'!B106,'RAW DATA'!I:I))))</f>
        <v/>
      </c>
      <c r="H106" s="4" t="str">
        <f>IF(SUM(SUMIF('RAW DATA'!M:M,'RAW DATA'!B106,'RAW DATA'!J:J),SUMIF('RAW DATA'!N:N,'RAW DATA'!B106,'RAW DATA'!J:J),SUMIF('RAW DATA'!O:O,'RAW DATA'!B106,'RAW DATA'!J:J),SUMIF('RAW DATA'!P:P,'RAW DATA'!B106,'RAW DATA'!J:J))=0, "", SUM(SUMIF('RAW DATA'!M:M,'RAW DATA'!B106,'RAW DATA'!J:J),SUMIF('RAW DATA'!N:N,'RAW DATA'!B106,'RAW DATA'!J:J),SUMIF('RAW DATA'!O:O,'RAW DATA'!B106,'RAW DATA'!J:J),SUMIF('RAW DATA'!P:P,'RAW DATA'!B106,'RAW DATA'!J:J)))</f>
        <v/>
      </c>
      <c r="I106" s="4" t="str">
        <f>IF(SUMIF('RAW DATA'!M:M,'RAW DATA'!B106, 'RAW DATA'!K:K)=0, "", SUMIF('RAW DATA'!M:M,'RAW DATA'!B106, 'RAW DATA'!K:K))</f>
        <v/>
      </c>
      <c r="J106" s="29" t="str">
        <f>IF('RAW DATA'!B106&lt;&gt;"",IF(OR('RAW DATA'!H106=1,'RAW DATA'!H106=2),1,IF(ISNUMBER(FIND("Medic",'RAW DATA'!E106)),1,"")),"")</f>
        <v/>
      </c>
      <c r="K106" s="29" t="str">
        <f>IF(AND('RAW DATA'!$B106&lt;&gt;"",'RAW DATA'!L106=1),1,"")</f>
        <v/>
      </c>
      <c r="L106" s="24" t="str">
        <f t="shared" si="3"/>
        <v/>
      </c>
    </row>
    <row r="107" spans="2:12" x14ac:dyDescent="0.25">
      <c r="B107" s="1" t="str">
        <f>IF('RAW DATA'!$C107&lt;&gt;"",'RAW DATA'!$C107,"")</f>
        <v/>
      </c>
      <c r="C107" s="1" t="str">
        <f>IF('RAW DATA'!$D107&lt;&gt;"",'RAW DATA'!$D107,"")</f>
        <v/>
      </c>
      <c r="D107" s="1" t="str">
        <f>IF(AND($B106&lt;&gt;"", $B107=""), "TOTAL:", IF($D106="TOTAL:","VESSEL TARGET "&amp;'RAW DATA'!$E$2&amp;":",IF('RAW DATA'!$E107&lt;&gt;"",'RAW DATA'!$E107,"")))</f>
        <v/>
      </c>
      <c r="E107" s="29" t="str">
        <f t="shared" si="2"/>
        <v/>
      </c>
      <c r="F107" s="4" t="str">
        <f>IF($D106="TOTAL:",FIXED(ROUND(((SUM($F$4:$F105)/'RAW DATA'!$E$2)*100),1),1)&amp;"%",IF($D107="TOTAL:",SUM($F$4:$F106),IF(SUMIF('RAW DATA'!M:M,'RAW DATA'!B107,'RAW DATA'!H:H)=0,"",SUMIF('RAW DATA'!M:M,'RAW DATA'!B107,'RAW DATA'!H:H))))</f>
        <v/>
      </c>
      <c r="G107" s="4" t="str">
        <f>IF($D106="TOTAL:",FIXED(ROUND(((SUM($G$4:$G105)/'RAW DATA'!$E$2)*100),1),1)&amp;"%",IF($D107="TOTAL:",SUM($G$4:$G106),IF(SUMIF('RAW DATA'!M:M,'RAW DATA'!B107,'RAW DATA'!I:I)=0,"",SUMIF('RAW DATA'!M:M,'RAW DATA'!B107,'RAW DATA'!I:I))))</f>
        <v/>
      </c>
      <c r="H107" s="4" t="str">
        <f>IF(SUM(SUMIF('RAW DATA'!M:M,'RAW DATA'!B107,'RAW DATA'!J:J),SUMIF('RAW DATA'!N:N,'RAW DATA'!B107,'RAW DATA'!J:J),SUMIF('RAW DATA'!O:O,'RAW DATA'!B107,'RAW DATA'!J:J),SUMIF('RAW DATA'!P:P,'RAW DATA'!B107,'RAW DATA'!J:J))=0, "", SUM(SUMIF('RAW DATA'!M:M,'RAW DATA'!B107,'RAW DATA'!J:J),SUMIF('RAW DATA'!N:N,'RAW DATA'!B107,'RAW DATA'!J:J),SUMIF('RAW DATA'!O:O,'RAW DATA'!B107,'RAW DATA'!J:J),SUMIF('RAW DATA'!P:P,'RAW DATA'!B107,'RAW DATA'!J:J)))</f>
        <v/>
      </c>
      <c r="I107" s="4" t="str">
        <f>IF(SUMIF('RAW DATA'!M:M,'RAW DATA'!B107, 'RAW DATA'!K:K)=0, "", SUMIF('RAW DATA'!M:M,'RAW DATA'!B107, 'RAW DATA'!K:K))</f>
        <v/>
      </c>
      <c r="J107" s="29" t="str">
        <f>IF('RAW DATA'!B107&lt;&gt;"",IF(OR('RAW DATA'!H107=1,'RAW DATA'!H107=2),1,IF(ISNUMBER(FIND("Medic",'RAW DATA'!E107)),1,"")),"")</f>
        <v/>
      </c>
      <c r="K107" s="29" t="str">
        <f>IF(AND('RAW DATA'!$B107&lt;&gt;"",'RAW DATA'!L107=1),1,"")</f>
        <v/>
      </c>
      <c r="L107" s="24" t="str">
        <f t="shared" si="3"/>
        <v/>
      </c>
    </row>
    <row r="108" spans="2:12" x14ac:dyDescent="0.25">
      <c r="B108" s="1" t="str">
        <f>IF('RAW DATA'!$C108&lt;&gt;"",'RAW DATA'!$C108,"")</f>
        <v/>
      </c>
      <c r="C108" s="1" t="str">
        <f>IF('RAW DATA'!$D108&lt;&gt;"",'RAW DATA'!$D108,"")</f>
        <v/>
      </c>
      <c r="D108" s="1" t="str">
        <f>IF(AND($B107&lt;&gt;"", $B108=""), "TOTAL:", IF($D107="TOTAL:","VESSEL TARGET "&amp;'RAW DATA'!$E$2&amp;":",IF('RAW DATA'!$E108&lt;&gt;"",'RAW DATA'!$E108,"")))</f>
        <v/>
      </c>
      <c r="E108" s="29" t="str">
        <f t="shared" si="2"/>
        <v/>
      </c>
      <c r="F108" s="4" t="str">
        <f>IF($D107="TOTAL:",FIXED(ROUND(((SUM($F$4:$F106)/'RAW DATA'!$E$2)*100),1),1)&amp;"%",IF($D108="TOTAL:",SUM($F$4:$F107),IF(SUMIF('RAW DATA'!M:M,'RAW DATA'!B108,'RAW DATA'!H:H)=0,"",SUMIF('RAW DATA'!M:M,'RAW DATA'!B108,'RAW DATA'!H:H))))</f>
        <v/>
      </c>
      <c r="G108" s="4" t="str">
        <f>IF($D107="TOTAL:",FIXED(ROUND(((SUM($G$4:$G106)/'RAW DATA'!$E$2)*100),1),1)&amp;"%",IF($D108="TOTAL:",SUM($G$4:$G107),IF(SUMIF('RAW DATA'!M:M,'RAW DATA'!B108,'RAW DATA'!I:I)=0,"",SUMIF('RAW DATA'!M:M,'RAW DATA'!B108,'RAW DATA'!I:I))))</f>
        <v/>
      </c>
      <c r="H108" s="4" t="str">
        <f>IF(SUM(SUMIF('RAW DATA'!M:M,'RAW DATA'!B108,'RAW DATA'!J:J),SUMIF('RAW DATA'!N:N,'RAW DATA'!B108,'RAW DATA'!J:J),SUMIF('RAW DATA'!O:O,'RAW DATA'!B108,'RAW DATA'!J:J),SUMIF('RAW DATA'!P:P,'RAW DATA'!B108,'RAW DATA'!J:J))=0, "", SUM(SUMIF('RAW DATA'!M:M,'RAW DATA'!B108,'RAW DATA'!J:J),SUMIF('RAW DATA'!N:N,'RAW DATA'!B108,'RAW DATA'!J:J),SUMIF('RAW DATA'!O:O,'RAW DATA'!B108,'RAW DATA'!J:J),SUMIF('RAW DATA'!P:P,'RAW DATA'!B108,'RAW DATA'!J:J)))</f>
        <v/>
      </c>
      <c r="I108" s="4" t="str">
        <f>IF(SUMIF('RAW DATA'!M:M,'RAW DATA'!B108, 'RAW DATA'!K:K)=0, "", SUMIF('RAW DATA'!M:M,'RAW DATA'!B108, 'RAW DATA'!K:K))</f>
        <v/>
      </c>
      <c r="J108" s="29" t="str">
        <f>IF('RAW DATA'!B108&lt;&gt;"",IF(OR('RAW DATA'!H108=1,'RAW DATA'!H108=2),1,IF(ISNUMBER(FIND("Medic",'RAW DATA'!E108)),1,"")),"")</f>
        <v/>
      </c>
      <c r="K108" s="29" t="str">
        <f>IF(AND('RAW DATA'!$B108&lt;&gt;"",'RAW DATA'!L108=1),1,"")</f>
        <v/>
      </c>
      <c r="L108" s="24" t="str">
        <f t="shared" si="3"/>
        <v/>
      </c>
    </row>
    <row r="109" spans="2:12" x14ac:dyDescent="0.25">
      <c r="B109" s="1" t="str">
        <f>IF('RAW DATA'!$C109&lt;&gt;"",'RAW DATA'!$C109,"")</f>
        <v/>
      </c>
      <c r="C109" s="1" t="str">
        <f>IF('RAW DATA'!$D109&lt;&gt;"",'RAW DATA'!$D109,"")</f>
        <v/>
      </c>
      <c r="D109" s="1" t="str">
        <f>IF(AND($B108&lt;&gt;"", $B109=""), "TOTAL:", IF($D108="TOTAL:","VESSEL TARGET "&amp;'RAW DATA'!$E$2&amp;":",IF('RAW DATA'!$E109&lt;&gt;"",'RAW DATA'!$E109,"")))</f>
        <v/>
      </c>
      <c r="E109" s="29" t="str">
        <f t="shared" si="2"/>
        <v/>
      </c>
      <c r="F109" s="4" t="str">
        <f>IF($D108="TOTAL:",FIXED(ROUND(((SUM($F$4:$F107)/'RAW DATA'!$E$2)*100),1),1)&amp;"%",IF($D109="TOTAL:",SUM($F$4:$F108),IF(SUMIF('RAW DATA'!M:M,'RAW DATA'!B109,'RAW DATA'!H:H)=0,"",SUMIF('RAW DATA'!M:M,'RAW DATA'!B109,'RAW DATA'!H:H))))</f>
        <v/>
      </c>
      <c r="G109" s="4" t="str">
        <f>IF($D108="TOTAL:",FIXED(ROUND(((SUM($G$4:$G107)/'RAW DATA'!$E$2)*100),1),1)&amp;"%",IF($D109="TOTAL:",SUM($G$4:$G108),IF(SUMIF('RAW DATA'!M:M,'RAW DATA'!B109,'RAW DATA'!I:I)=0,"",SUMIF('RAW DATA'!M:M,'RAW DATA'!B109,'RAW DATA'!I:I))))</f>
        <v/>
      </c>
      <c r="H109" s="4" t="str">
        <f>IF(SUM(SUMIF('RAW DATA'!M:M,'RAW DATA'!B109,'RAW DATA'!J:J),SUMIF('RAW DATA'!N:N,'RAW DATA'!B109,'RAW DATA'!J:J),SUMIF('RAW DATA'!O:O,'RAW DATA'!B109,'RAW DATA'!J:J),SUMIF('RAW DATA'!P:P,'RAW DATA'!B109,'RAW DATA'!J:J))=0, "", SUM(SUMIF('RAW DATA'!M:M,'RAW DATA'!B109,'RAW DATA'!J:J),SUMIF('RAW DATA'!N:N,'RAW DATA'!B109,'RAW DATA'!J:J),SUMIF('RAW DATA'!O:O,'RAW DATA'!B109,'RAW DATA'!J:J),SUMIF('RAW DATA'!P:P,'RAW DATA'!B109,'RAW DATA'!J:J)))</f>
        <v/>
      </c>
      <c r="I109" s="4" t="str">
        <f>IF(SUMIF('RAW DATA'!M:M,'RAW DATA'!B109, 'RAW DATA'!K:K)=0, "", SUMIF('RAW DATA'!M:M,'RAW DATA'!B109, 'RAW DATA'!K:K))</f>
        <v/>
      </c>
      <c r="J109" s="29" t="str">
        <f>IF('RAW DATA'!B109&lt;&gt;"",IF(OR('RAW DATA'!H109=1,'RAW DATA'!H109=2),1,IF(ISNUMBER(FIND("Medic",'RAW DATA'!E109)),1,"")),"")</f>
        <v/>
      </c>
      <c r="K109" s="29" t="str">
        <f>IF(AND('RAW DATA'!$B109&lt;&gt;"",'RAW DATA'!L109=1),1,"")</f>
        <v/>
      </c>
      <c r="L109" s="24" t="str">
        <f t="shared" si="3"/>
        <v/>
      </c>
    </row>
    <row r="110" spans="2:12" x14ac:dyDescent="0.25">
      <c r="B110" s="1" t="str">
        <f>IF('RAW DATA'!$C110&lt;&gt;"",'RAW DATA'!$C110,"")</f>
        <v/>
      </c>
      <c r="C110" s="1" t="str">
        <f>IF('RAW DATA'!$D110&lt;&gt;"",'RAW DATA'!$D110,"")</f>
        <v/>
      </c>
      <c r="D110" s="1" t="str">
        <f>IF(AND($B109&lt;&gt;"", $B110=""), "TOTAL:", IF($D109="TOTAL:","VESSEL TARGET "&amp;'RAW DATA'!$E$2&amp;":",IF('RAW DATA'!$E110&lt;&gt;"",'RAW DATA'!$E110,"")))</f>
        <v/>
      </c>
      <c r="E110" s="29" t="str">
        <f t="shared" si="2"/>
        <v/>
      </c>
      <c r="F110" s="4" t="str">
        <f>IF($D109="TOTAL:",FIXED(ROUND(((SUM($F$4:$F108)/'RAW DATA'!$E$2)*100),1),1)&amp;"%",IF($D110="TOTAL:",SUM($F$4:$F109),IF(SUMIF('RAW DATA'!M:M,'RAW DATA'!B110,'RAW DATA'!H:H)=0,"",SUMIF('RAW DATA'!M:M,'RAW DATA'!B110,'RAW DATA'!H:H))))</f>
        <v/>
      </c>
      <c r="G110" s="4" t="str">
        <f>IF($D109="TOTAL:",FIXED(ROUND(((SUM($G$4:$G108)/'RAW DATA'!$E$2)*100),1),1)&amp;"%",IF($D110="TOTAL:",SUM($G$4:$G109),IF(SUMIF('RAW DATA'!M:M,'RAW DATA'!B110,'RAW DATA'!I:I)=0,"",SUMIF('RAW DATA'!M:M,'RAW DATA'!B110,'RAW DATA'!I:I))))</f>
        <v/>
      </c>
      <c r="H110" s="4" t="str">
        <f>IF(SUM(SUMIF('RAW DATA'!M:M,'RAW DATA'!B110,'RAW DATA'!J:J),SUMIF('RAW DATA'!N:N,'RAW DATA'!B110,'RAW DATA'!J:J),SUMIF('RAW DATA'!O:O,'RAW DATA'!B110,'RAW DATA'!J:J),SUMIF('RAW DATA'!P:P,'RAW DATA'!B110,'RAW DATA'!J:J))=0, "", SUM(SUMIF('RAW DATA'!M:M,'RAW DATA'!B110,'RAW DATA'!J:J),SUMIF('RAW DATA'!N:N,'RAW DATA'!B110,'RAW DATA'!J:J),SUMIF('RAW DATA'!O:O,'RAW DATA'!B110,'RAW DATA'!J:J),SUMIF('RAW DATA'!P:P,'RAW DATA'!B110,'RAW DATA'!J:J)))</f>
        <v/>
      </c>
      <c r="I110" s="4" t="str">
        <f>IF(SUMIF('RAW DATA'!M:M,'RAW DATA'!B110, 'RAW DATA'!K:K)=0, "", SUMIF('RAW DATA'!M:M,'RAW DATA'!B110, 'RAW DATA'!K:K))</f>
        <v/>
      </c>
      <c r="J110" s="29" t="str">
        <f>IF('RAW DATA'!B110&lt;&gt;"",IF(OR('RAW DATA'!H110=1,'RAW DATA'!H110=2),1,IF(ISNUMBER(FIND("Medic",'RAW DATA'!E110)),1,"")),"")</f>
        <v/>
      </c>
      <c r="K110" s="29" t="str">
        <f>IF(AND('RAW DATA'!$B110&lt;&gt;"",'RAW DATA'!L110=1),1,"")</f>
        <v/>
      </c>
      <c r="L110" s="24" t="str">
        <f t="shared" si="3"/>
        <v/>
      </c>
    </row>
    <row r="111" spans="2:12" x14ac:dyDescent="0.25">
      <c r="B111" s="1" t="str">
        <f>IF('RAW DATA'!$C111&lt;&gt;"",'RAW DATA'!$C111,"")</f>
        <v/>
      </c>
      <c r="C111" s="1" t="str">
        <f>IF('RAW DATA'!$D111&lt;&gt;"",'RAW DATA'!$D111,"")</f>
        <v/>
      </c>
      <c r="D111" s="1" t="str">
        <f>IF(AND($B110&lt;&gt;"", $B111=""), "TOTAL:", IF($D110="TOTAL:","VESSEL TARGET "&amp;'RAW DATA'!$E$2&amp;":",IF('RAW DATA'!$E111&lt;&gt;"",'RAW DATA'!$E111,"")))</f>
        <v/>
      </c>
      <c r="E111" s="29" t="str">
        <f t="shared" si="2"/>
        <v/>
      </c>
      <c r="F111" s="4" t="str">
        <f>IF($D110="TOTAL:",FIXED(ROUND(((SUM($F$4:$F109)/'RAW DATA'!$E$2)*100),1),1)&amp;"%",IF($D111="TOTAL:",SUM($F$4:$F110),IF(SUMIF('RAW DATA'!M:M,'RAW DATA'!B111,'RAW DATA'!H:H)=0,"",SUMIF('RAW DATA'!M:M,'RAW DATA'!B111,'RAW DATA'!H:H))))</f>
        <v/>
      </c>
      <c r="G111" s="4" t="str">
        <f>IF($D110="TOTAL:",FIXED(ROUND(((SUM($G$4:$G109)/'RAW DATA'!$E$2)*100),1),1)&amp;"%",IF($D111="TOTAL:",SUM($G$4:$G110),IF(SUMIF('RAW DATA'!M:M,'RAW DATA'!B111,'RAW DATA'!I:I)=0,"",SUMIF('RAW DATA'!M:M,'RAW DATA'!B111,'RAW DATA'!I:I))))</f>
        <v/>
      </c>
      <c r="H111" s="4" t="str">
        <f>IF(SUM(SUMIF('RAW DATA'!M:M,'RAW DATA'!B111,'RAW DATA'!J:J),SUMIF('RAW DATA'!N:N,'RAW DATA'!B111,'RAW DATA'!J:J),SUMIF('RAW DATA'!O:O,'RAW DATA'!B111,'RAW DATA'!J:J),SUMIF('RAW DATA'!P:P,'RAW DATA'!B111,'RAW DATA'!J:J))=0, "", SUM(SUMIF('RAW DATA'!M:M,'RAW DATA'!B111,'RAW DATA'!J:J),SUMIF('RAW DATA'!N:N,'RAW DATA'!B111,'RAW DATA'!J:J),SUMIF('RAW DATA'!O:O,'RAW DATA'!B111,'RAW DATA'!J:J),SUMIF('RAW DATA'!P:P,'RAW DATA'!B111,'RAW DATA'!J:J)))</f>
        <v/>
      </c>
      <c r="I111" s="4" t="str">
        <f>IF(SUMIF('RAW DATA'!M:M,'RAW DATA'!B111, 'RAW DATA'!K:K)=0, "", SUMIF('RAW DATA'!M:M,'RAW DATA'!B111, 'RAW DATA'!K:K))</f>
        <v/>
      </c>
      <c r="J111" s="29" t="str">
        <f>IF('RAW DATA'!B111&lt;&gt;"",IF(OR('RAW DATA'!H111=1,'RAW DATA'!H111=2),1,IF(ISNUMBER(FIND("Medic",'RAW DATA'!E111)),1,"")),"")</f>
        <v/>
      </c>
      <c r="K111" s="29" t="str">
        <f>IF(AND('RAW DATA'!$B111&lt;&gt;"",'RAW DATA'!L111=1),1,"")</f>
        <v/>
      </c>
      <c r="L111" s="24" t="str">
        <f t="shared" si="3"/>
        <v/>
      </c>
    </row>
    <row r="112" spans="2:12" x14ac:dyDescent="0.25">
      <c r="B112" s="1" t="str">
        <f>IF('RAW DATA'!$C112&lt;&gt;"",'RAW DATA'!$C112,"")</f>
        <v/>
      </c>
      <c r="C112" s="1" t="str">
        <f>IF('RAW DATA'!$D112&lt;&gt;"",'RAW DATA'!$D112,"")</f>
        <v/>
      </c>
      <c r="D112" s="1" t="str">
        <f>IF(AND($B111&lt;&gt;"", $B112=""), "TOTAL:", IF($D111="TOTAL:","VESSEL TARGET "&amp;'RAW DATA'!$E$2&amp;":",IF('RAW DATA'!$E112&lt;&gt;"",'RAW DATA'!$E112,"")))</f>
        <v/>
      </c>
      <c r="E112" s="29" t="str">
        <f t="shared" si="2"/>
        <v/>
      </c>
      <c r="F112" s="4" t="str">
        <f>IF($D111="TOTAL:",FIXED(ROUND(((SUM($F$4:$F110)/'RAW DATA'!$E$2)*100),1),1)&amp;"%",IF($D112="TOTAL:",SUM($F$4:$F111),IF(SUMIF('RAW DATA'!M:M,'RAW DATA'!B112,'RAW DATA'!H:H)=0,"",SUMIF('RAW DATA'!M:M,'RAW DATA'!B112,'RAW DATA'!H:H))))</f>
        <v/>
      </c>
      <c r="G112" s="4" t="str">
        <f>IF($D111="TOTAL:",FIXED(ROUND(((SUM($G$4:$G110)/'RAW DATA'!$E$2)*100),1),1)&amp;"%",IF($D112="TOTAL:",SUM($G$4:$G111),IF(SUMIF('RAW DATA'!M:M,'RAW DATA'!B112,'RAW DATA'!I:I)=0,"",SUMIF('RAW DATA'!M:M,'RAW DATA'!B112,'RAW DATA'!I:I))))</f>
        <v/>
      </c>
      <c r="H112" s="4" t="str">
        <f>IF(SUM(SUMIF('RAW DATA'!M:M,'RAW DATA'!B112,'RAW DATA'!J:J),SUMIF('RAW DATA'!N:N,'RAW DATA'!B112,'RAW DATA'!J:J),SUMIF('RAW DATA'!O:O,'RAW DATA'!B112,'RAW DATA'!J:J),SUMIF('RAW DATA'!P:P,'RAW DATA'!B112,'RAW DATA'!J:J))=0, "", SUM(SUMIF('RAW DATA'!M:M,'RAW DATA'!B112,'RAW DATA'!J:J),SUMIF('RAW DATA'!N:N,'RAW DATA'!B112,'RAW DATA'!J:J),SUMIF('RAW DATA'!O:O,'RAW DATA'!B112,'RAW DATA'!J:J),SUMIF('RAW DATA'!P:P,'RAW DATA'!B112,'RAW DATA'!J:J)))</f>
        <v/>
      </c>
      <c r="I112" s="4" t="str">
        <f>IF(SUMIF('RAW DATA'!M:M,'RAW DATA'!B112, 'RAW DATA'!K:K)=0, "", SUMIF('RAW DATA'!M:M,'RAW DATA'!B112, 'RAW DATA'!K:K))</f>
        <v/>
      </c>
      <c r="J112" s="29" t="str">
        <f>IF('RAW DATA'!B112&lt;&gt;"",IF(OR('RAW DATA'!H112=1,'RAW DATA'!H112=2),1,IF(ISNUMBER(FIND("Medic",'RAW DATA'!E112)),1,"")),"")</f>
        <v/>
      </c>
      <c r="K112" s="29" t="str">
        <f>IF(AND('RAW DATA'!$B112&lt;&gt;"",'RAW DATA'!L112=1),1,"")</f>
        <v/>
      </c>
      <c r="L112" s="24" t="str">
        <f t="shared" si="3"/>
        <v/>
      </c>
    </row>
    <row r="113" spans="2:12" x14ac:dyDescent="0.25">
      <c r="B113" s="1" t="str">
        <f>IF('RAW DATA'!$C113&lt;&gt;"",'RAW DATA'!$C113,"")</f>
        <v/>
      </c>
      <c r="C113" s="1" t="str">
        <f>IF('RAW DATA'!$D113&lt;&gt;"",'RAW DATA'!$D113,"")</f>
        <v/>
      </c>
      <c r="D113" s="1" t="str">
        <f>IF(AND($B112&lt;&gt;"", $B113=""), "TOTAL:", IF($D112="TOTAL:","VESSEL TARGET "&amp;'RAW DATA'!$E$2&amp;":",IF('RAW DATA'!$E113&lt;&gt;"",'RAW DATA'!$E113,"")))</f>
        <v/>
      </c>
      <c r="E113" s="29" t="str">
        <f t="shared" si="2"/>
        <v/>
      </c>
      <c r="F113" s="4" t="str">
        <f>IF($D112="TOTAL:",FIXED(ROUND(((SUM($F$4:$F111)/'RAW DATA'!$E$2)*100),1),1)&amp;"%",IF($D113="TOTAL:",SUM($F$4:$F112),IF(SUMIF('RAW DATA'!M:M,'RAW DATA'!B113,'RAW DATA'!H:H)=0,"",SUMIF('RAW DATA'!M:M,'RAW DATA'!B113,'RAW DATA'!H:H))))</f>
        <v/>
      </c>
      <c r="G113" s="4" t="str">
        <f>IF($D112="TOTAL:",FIXED(ROUND(((SUM($G$4:$G111)/'RAW DATA'!$E$2)*100),1),1)&amp;"%",IF($D113="TOTAL:",SUM($G$4:$G112),IF(SUMIF('RAW DATA'!M:M,'RAW DATA'!B113,'RAW DATA'!I:I)=0,"",SUMIF('RAW DATA'!M:M,'RAW DATA'!B113,'RAW DATA'!I:I))))</f>
        <v/>
      </c>
      <c r="H113" s="4" t="str">
        <f>IF(SUM(SUMIF('RAW DATA'!M:M,'RAW DATA'!B113,'RAW DATA'!J:J),SUMIF('RAW DATA'!N:N,'RAW DATA'!B113,'RAW DATA'!J:J),SUMIF('RAW DATA'!O:O,'RAW DATA'!B113,'RAW DATA'!J:J),SUMIF('RAW DATA'!P:P,'RAW DATA'!B113,'RAW DATA'!J:J))=0, "", SUM(SUMIF('RAW DATA'!M:M,'RAW DATA'!B113,'RAW DATA'!J:J),SUMIF('RAW DATA'!N:N,'RAW DATA'!B113,'RAW DATA'!J:J),SUMIF('RAW DATA'!O:O,'RAW DATA'!B113,'RAW DATA'!J:J),SUMIF('RAW DATA'!P:P,'RAW DATA'!B113,'RAW DATA'!J:J)))</f>
        <v/>
      </c>
      <c r="I113" s="4" t="str">
        <f>IF(SUMIF('RAW DATA'!M:M,'RAW DATA'!B113, 'RAW DATA'!K:K)=0, "", SUMIF('RAW DATA'!M:M,'RAW DATA'!B113, 'RAW DATA'!K:K))</f>
        <v/>
      </c>
      <c r="J113" s="29" t="str">
        <f>IF('RAW DATA'!B113&lt;&gt;"",IF(OR('RAW DATA'!H113=1,'RAW DATA'!H113=2),1,IF(ISNUMBER(FIND("Medic",'RAW DATA'!E113)),1,"")),"")</f>
        <v/>
      </c>
      <c r="K113" s="29" t="str">
        <f>IF(AND('RAW DATA'!$B113&lt;&gt;"",'RAW DATA'!L113=1),1,"")</f>
        <v/>
      </c>
      <c r="L113" s="24" t="str">
        <f t="shared" si="3"/>
        <v/>
      </c>
    </row>
    <row r="114" spans="2:12" x14ac:dyDescent="0.25">
      <c r="B114" s="1" t="str">
        <f>IF('RAW DATA'!$C114&lt;&gt;"",'RAW DATA'!$C114,"")</f>
        <v/>
      </c>
      <c r="C114" s="1" t="str">
        <f>IF('RAW DATA'!$D114&lt;&gt;"",'RAW DATA'!$D114,"")</f>
        <v/>
      </c>
      <c r="D114" s="1" t="str">
        <f>IF(AND($B113&lt;&gt;"", $B114=""), "TOTAL:", IF($D113="TOTAL:","VESSEL TARGET "&amp;'RAW DATA'!$E$2&amp;":",IF('RAW DATA'!$E114&lt;&gt;"",'RAW DATA'!$E114,"")))</f>
        <v/>
      </c>
      <c r="E114" s="29" t="str">
        <f t="shared" si="2"/>
        <v/>
      </c>
      <c r="F114" s="4" t="str">
        <f>IF($D113="TOTAL:",FIXED(ROUND(((SUM($F$4:$F112)/'RAW DATA'!$E$2)*100),1),1)&amp;"%",IF($D114="TOTAL:",SUM($F$4:$F113),IF(SUMIF('RAW DATA'!M:M,'RAW DATA'!B114,'RAW DATA'!H:H)=0,"",SUMIF('RAW DATA'!M:M,'RAW DATA'!B114,'RAW DATA'!H:H))))</f>
        <v/>
      </c>
      <c r="G114" s="4" t="str">
        <f>IF($D113="TOTAL:",FIXED(ROUND(((SUM($G$4:$G112)/'RAW DATA'!$E$2)*100),1),1)&amp;"%",IF($D114="TOTAL:",SUM($G$4:$G113),IF(SUMIF('RAW DATA'!M:M,'RAW DATA'!B114,'RAW DATA'!I:I)=0,"",SUMIF('RAW DATA'!M:M,'RAW DATA'!B114,'RAW DATA'!I:I))))</f>
        <v/>
      </c>
      <c r="H114" s="4" t="str">
        <f>IF(SUM(SUMIF('RAW DATA'!M:M,'RAW DATA'!B114,'RAW DATA'!J:J),SUMIF('RAW DATA'!N:N,'RAW DATA'!B114,'RAW DATA'!J:J),SUMIF('RAW DATA'!O:O,'RAW DATA'!B114,'RAW DATA'!J:J),SUMIF('RAW DATA'!P:P,'RAW DATA'!B114,'RAW DATA'!J:J))=0, "", SUM(SUMIF('RAW DATA'!M:M,'RAW DATA'!B114,'RAW DATA'!J:J),SUMIF('RAW DATA'!N:N,'RAW DATA'!B114,'RAW DATA'!J:J),SUMIF('RAW DATA'!O:O,'RAW DATA'!B114,'RAW DATA'!J:J),SUMIF('RAW DATA'!P:P,'RAW DATA'!B114,'RAW DATA'!J:J)))</f>
        <v/>
      </c>
      <c r="I114" s="4" t="str">
        <f>IF(SUMIF('RAW DATA'!M:M,'RAW DATA'!B114, 'RAW DATA'!K:K)=0, "", SUMIF('RAW DATA'!M:M,'RAW DATA'!B114, 'RAW DATA'!K:K))</f>
        <v/>
      </c>
      <c r="J114" s="29" t="str">
        <f>IF('RAW DATA'!B114&lt;&gt;"",IF(OR('RAW DATA'!H114=1,'RAW DATA'!H114=2),1,IF(ISNUMBER(FIND("Medic",'RAW DATA'!E114)),1,"")),"")</f>
        <v/>
      </c>
      <c r="K114" s="29" t="str">
        <f>IF(AND('RAW DATA'!$B114&lt;&gt;"",'RAW DATA'!L114=1),1,"")</f>
        <v/>
      </c>
      <c r="L114" s="24" t="str">
        <f t="shared" si="3"/>
        <v/>
      </c>
    </row>
    <row r="115" spans="2:12" x14ac:dyDescent="0.25">
      <c r="B115" s="1" t="str">
        <f>IF('RAW DATA'!$C115&lt;&gt;"",'RAW DATA'!$C115,"")</f>
        <v/>
      </c>
      <c r="C115" s="1" t="str">
        <f>IF('RAW DATA'!$D115&lt;&gt;"",'RAW DATA'!$D115,"")</f>
        <v/>
      </c>
      <c r="D115" s="1" t="str">
        <f>IF(AND($B114&lt;&gt;"", $B115=""), "TOTAL:", IF($D114="TOTAL:","VESSEL TARGET "&amp;'RAW DATA'!$E$2&amp;":",IF('RAW DATA'!$E115&lt;&gt;"",'RAW DATA'!$E115,"")))</f>
        <v/>
      </c>
      <c r="E115" s="29" t="str">
        <f t="shared" si="2"/>
        <v/>
      </c>
      <c r="F115" s="4" t="str">
        <f>IF($D114="TOTAL:",FIXED(ROUND(((SUM($F$4:$F113)/'RAW DATA'!$E$2)*100),1),1)&amp;"%",IF($D115="TOTAL:",SUM($F$4:$F114),IF(SUMIF('RAW DATA'!M:M,'RAW DATA'!B115,'RAW DATA'!H:H)=0,"",SUMIF('RAW DATA'!M:M,'RAW DATA'!B115,'RAW DATA'!H:H))))</f>
        <v/>
      </c>
      <c r="G115" s="4" t="str">
        <f>IF($D114="TOTAL:",FIXED(ROUND(((SUM($G$4:$G113)/'RAW DATA'!$E$2)*100),1),1)&amp;"%",IF($D115="TOTAL:",SUM($G$4:$G114),IF(SUMIF('RAW DATA'!M:M,'RAW DATA'!B115,'RAW DATA'!I:I)=0,"",SUMIF('RAW DATA'!M:M,'RAW DATA'!B115,'RAW DATA'!I:I))))</f>
        <v/>
      </c>
      <c r="H115" s="4" t="str">
        <f>IF(SUM(SUMIF('RAW DATA'!M:M,'RAW DATA'!B115,'RAW DATA'!J:J),SUMIF('RAW DATA'!N:N,'RAW DATA'!B115,'RAW DATA'!J:J),SUMIF('RAW DATA'!O:O,'RAW DATA'!B115,'RAW DATA'!J:J),SUMIF('RAW DATA'!P:P,'RAW DATA'!B115,'RAW DATA'!J:J))=0, "", SUM(SUMIF('RAW DATA'!M:M,'RAW DATA'!B115,'RAW DATA'!J:J),SUMIF('RAW DATA'!N:N,'RAW DATA'!B115,'RAW DATA'!J:J),SUMIF('RAW DATA'!O:O,'RAW DATA'!B115,'RAW DATA'!J:J),SUMIF('RAW DATA'!P:P,'RAW DATA'!B115,'RAW DATA'!J:J)))</f>
        <v/>
      </c>
      <c r="I115" s="4" t="str">
        <f>IF(SUMIF('RAW DATA'!M:M,'RAW DATA'!B115, 'RAW DATA'!K:K)=0, "", SUMIF('RAW DATA'!M:M,'RAW DATA'!B115, 'RAW DATA'!K:K))</f>
        <v/>
      </c>
      <c r="J115" s="29" t="str">
        <f>IF('RAW DATA'!B115&lt;&gt;"",IF(OR('RAW DATA'!H115=1,'RAW DATA'!H115=2),1,IF(ISNUMBER(FIND("Medic",'RAW DATA'!E115)),1,"")),"")</f>
        <v/>
      </c>
      <c r="K115" s="29" t="str">
        <f>IF(AND('RAW DATA'!$B115&lt;&gt;"",'RAW DATA'!L115=1),1,"")</f>
        <v/>
      </c>
      <c r="L115" s="24" t="str">
        <f t="shared" si="3"/>
        <v/>
      </c>
    </row>
    <row r="116" spans="2:12" x14ac:dyDescent="0.25">
      <c r="B116" s="1" t="str">
        <f>IF('RAW DATA'!$C116&lt;&gt;"",'RAW DATA'!$C116,"")</f>
        <v/>
      </c>
      <c r="C116" s="1" t="str">
        <f>IF('RAW DATA'!$D116&lt;&gt;"",'RAW DATA'!$D116,"")</f>
        <v/>
      </c>
      <c r="D116" s="1" t="str">
        <f>IF(AND($B115&lt;&gt;"", $B116=""), "TOTAL:", IF($D115="TOTAL:","VESSEL TARGET "&amp;'RAW DATA'!$E$2&amp;":",IF('RAW DATA'!$E116&lt;&gt;"",'RAW DATA'!$E116,"")))</f>
        <v/>
      </c>
      <c r="E116" s="29" t="str">
        <f t="shared" si="2"/>
        <v/>
      </c>
      <c r="F116" s="4" t="str">
        <f>IF($D115="TOTAL:",FIXED(ROUND(((SUM($F$4:$F114)/'RAW DATA'!$E$2)*100),1),1)&amp;"%",IF($D116="TOTAL:",SUM($F$4:$F115),IF(SUMIF('RAW DATA'!M:M,'RAW DATA'!B116,'RAW DATA'!H:H)=0,"",SUMIF('RAW DATA'!M:M,'RAW DATA'!B116,'RAW DATA'!H:H))))</f>
        <v/>
      </c>
      <c r="G116" s="4" t="str">
        <f>IF($D115="TOTAL:",FIXED(ROUND(((SUM($G$4:$G114)/'RAW DATA'!$E$2)*100),1),1)&amp;"%",IF($D116="TOTAL:",SUM($G$4:$G115),IF(SUMIF('RAW DATA'!M:M,'RAW DATA'!B116,'RAW DATA'!I:I)=0,"",SUMIF('RAW DATA'!M:M,'RAW DATA'!B116,'RAW DATA'!I:I))))</f>
        <v/>
      </c>
      <c r="H116" s="4" t="str">
        <f>IF(SUM(SUMIF('RAW DATA'!M:M,'RAW DATA'!B116,'RAW DATA'!J:J),SUMIF('RAW DATA'!N:N,'RAW DATA'!B116,'RAW DATA'!J:J),SUMIF('RAW DATA'!O:O,'RAW DATA'!B116,'RAW DATA'!J:J),SUMIF('RAW DATA'!P:P,'RAW DATA'!B116,'RAW DATA'!J:J))=0, "", SUM(SUMIF('RAW DATA'!M:M,'RAW DATA'!B116,'RAW DATA'!J:J),SUMIF('RAW DATA'!N:N,'RAW DATA'!B116,'RAW DATA'!J:J),SUMIF('RAW DATA'!O:O,'RAW DATA'!B116,'RAW DATA'!J:J),SUMIF('RAW DATA'!P:P,'RAW DATA'!B116,'RAW DATA'!J:J)))</f>
        <v/>
      </c>
      <c r="I116" s="4" t="str">
        <f>IF(SUMIF('RAW DATA'!M:M,'RAW DATA'!B116, 'RAW DATA'!K:K)=0, "", SUMIF('RAW DATA'!M:M,'RAW DATA'!B116, 'RAW DATA'!K:K))</f>
        <v/>
      </c>
      <c r="J116" s="29" t="str">
        <f>IF('RAW DATA'!B116&lt;&gt;"",IF(OR('RAW DATA'!H116=1,'RAW DATA'!H116=2),1,IF(ISNUMBER(FIND("Medic",'RAW DATA'!E116)),1,"")),"")</f>
        <v/>
      </c>
      <c r="K116" s="29" t="str">
        <f>IF(AND('RAW DATA'!$B116&lt;&gt;"",'RAW DATA'!L116=1),1,"")</f>
        <v/>
      </c>
      <c r="L116" s="24" t="str">
        <f t="shared" si="3"/>
        <v/>
      </c>
    </row>
    <row r="117" spans="2:12" x14ac:dyDescent="0.25">
      <c r="B117" s="1" t="str">
        <f>IF('RAW DATA'!$C117&lt;&gt;"",'RAW DATA'!$C117,"")</f>
        <v/>
      </c>
      <c r="C117" s="1" t="str">
        <f>IF('RAW DATA'!$D117&lt;&gt;"",'RAW DATA'!$D117,"")</f>
        <v/>
      </c>
      <c r="D117" s="1" t="str">
        <f>IF(AND($B116&lt;&gt;"", $B117=""), "TOTAL:", IF($D116="TOTAL:","VESSEL TARGET "&amp;'RAW DATA'!$E$2&amp;":",IF('RAW DATA'!$E117&lt;&gt;"",'RAW DATA'!$E117,"")))</f>
        <v/>
      </c>
      <c r="E117" s="29" t="str">
        <f t="shared" si="2"/>
        <v/>
      </c>
      <c r="F117" s="4" t="str">
        <f>IF($D116="TOTAL:",FIXED(ROUND(((SUM($F$4:$F115)/'RAW DATA'!$E$2)*100),1),1)&amp;"%",IF($D117="TOTAL:",SUM($F$4:$F116),IF(SUMIF('RAW DATA'!M:M,'RAW DATA'!B117,'RAW DATA'!H:H)=0,"",SUMIF('RAW DATA'!M:M,'RAW DATA'!B117,'RAW DATA'!H:H))))</f>
        <v/>
      </c>
      <c r="G117" s="4" t="str">
        <f>IF($D116="TOTAL:",FIXED(ROUND(((SUM($G$4:$G115)/'RAW DATA'!$E$2)*100),1),1)&amp;"%",IF($D117="TOTAL:",SUM($G$4:$G116),IF(SUMIF('RAW DATA'!M:M,'RAW DATA'!B117,'RAW DATA'!I:I)=0,"",SUMIF('RAW DATA'!M:M,'RAW DATA'!B117,'RAW DATA'!I:I))))</f>
        <v/>
      </c>
      <c r="H117" s="4" t="str">
        <f>IF(SUM(SUMIF('RAW DATA'!M:M,'RAW DATA'!B117,'RAW DATA'!J:J),SUMIF('RAW DATA'!N:N,'RAW DATA'!B117,'RAW DATA'!J:J),SUMIF('RAW DATA'!O:O,'RAW DATA'!B117,'RAW DATA'!J:J),SUMIF('RAW DATA'!P:P,'RAW DATA'!B117,'RAW DATA'!J:J))=0, "", SUM(SUMIF('RAW DATA'!M:M,'RAW DATA'!B117,'RAW DATA'!J:J),SUMIF('RAW DATA'!N:N,'RAW DATA'!B117,'RAW DATA'!J:J),SUMIF('RAW DATA'!O:O,'RAW DATA'!B117,'RAW DATA'!J:J),SUMIF('RAW DATA'!P:P,'RAW DATA'!B117,'RAW DATA'!J:J)))</f>
        <v/>
      </c>
      <c r="I117" s="4" t="str">
        <f>IF(SUMIF('RAW DATA'!M:M,'RAW DATA'!B117, 'RAW DATA'!K:K)=0, "", SUMIF('RAW DATA'!M:M,'RAW DATA'!B117, 'RAW DATA'!K:K))</f>
        <v/>
      </c>
      <c r="J117" s="29" t="str">
        <f>IF('RAW DATA'!B117&lt;&gt;"",IF(OR('RAW DATA'!H117=1,'RAW DATA'!H117=2),1,IF(ISNUMBER(FIND("Medic",'RAW DATA'!E117)),1,"")),"")</f>
        <v/>
      </c>
      <c r="K117" s="29" t="str">
        <f>IF(AND('RAW DATA'!$B117&lt;&gt;"",'RAW DATA'!L117=1),1,"")</f>
        <v/>
      </c>
      <c r="L117" s="24" t="str">
        <f t="shared" si="3"/>
        <v/>
      </c>
    </row>
    <row r="118" spans="2:12" x14ac:dyDescent="0.25">
      <c r="B118" s="1" t="str">
        <f>IF('RAW DATA'!$C118&lt;&gt;"",'RAW DATA'!$C118,"")</f>
        <v/>
      </c>
      <c r="C118" s="1" t="str">
        <f>IF('RAW DATA'!$D118&lt;&gt;"",'RAW DATA'!$D118,"")</f>
        <v/>
      </c>
      <c r="D118" s="1" t="str">
        <f>IF(AND($B117&lt;&gt;"", $B118=""), "TOTAL:", IF($D117="TOTAL:","VESSEL TARGET "&amp;'RAW DATA'!$E$2&amp;":",IF('RAW DATA'!$E118&lt;&gt;"",'RAW DATA'!$E118,"")))</f>
        <v/>
      </c>
      <c r="E118" s="29" t="str">
        <f t="shared" si="2"/>
        <v/>
      </c>
      <c r="F118" s="4" t="str">
        <f>IF($D117="TOTAL:",FIXED(ROUND(((SUM($F$4:$F116)/'RAW DATA'!$E$2)*100),1),1)&amp;"%",IF($D118="TOTAL:",SUM($F$4:$F117),IF(SUMIF('RAW DATA'!M:M,'RAW DATA'!B118,'RAW DATA'!H:H)=0,"",SUMIF('RAW DATA'!M:M,'RAW DATA'!B118,'RAW DATA'!H:H))))</f>
        <v/>
      </c>
      <c r="G118" s="4" t="str">
        <f>IF($D117="TOTAL:",FIXED(ROUND(((SUM($G$4:$G116)/'RAW DATA'!$E$2)*100),1),1)&amp;"%",IF($D118="TOTAL:",SUM($G$4:$G117),IF(SUMIF('RAW DATA'!M:M,'RAW DATA'!B118,'RAW DATA'!I:I)=0,"",SUMIF('RAW DATA'!M:M,'RAW DATA'!B118,'RAW DATA'!I:I))))</f>
        <v/>
      </c>
      <c r="H118" s="4" t="str">
        <f>IF(SUM(SUMIF('RAW DATA'!M:M,'RAW DATA'!B118,'RAW DATA'!J:J),SUMIF('RAW DATA'!N:N,'RAW DATA'!B118,'RAW DATA'!J:J),SUMIF('RAW DATA'!O:O,'RAW DATA'!B118,'RAW DATA'!J:J),SUMIF('RAW DATA'!P:P,'RAW DATA'!B118,'RAW DATA'!J:J))=0, "", SUM(SUMIF('RAW DATA'!M:M,'RAW DATA'!B118,'RAW DATA'!J:J),SUMIF('RAW DATA'!N:N,'RAW DATA'!B118,'RAW DATA'!J:J),SUMIF('RAW DATA'!O:O,'RAW DATA'!B118,'RAW DATA'!J:J),SUMIF('RAW DATA'!P:P,'RAW DATA'!B118,'RAW DATA'!J:J)))</f>
        <v/>
      </c>
      <c r="I118" s="4" t="str">
        <f>IF(SUMIF('RAW DATA'!M:M,'RAW DATA'!B118, 'RAW DATA'!K:K)=0, "", SUMIF('RAW DATA'!M:M,'RAW DATA'!B118, 'RAW DATA'!K:K))</f>
        <v/>
      </c>
      <c r="J118" s="29" t="str">
        <f>IF('RAW DATA'!B118&lt;&gt;"",IF(OR('RAW DATA'!H118=1,'RAW DATA'!H118=2),1,IF(ISNUMBER(FIND("Medic",'RAW DATA'!E118)),1,"")),"")</f>
        <v/>
      </c>
      <c r="K118" s="29" t="str">
        <f>IF(AND('RAW DATA'!$B118&lt;&gt;"",'RAW DATA'!L118=1),1,"")</f>
        <v/>
      </c>
      <c r="L118" s="24" t="str">
        <f t="shared" si="3"/>
        <v/>
      </c>
    </row>
    <row r="119" spans="2:12" x14ac:dyDescent="0.25">
      <c r="B119" s="1" t="str">
        <f>IF('RAW DATA'!$C119&lt;&gt;"",'RAW DATA'!$C119,"")</f>
        <v/>
      </c>
      <c r="C119" s="1" t="str">
        <f>IF('RAW DATA'!$D119&lt;&gt;"",'RAW DATA'!$D119,"")</f>
        <v/>
      </c>
      <c r="D119" s="1" t="str">
        <f>IF(AND($B118&lt;&gt;"", $B119=""), "TOTAL:", IF($D118="TOTAL:","VESSEL TARGET "&amp;'RAW DATA'!$E$2&amp;":",IF('RAW DATA'!$E119&lt;&gt;"",'RAW DATA'!$E119,"")))</f>
        <v/>
      </c>
      <c r="E119" s="29" t="str">
        <f t="shared" si="2"/>
        <v/>
      </c>
      <c r="F119" s="4" t="str">
        <f>IF($D118="TOTAL:",FIXED(ROUND(((SUM($F$4:$F117)/'RAW DATA'!$E$2)*100),1),1)&amp;"%",IF($D119="TOTAL:",SUM($F$4:$F118),IF(SUMIF('RAW DATA'!M:M,'RAW DATA'!B119,'RAW DATA'!H:H)=0,"",SUMIF('RAW DATA'!M:M,'RAW DATA'!B119,'RAW DATA'!H:H))))</f>
        <v/>
      </c>
      <c r="G119" s="4" t="str">
        <f>IF($D118="TOTAL:",FIXED(ROUND(((SUM($G$4:$G117)/'RAW DATA'!$E$2)*100),1),1)&amp;"%",IF($D119="TOTAL:",SUM($G$4:$G118),IF(SUMIF('RAW DATA'!M:M,'RAW DATA'!B119,'RAW DATA'!I:I)=0,"",SUMIF('RAW DATA'!M:M,'RAW DATA'!B119,'RAW DATA'!I:I))))</f>
        <v/>
      </c>
      <c r="H119" s="4" t="str">
        <f>IF(SUM(SUMIF('RAW DATA'!M:M,'RAW DATA'!B119,'RAW DATA'!J:J),SUMIF('RAW DATA'!N:N,'RAW DATA'!B119,'RAW DATA'!J:J),SUMIF('RAW DATA'!O:O,'RAW DATA'!B119,'RAW DATA'!J:J),SUMIF('RAW DATA'!P:P,'RAW DATA'!B119,'RAW DATA'!J:J))=0, "", SUM(SUMIF('RAW DATA'!M:M,'RAW DATA'!B119,'RAW DATA'!J:J),SUMIF('RAW DATA'!N:N,'RAW DATA'!B119,'RAW DATA'!J:J),SUMIF('RAW DATA'!O:O,'RAW DATA'!B119,'RAW DATA'!J:J),SUMIF('RAW DATA'!P:P,'RAW DATA'!B119,'RAW DATA'!J:J)))</f>
        <v/>
      </c>
      <c r="I119" s="4" t="str">
        <f>IF(SUMIF('RAW DATA'!M:M,'RAW DATA'!B119, 'RAW DATA'!K:K)=0, "", SUMIF('RAW DATA'!M:M,'RAW DATA'!B119, 'RAW DATA'!K:K))</f>
        <v/>
      </c>
      <c r="J119" s="29" t="str">
        <f>IF('RAW DATA'!B119&lt;&gt;"",IF(OR('RAW DATA'!H119=1,'RAW DATA'!H119=2),1,IF(ISNUMBER(FIND("Medic",'RAW DATA'!E119)),1,"")),"")</f>
        <v/>
      </c>
      <c r="K119" s="29" t="str">
        <f>IF(AND('RAW DATA'!$B119&lt;&gt;"",'RAW DATA'!L119=1),1,"")</f>
        <v/>
      </c>
      <c r="L119" s="24" t="str">
        <f t="shared" si="3"/>
        <v/>
      </c>
    </row>
    <row r="120" spans="2:12" x14ac:dyDescent="0.25">
      <c r="B120" s="1" t="str">
        <f>IF('RAW DATA'!$C120&lt;&gt;"",'RAW DATA'!$C120,"")</f>
        <v/>
      </c>
      <c r="C120" s="1" t="str">
        <f>IF('RAW DATA'!$D120&lt;&gt;"",'RAW DATA'!$D120,"")</f>
        <v/>
      </c>
      <c r="D120" s="1" t="str">
        <f>IF(AND($B119&lt;&gt;"", $B120=""), "TOTAL:", IF($D119="TOTAL:","VESSEL TARGET "&amp;'RAW DATA'!$E$2&amp;":",IF('RAW DATA'!$E120&lt;&gt;"",'RAW DATA'!$E120,"")))</f>
        <v/>
      </c>
      <c r="E120" s="29" t="str">
        <f t="shared" si="2"/>
        <v/>
      </c>
      <c r="F120" s="4" t="str">
        <f>IF($D119="TOTAL:",FIXED(ROUND(((SUM($F$4:$F118)/'RAW DATA'!$E$2)*100),1),1)&amp;"%",IF($D120="TOTAL:",SUM($F$4:$F119),IF(SUMIF('RAW DATA'!M:M,'RAW DATA'!B120,'RAW DATA'!H:H)=0,"",SUMIF('RAW DATA'!M:M,'RAW DATA'!B120,'RAW DATA'!H:H))))</f>
        <v/>
      </c>
      <c r="G120" s="4" t="str">
        <f>IF($D119="TOTAL:",FIXED(ROUND(((SUM($G$4:$G118)/'RAW DATA'!$E$2)*100),1),1)&amp;"%",IF($D120="TOTAL:",SUM($G$4:$G119),IF(SUMIF('RAW DATA'!M:M,'RAW DATA'!B120,'RAW DATA'!I:I)=0,"",SUMIF('RAW DATA'!M:M,'RAW DATA'!B120,'RAW DATA'!I:I))))</f>
        <v/>
      </c>
      <c r="H120" s="4" t="str">
        <f>IF(SUM(SUMIF('RAW DATA'!M:M,'RAW DATA'!B120,'RAW DATA'!J:J),SUMIF('RAW DATA'!N:N,'RAW DATA'!B120,'RAW DATA'!J:J),SUMIF('RAW DATA'!O:O,'RAW DATA'!B120,'RAW DATA'!J:J),SUMIF('RAW DATA'!P:P,'RAW DATA'!B120,'RAW DATA'!J:J))=0, "", SUM(SUMIF('RAW DATA'!M:M,'RAW DATA'!B120,'RAW DATA'!J:J),SUMIF('RAW DATA'!N:N,'RAW DATA'!B120,'RAW DATA'!J:J),SUMIF('RAW DATA'!O:O,'RAW DATA'!B120,'RAW DATA'!J:J),SUMIF('RAW DATA'!P:P,'RAW DATA'!B120,'RAW DATA'!J:J)))</f>
        <v/>
      </c>
      <c r="I120" s="4" t="str">
        <f>IF(SUMIF('RAW DATA'!M:M,'RAW DATA'!B120, 'RAW DATA'!K:K)=0, "", SUMIF('RAW DATA'!M:M,'RAW DATA'!B120, 'RAW DATA'!K:K))</f>
        <v/>
      </c>
      <c r="J120" s="29" t="str">
        <f>IF('RAW DATA'!B120&lt;&gt;"",IF(OR('RAW DATA'!H120=1,'RAW DATA'!H120=2),1,IF(ISNUMBER(FIND("Medic",'RAW DATA'!E120)),1,"")),"")</f>
        <v/>
      </c>
      <c r="K120" s="29" t="str">
        <f>IF(AND('RAW DATA'!$B120&lt;&gt;"",'RAW DATA'!L120=1),1,"")</f>
        <v/>
      </c>
      <c r="L120" s="24" t="str">
        <f t="shared" si="3"/>
        <v/>
      </c>
    </row>
    <row r="121" spans="2:12" x14ac:dyDescent="0.25">
      <c r="B121" s="1" t="str">
        <f>IF('RAW DATA'!$C121&lt;&gt;"",'RAW DATA'!$C121,"")</f>
        <v/>
      </c>
      <c r="C121" s="1" t="str">
        <f>IF('RAW DATA'!$D121&lt;&gt;"",'RAW DATA'!$D121,"")</f>
        <v/>
      </c>
      <c r="D121" s="1" t="str">
        <f>IF(AND($B120&lt;&gt;"", $B121=""), "TOTAL:", IF($D120="TOTAL:","VESSEL TARGET "&amp;'RAW DATA'!$E$2&amp;":",IF('RAW DATA'!$E121&lt;&gt;"",'RAW DATA'!$E121,"")))</f>
        <v/>
      </c>
      <c r="E121" s="29" t="str">
        <f t="shared" si="2"/>
        <v/>
      </c>
      <c r="F121" s="4" t="str">
        <f>IF($D120="TOTAL:",FIXED(ROUND(((SUM($F$4:$F119)/'RAW DATA'!$E$2)*100),1),1)&amp;"%",IF($D121="TOTAL:",SUM($F$4:$F120),IF(SUMIF('RAW DATA'!M:M,'RAW DATA'!B121,'RAW DATA'!H:H)=0,"",SUMIF('RAW DATA'!M:M,'RAW DATA'!B121,'RAW DATA'!H:H))))</f>
        <v/>
      </c>
      <c r="G121" s="4" t="str">
        <f>IF($D120="TOTAL:",FIXED(ROUND(((SUM($G$4:$G119)/'RAW DATA'!$E$2)*100),1),1)&amp;"%",IF($D121="TOTAL:",SUM($G$4:$G120),IF(SUMIF('RAW DATA'!M:M,'RAW DATA'!B121,'RAW DATA'!I:I)=0,"",SUMIF('RAW DATA'!M:M,'RAW DATA'!B121,'RAW DATA'!I:I))))</f>
        <v/>
      </c>
      <c r="H121" s="4" t="str">
        <f>IF(SUM(SUMIF('RAW DATA'!M:M,'RAW DATA'!B121,'RAW DATA'!J:J),SUMIF('RAW DATA'!N:N,'RAW DATA'!B121,'RAW DATA'!J:J),SUMIF('RAW DATA'!O:O,'RAW DATA'!B121,'RAW DATA'!J:J),SUMIF('RAW DATA'!P:P,'RAW DATA'!B121,'RAW DATA'!J:J))=0, "", SUM(SUMIF('RAW DATA'!M:M,'RAW DATA'!B121,'RAW DATA'!J:J),SUMIF('RAW DATA'!N:N,'RAW DATA'!B121,'RAW DATA'!J:J),SUMIF('RAW DATA'!O:O,'RAW DATA'!B121,'RAW DATA'!J:J),SUMIF('RAW DATA'!P:P,'RAW DATA'!B121,'RAW DATA'!J:J)))</f>
        <v/>
      </c>
      <c r="I121" s="4" t="str">
        <f>IF(SUMIF('RAW DATA'!M:M,'RAW DATA'!B121, 'RAW DATA'!K:K)=0, "", SUMIF('RAW DATA'!M:M,'RAW DATA'!B121, 'RAW DATA'!K:K))</f>
        <v/>
      </c>
      <c r="J121" s="29" t="str">
        <f>IF('RAW DATA'!B121&lt;&gt;"",IF(OR('RAW DATA'!H121=1,'RAW DATA'!H121=2),1,IF(ISNUMBER(FIND("Medic",'RAW DATA'!E121)),1,"")),"")</f>
        <v/>
      </c>
      <c r="K121" s="29" t="str">
        <f>IF(AND('RAW DATA'!$B121&lt;&gt;"",'RAW DATA'!L121=1),1,"")</f>
        <v/>
      </c>
      <c r="L121" s="24" t="str">
        <f t="shared" si="3"/>
        <v/>
      </c>
    </row>
    <row r="122" spans="2:12" x14ac:dyDescent="0.25">
      <c r="B122" s="1" t="str">
        <f>IF('RAW DATA'!$C122&lt;&gt;"",'RAW DATA'!$C122,"")</f>
        <v/>
      </c>
      <c r="C122" s="1" t="str">
        <f>IF('RAW DATA'!$D122&lt;&gt;"",'RAW DATA'!$D122,"")</f>
        <v/>
      </c>
      <c r="D122" s="1" t="str">
        <f>IF(AND($B121&lt;&gt;"", $B122=""), "TOTAL:", IF($D121="TOTAL:","VESSEL TARGET "&amp;'RAW DATA'!$E$2&amp;":",IF('RAW DATA'!$E122&lt;&gt;"",'RAW DATA'!$E122,"")))</f>
        <v/>
      </c>
      <c r="E122" s="29" t="str">
        <f t="shared" si="2"/>
        <v/>
      </c>
      <c r="F122" s="4" t="str">
        <f>IF($D121="TOTAL:",FIXED(ROUND(((SUM($F$4:$F120)/'RAW DATA'!$E$2)*100),1),1)&amp;"%",IF($D122="TOTAL:",SUM($F$4:$F121),IF(SUMIF('RAW DATA'!M:M,'RAW DATA'!B122,'RAW DATA'!H:H)=0,"",SUMIF('RAW DATA'!M:M,'RAW DATA'!B122,'RAW DATA'!H:H))))</f>
        <v/>
      </c>
      <c r="G122" s="4" t="str">
        <f>IF($D121="TOTAL:",FIXED(ROUND(((SUM($G$4:$G120)/'RAW DATA'!$E$2)*100),1),1)&amp;"%",IF($D122="TOTAL:",SUM($G$4:$G121),IF(SUMIF('RAW DATA'!M:M,'RAW DATA'!B122,'RAW DATA'!I:I)=0,"",SUMIF('RAW DATA'!M:M,'RAW DATA'!B122,'RAW DATA'!I:I))))</f>
        <v/>
      </c>
      <c r="H122" s="4" t="str">
        <f>IF(SUM(SUMIF('RAW DATA'!M:M,'RAW DATA'!B122,'RAW DATA'!J:J),SUMIF('RAW DATA'!N:N,'RAW DATA'!B122,'RAW DATA'!J:J),SUMIF('RAW DATA'!O:O,'RAW DATA'!B122,'RAW DATA'!J:J),SUMIF('RAW DATA'!P:P,'RAW DATA'!B122,'RAW DATA'!J:J))=0, "", SUM(SUMIF('RAW DATA'!M:M,'RAW DATA'!B122,'RAW DATA'!J:J),SUMIF('RAW DATA'!N:N,'RAW DATA'!B122,'RAW DATA'!J:J),SUMIF('RAW DATA'!O:O,'RAW DATA'!B122,'RAW DATA'!J:J),SUMIF('RAW DATA'!P:P,'RAW DATA'!B122,'RAW DATA'!J:J)))</f>
        <v/>
      </c>
      <c r="I122" s="4" t="str">
        <f>IF(SUMIF('RAW DATA'!M:M,'RAW DATA'!B122, 'RAW DATA'!K:K)=0, "", SUMIF('RAW DATA'!M:M,'RAW DATA'!B122, 'RAW DATA'!K:K))</f>
        <v/>
      </c>
      <c r="J122" s="29" t="str">
        <f>IF('RAW DATA'!B122&lt;&gt;"",IF(OR('RAW DATA'!H122=1,'RAW DATA'!H122=2),1,IF(ISNUMBER(FIND("Medic",'RAW DATA'!E122)),1,"")),"")</f>
        <v/>
      </c>
      <c r="K122" s="29" t="str">
        <f>IF(AND('RAW DATA'!$B122&lt;&gt;"",'RAW DATA'!L122=1),1,"")</f>
        <v/>
      </c>
      <c r="L122" s="24" t="str">
        <f t="shared" si="3"/>
        <v/>
      </c>
    </row>
    <row r="123" spans="2:12" x14ac:dyDescent="0.25">
      <c r="B123" s="1" t="str">
        <f>IF('RAW DATA'!$C123&lt;&gt;"",'RAW DATA'!$C123,"")</f>
        <v/>
      </c>
      <c r="C123" s="1" t="str">
        <f>IF('RAW DATA'!$D123&lt;&gt;"",'RAW DATA'!$D123,"")</f>
        <v/>
      </c>
      <c r="D123" s="1" t="str">
        <f>IF(AND($B122&lt;&gt;"", $B123=""), "TOTAL:", IF($D122="TOTAL:","VESSEL TARGET "&amp;'RAW DATA'!$E$2&amp;":",IF('RAW DATA'!$E123&lt;&gt;"",'RAW DATA'!$E123,"")))</f>
        <v/>
      </c>
      <c r="E123" s="29" t="str">
        <f t="shared" si="2"/>
        <v/>
      </c>
      <c r="F123" s="4" t="str">
        <f>IF($D122="TOTAL:",FIXED(ROUND(((SUM($F$4:$F121)/'RAW DATA'!$E$2)*100),1),1)&amp;"%",IF($D123="TOTAL:",SUM($F$4:$F122),IF(SUMIF('RAW DATA'!M:M,'RAW DATA'!B123,'RAW DATA'!H:H)=0,"",SUMIF('RAW DATA'!M:M,'RAW DATA'!B123,'RAW DATA'!H:H))))</f>
        <v/>
      </c>
      <c r="G123" s="4" t="str">
        <f>IF($D122="TOTAL:",FIXED(ROUND(((SUM($G$4:$G121)/'RAW DATA'!$E$2)*100),1),1)&amp;"%",IF($D123="TOTAL:",SUM($G$4:$G122),IF(SUMIF('RAW DATA'!M:M,'RAW DATA'!B123,'RAW DATA'!I:I)=0,"",SUMIF('RAW DATA'!M:M,'RAW DATA'!B123,'RAW DATA'!I:I))))</f>
        <v/>
      </c>
      <c r="H123" s="4" t="str">
        <f>IF(SUM(SUMIF('RAW DATA'!M:M,'RAW DATA'!B123,'RAW DATA'!J:J),SUMIF('RAW DATA'!N:N,'RAW DATA'!B123,'RAW DATA'!J:J),SUMIF('RAW DATA'!O:O,'RAW DATA'!B123,'RAW DATA'!J:J),SUMIF('RAW DATA'!P:P,'RAW DATA'!B123,'RAW DATA'!J:J))=0, "", SUM(SUMIF('RAW DATA'!M:M,'RAW DATA'!B123,'RAW DATA'!J:J),SUMIF('RAW DATA'!N:N,'RAW DATA'!B123,'RAW DATA'!J:J),SUMIF('RAW DATA'!O:O,'RAW DATA'!B123,'RAW DATA'!J:J),SUMIF('RAW DATA'!P:P,'RAW DATA'!B123,'RAW DATA'!J:J)))</f>
        <v/>
      </c>
      <c r="I123" s="4" t="str">
        <f>IF(SUMIF('RAW DATA'!M:M,'RAW DATA'!B123, 'RAW DATA'!K:K)=0, "", SUMIF('RAW DATA'!M:M,'RAW DATA'!B123, 'RAW DATA'!K:K))</f>
        <v/>
      </c>
      <c r="J123" s="29" t="str">
        <f>IF('RAW DATA'!B123&lt;&gt;"",IF(OR('RAW DATA'!H123=1,'RAW DATA'!H123=2),1,IF(ISNUMBER(FIND("Medic",'RAW DATA'!E123)),1,"")),"")</f>
        <v/>
      </c>
      <c r="K123" s="29" t="str">
        <f>IF(AND('RAW DATA'!$B123&lt;&gt;"",'RAW DATA'!L123=1),1,"")</f>
        <v/>
      </c>
      <c r="L123" s="24" t="str">
        <f t="shared" si="3"/>
        <v/>
      </c>
    </row>
    <row r="124" spans="2:12" x14ac:dyDescent="0.25">
      <c r="B124" s="1" t="str">
        <f>IF('RAW DATA'!$C124&lt;&gt;"",'RAW DATA'!$C124,"")</f>
        <v/>
      </c>
      <c r="C124" s="1" t="str">
        <f>IF('RAW DATA'!$D124&lt;&gt;"",'RAW DATA'!$D124,"")</f>
        <v/>
      </c>
      <c r="D124" s="1" t="str">
        <f>IF(AND($B123&lt;&gt;"", $B124=""), "TOTAL:", IF($D123="TOTAL:","VESSEL TARGET "&amp;'RAW DATA'!$E$2&amp;":",IF('RAW DATA'!$E124&lt;&gt;"",'RAW DATA'!$E124,"")))</f>
        <v/>
      </c>
      <c r="E124" s="29" t="str">
        <f t="shared" si="2"/>
        <v/>
      </c>
      <c r="F124" s="4" t="str">
        <f>IF($D123="TOTAL:",FIXED(ROUND(((SUM($F$4:$F122)/'RAW DATA'!$E$2)*100),1),1)&amp;"%",IF($D124="TOTAL:",SUM($F$4:$F123),IF(SUMIF('RAW DATA'!M:M,'RAW DATA'!B124,'RAW DATA'!H:H)=0,"",SUMIF('RAW DATA'!M:M,'RAW DATA'!B124,'RAW DATA'!H:H))))</f>
        <v/>
      </c>
      <c r="G124" s="4" t="str">
        <f>IF($D123="TOTAL:",FIXED(ROUND(((SUM($G$4:$G122)/'RAW DATA'!$E$2)*100),1),1)&amp;"%",IF($D124="TOTAL:",SUM($G$4:$G123),IF(SUMIF('RAW DATA'!M:M,'RAW DATA'!B124,'RAW DATA'!I:I)=0,"",SUMIF('RAW DATA'!M:M,'RAW DATA'!B124,'RAW DATA'!I:I))))</f>
        <v/>
      </c>
      <c r="H124" s="4" t="str">
        <f>IF(SUM(SUMIF('RAW DATA'!M:M,'RAW DATA'!B124,'RAW DATA'!J:J),SUMIF('RAW DATA'!N:N,'RAW DATA'!B124,'RAW DATA'!J:J),SUMIF('RAW DATA'!O:O,'RAW DATA'!B124,'RAW DATA'!J:J),SUMIF('RAW DATA'!P:P,'RAW DATA'!B124,'RAW DATA'!J:J))=0, "", SUM(SUMIF('RAW DATA'!M:M,'RAW DATA'!B124,'RAW DATA'!J:J),SUMIF('RAW DATA'!N:N,'RAW DATA'!B124,'RAW DATA'!J:J),SUMIF('RAW DATA'!O:O,'RAW DATA'!B124,'RAW DATA'!J:J),SUMIF('RAW DATA'!P:P,'RAW DATA'!B124,'RAW DATA'!J:J)))</f>
        <v/>
      </c>
      <c r="I124" s="4" t="str">
        <f>IF(SUMIF('RAW DATA'!M:M,'RAW DATA'!B124, 'RAW DATA'!K:K)=0, "", SUMIF('RAW DATA'!M:M,'RAW DATA'!B124, 'RAW DATA'!K:K))</f>
        <v/>
      </c>
      <c r="J124" s="29" t="str">
        <f>IF('RAW DATA'!B124&lt;&gt;"",IF(OR('RAW DATA'!H124=1,'RAW DATA'!H124=2),1,IF(ISNUMBER(FIND("Medic",'RAW DATA'!E124)),1,"")),"")</f>
        <v/>
      </c>
      <c r="K124" s="29" t="str">
        <f>IF(AND('RAW DATA'!$B124&lt;&gt;"",'RAW DATA'!L124=1),1,"")</f>
        <v/>
      </c>
      <c r="L124" s="24" t="str">
        <f t="shared" si="3"/>
        <v/>
      </c>
    </row>
    <row r="125" spans="2:12" x14ac:dyDescent="0.25">
      <c r="B125" s="1" t="str">
        <f>IF('RAW DATA'!$C125&lt;&gt;"",'RAW DATA'!$C125,"")</f>
        <v/>
      </c>
      <c r="C125" s="1" t="str">
        <f>IF('RAW DATA'!$D125&lt;&gt;"",'RAW DATA'!$D125,"")</f>
        <v/>
      </c>
      <c r="D125" s="1" t="str">
        <f>IF(AND($B124&lt;&gt;"", $B125=""), "TOTAL:", IF($D124="TOTAL:","VESSEL TARGET "&amp;'RAW DATA'!$E$2&amp;":",IF('RAW DATA'!$E125&lt;&gt;"",'RAW DATA'!$E125,"")))</f>
        <v/>
      </c>
      <c r="E125" s="29" t="str">
        <f t="shared" si="2"/>
        <v/>
      </c>
      <c r="F125" s="4" t="str">
        <f>IF($D124="TOTAL:",FIXED(ROUND(((SUM($F$4:$F123)/'RAW DATA'!$E$2)*100),1),1)&amp;"%",IF($D125="TOTAL:",SUM($F$4:$F124),IF(SUMIF('RAW DATA'!M:M,'RAW DATA'!B125,'RAW DATA'!H:H)=0,"",SUMIF('RAW DATA'!M:M,'RAW DATA'!B125,'RAW DATA'!H:H))))</f>
        <v/>
      </c>
      <c r="G125" s="4" t="str">
        <f>IF($D124="TOTAL:",FIXED(ROUND(((SUM($G$4:$G123)/'RAW DATA'!$E$2)*100),1),1)&amp;"%",IF($D125="TOTAL:",SUM($G$4:$G124),IF(SUMIF('RAW DATA'!M:M,'RAW DATA'!B125,'RAW DATA'!I:I)=0,"",SUMIF('RAW DATA'!M:M,'RAW DATA'!B125,'RAW DATA'!I:I))))</f>
        <v/>
      </c>
      <c r="H125" s="4" t="str">
        <f>IF(SUM(SUMIF('RAW DATA'!M:M,'RAW DATA'!B125,'RAW DATA'!J:J),SUMIF('RAW DATA'!N:N,'RAW DATA'!B125,'RAW DATA'!J:J),SUMIF('RAW DATA'!O:O,'RAW DATA'!B125,'RAW DATA'!J:J),SUMIF('RAW DATA'!P:P,'RAW DATA'!B125,'RAW DATA'!J:J))=0, "", SUM(SUMIF('RAW DATA'!M:M,'RAW DATA'!B125,'RAW DATA'!J:J),SUMIF('RAW DATA'!N:N,'RAW DATA'!B125,'RAW DATA'!J:J),SUMIF('RAW DATA'!O:O,'RAW DATA'!B125,'RAW DATA'!J:J),SUMIF('RAW DATA'!P:P,'RAW DATA'!B125,'RAW DATA'!J:J)))</f>
        <v/>
      </c>
      <c r="I125" s="4" t="str">
        <f>IF(SUMIF('RAW DATA'!M:M,'RAW DATA'!B125, 'RAW DATA'!K:K)=0, "", SUMIF('RAW DATA'!M:M,'RAW DATA'!B125, 'RAW DATA'!K:K))</f>
        <v/>
      </c>
      <c r="J125" s="29" t="str">
        <f>IF('RAW DATA'!B125&lt;&gt;"",IF(OR('RAW DATA'!H125=1,'RAW DATA'!H125=2),1,IF(ISNUMBER(FIND("Medic",'RAW DATA'!E125)),1,"")),"")</f>
        <v/>
      </c>
      <c r="K125" s="29" t="str">
        <f>IF(AND('RAW DATA'!$B125&lt;&gt;"",'RAW DATA'!L125=1),1,"")</f>
        <v/>
      </c>
      <c r="L125" s="24" t="str">
        <f t="shared" si="3"/>
        <v/>
      </c>
    </row>
    <row r="126" spans="2:12" x14ac:dyDescent="0.25">
      <c r="B126" s="1" t="str">
        <f>IF('RAW DATA'!$C126&lt;&gt;"",'RAW DATA'!$C126,"")</f>
        <v/>
      </c>
      <c r="C126" s="1" t="str">
        <f>IF('RAW DATA'!$D126&lt;&gt;"",'RAW DATA'!$D126,"")</f>
        <v/>
      </c>
      <c r="D126" s="1" t="str">
        <f>IF(AND($B125&lt;&gt;"", $B126=""), "TOTAL:", IF($D125="TOTAL:","VESSEL TARGET "&amp;'RAW DATA'!$E$2&amp;":",IF('RAW DATA'!$E126&lt;&gt;"",'RAW DATA'!$E126,"")))</f>
        <v/>
      </c>
      <c r="E126" s="29" t="str">
        <f t="shared" si="2"/>
        <v/>
      </c>
      <c r="F126" s="4" t="str">
        <f>IF($D125="TOTAL:",FIXED(ROUND(((SUM($F$4:$F124)/'RAW DATA'!$E$2)*100),1),1)&amp;"%",IF($D126="TOTAL:",SUM($F$4:$F125),IF(SUMIF('RAW DATA'!M:M,'RAW DATA'!B126,'RAW DATA'!H:H)=0,"",SUMIF('RAW DATA'!M:M,'RAW DATA'!B126,'RAW DATA'!H:H))))</f>
        <v/>
      </c>
      <c r="G126" s="4" t="str">
        <f>IF($D125="TOTAL:",FIXED(ROUND(((SUM($G$4:$G124)/'RAW DATA'!$E$2)*100),1),1)&amp;"%",IF($D126="TOTAL:",SUM($G$4:$G125),IF(SUMIF('RAW DATA'!M:M,'RAW DATA'!B126,'RAW DATA'!I:I)=0,"",SUMIF('RAW DATA'!M:M,'RAW DATA'!B126,'RAW DATA'!I:I))))</f>
        <v/>
      </c>
      <c r="H126" s="4" t="str">
        <f>IF(SUM(SUMIF('RAW DATA'!M:M,'RAW DATA'!B126,'RAW DATA'!J:J),SUMIF('RAW DATA'!N:N,'RAW DATA'!B126,'RAW DATA'!J:J),SUMIF('RAW DATA'!O:O,'RAW DATA'!B126,'RAW DATA'!J:J),SUMIF('RAW DATA'!P:P,'RAW DATA'!B126,'RAW DATA'!J:J))=0, "", SUM(SUMIF('RAW DATA'!M:M,'RAW DATA'!B126,'RAW DATA'!J:J),SUMIF('RAW DATA'!N:N,'RAW DATA'!B126,'RAW DATA'!J:J),SUMIF('RAW DATA'!O:O,'RAW DATA'!B126,'RAW DATA'!J:J),SUMIF('RAW DATA'!P:P,'RAW DATA'!B126,'RAW DATA'!J:J)))</f>
        <v/>
      </c>
      <c r="I126" s="4" t="str">
        <f>IF(SUMIF('RAW DATA'!M:M,'RAW DATA'!B126, 'RAW DATA'!K:K)=0, "", SUMIF('RAW DATA'!M:M,'RAW DATA'!B126, 'RAW DATA'!K:K))</f>
        <v/>
      </c>
      <c r="J126" s="29" t="str">
        <f>IF('RAW DATA'!B126&lt;&gt;"",IF(OR('RAW DATA'!H126=1,'RAW DATA'!H126=2),1,IF(ISNUMBER(FIND("Medic",'RAW DATA'!E126)),1,"")),"")</f>
        <v/>
      </c>
      <c r="K126" s="29" t="str">
        <f>IF(AND('RAW DATA'!$B126&lt;&gt;"",'RAW DATA'!L126=1),1,"")</f>
        <v/>
      </c>
      <c r="L126" s="24" t="str">
        <f t="shared" si="3"/>
        <v/>
      </c>
    </row>
    <row r="127" spans="2:12" x14ac:dyDescent="0.25">
      <c r="B127" s="1" t="str">
        <f>IF('RAW DATA'!$C127&lt;&gt;"",'RAW DATA'!$C127,"")</f>
        <v/>
      </c>
      <c r="C127" s="1" t="str">
        <f>IF('RAW DATA'!$D127&lt;&gt;"",'RAW DATA'!$D127,"")</f>
        <v/>
      </c>
      <c r="D127" s="1" t="str">
        <f>IF(AND($B126&lt;&gt;"", $B127=""), "TOTAL:", IF($D126="TOTAL:","VESSEL TARGET "&amp;'RAW DATA'!$E$2&amp;":",IF('RAW DATA'!$E127&lt;&gt;"",'RAW DATA'!$E127,"")))</f>
        <v/>
      </c>
      <c r="E127" s="29" t="str">
        <f t="shared" si="2"/>
        <v/>
      </c>
      <c r="F127" s="4" t="str">
        <f>IF($D126="TOTAL:",FIXED(ROUND(((SUM($F$4:$F125)/'RAW DATA'!$E$2)*100),1),1)&amp;"%",IF($D127="TOTAL:",SUM($F$4:$F126),IF(SUMIF('RAW DATA'!M:M,'RAW DATA'!B127,'RAW DATA'!H:H)=0,"",SUMIF('RAW DATA'!M:M,'RAW DATA'!B127,'RAW DATA'!H:H))))</f>
        <v/>
      </c>
      <c r="G127" s="4" t="str">
        <f>IF($D126="TOTAL:",FIXED(ROUND(((SUM($G$4:$G125)/'RAW DATA'!$E$2)*100),1),1)&amp;"%",IF($D127="TOTAL:",SUM($G$4:$G126),IF(SUMIF('RAW DATA'!M:M,'RAW DATA'!B127,'RAW DATA'!I:I)=0,"",SUMIF('RAW DATA'!M:M,'RAW DATA'!B127,'RAW DATA'!I:I))))</f>
        <v/>
      </c>
      <c r="H127" s="4" t="str">
        <f>IF(SUM(SUMIF('RAW DATA'!M:M,'RAW DATA'!B127,'RAW DATA'!J:J),SUMIF('RAW DATA'!N:N,'RAW DATA'!B127,'RAW DATA'!J:J),SUMIF('RAW DATA'!O:O,'RAW DATA'!B127,'RAW DATA'!J:J),SUMIF('RAW DATA'!P:P,'RAW DATA'!B127,'RAW DATA'!J:J))=0, "", SUM(SUMIF('RAW DATA'!M:M,'RAW DATA'!B127,'RAW DATA'!J:J),SUMIF('RAW DATA'!N:N,'RAW DATA'!B127,'RAW DATA'!J:J),SUMIF('RAW DATA'!O:O,'RAW DATA'!B127,'RAW DATA'!J:J),SUMIF('RAW DATA'!P:P,'RAW DATA'!B127,'RAW DATA'!J:J)))</f>
        <v/>
      </c>
      <c r="I127" s="4" t="str">
        <f>IF(SUMIF('RAW DATA'!M:M,'RAW DATA'!B127, 'RAW DATA'!K:K)=0, "", SUMIF('RAW DATA'!M:M,'RAW DATA'!B127, 'RAW DATA'!K:K))</f>
        <v/>
      </c>
      <c r="J127" s="29" t="str">
        <f>IF('RAW DATA'!B127&lt;&gt;"",IF(OR('RAW DATA'!H127=1,'RAW DATA'!H127=2),1,IF(ISNUMBER(FIND("Medic",'RAW DATA'!E127)),1,"")),"")</f>
        <v/>
      </c>
      <c r="K127" s="29" t="str">
        <f>IF(AND('RAW DATA'!$B127&lt;&gt;"",'RAW DATA'!L127=1),1,"")</f>
        <v/>
      </c>
      <c r="L127" s="24" t="str">
        <f t="shared" si="3"/>
        <v/>
      </c>
    </row>
    <row r="128" spans="2:12" x14ac:dyDescent="0.25">
      <c r="B128" s="1" t="str">
        <f>IF('RAW DATA'!$C128&lt;&gt;"",'RAW DATA'!$C128,"")</f>
        <v/>
      </c>
      <c r="C128" s="1" t="str">
        <f>IF('RAW DATA'!$D128&lt;&gt;"",'RAW DATA'!$D128,"")</f>
        <v/>
      </c>
      <c r="D128" s="1" t="str">
        <f>IF(AND($B127&lt;&gt;"", $B128=""), "TOTAL:", IF($D127="TOTAL:","VESSEL TARGET "&amp;'RAW DATA'!$E$2&amp;":",IF('RAW DATA'!$E128&lt;&gt;"",'RAW DATA'!$E128,"")))</f>
        <v/>
      </c>
      <c r="E128" s="29" t="str">
        <f t="shared" si="2"/>
        <v/>
      </c>
      <c r="F128" s="4" t="str">
        <f>IF($D127="TOTAL:",FIXED(ROUND(((SUM($F$4:$F126)/'RAW DATA'!$E$2)*100),1),1)&amp;"%",IF($D128="TOTAL:",SUM($F$4:$F127),IF(SUMIF('RAW DATA'!M:M,'RAW DATA'!B128,'RAW DATA'!H:H)=0,"",SUMIF('RAW DATA'!M:M,'RAW DATA'!B128,'RAW DATA'!H:H))))</f>
        <v/>
      </c>
      <c r="G128" s="4" t="str">
        <f>IF($D127="TOTAL:",FIXED(ROUND(((SUM($G$4:$G126)/'RAW DATA'!$E$2)*100),1),1)&amp;"%",IF($D128="TOTAL:",SUM($G$4:$G127),IF(SUMIF('RAW DATA'!M:M,'RAW DATA'!B128,'RAW DATA'!I:I)=0,"",SUMIF('RAW DATA'!M:M,'RAW DATA'!B128,'RAW DATA'!I:I))))</f>
        <v/>
      </c>
      <c r="H128" s="4" t="str">
        <f>IF(SUM(SUMIF('RAW DATA'!M:M,'RAW DATA'!B128,'RAW DATA'!J:J),SUMIF('RAW DATA'!N:N,'RAW DATA'!B128,'RAW DATA'!J:J),SUMIF('RAW DATA'!O:O,'RAW DATA'!B128,'RAW DATA'!J:J),SUMIF('RAW DATA'!P:P,'RAW DATA'!B128,'RAW DATA'!J:J))=0, "", SUM(SUMIF('RAW DATA'!M:M,'RAW DATA'!B128,'RAW DATA'!J:J),SUMIF('RAW DATA'!N:N,'RAW DATA'!B128,'RAW DATA'!J:J),SUMIF('RAW DATA'!O:O,'RAW DATA'!B128,'RAW DATA'!J:J),SUMIF('RAW DATA'!P:P,'RAW DATA'!B128,'RAW DATA'!J:J)))</f>
        <v/>
      </c>
      <c r="I128" s="4" t="str">
        <f>IF(SUMIF('RAW DATA'!M:M,'RAW DATA'!B128, 'RAW DATA'!K:K)=0, "", SUMIF('RAW DATA'!M:M,'RAW DATA'!B128, 'RAW DATA'!K:K))</f>
        <v/>
      </c>
      <c r="J128" s="29" t="str">
        <f>IF('RAW DATA'!B128&lt;&gt;"",IF(OR('RAW DATA'!H128=1,'RAW DATA'!H128=2),1,IF(ISNUMBER(FIND("Medic",'RAW DATA'!E128)),1,"")),"")</f>
        <v/>
      </c>
      <c r="K128" s="29" t="str">
        <f>IF(AND('RAW DATA'!$B128&lt;&gt;"",'RAW DATA'!L128=1),1,"")</f>
        <v/>
      </c>
      <c r="L128" s="24" t="str">
        <f t="shared" si="3"/>
        <v/>
      </c>
    </row>
    <row r="129" spans="2:12" x14ac:dyDescent="0.25">
      <c r="B129" s="1" t="str">
        <f>IF('RAW DATA'!$C129&lt;&gt;"",'RAW DATA'!$C129,"")</f>
        <v/>
      </c>
      <c r="C129" s="1" t="str">
        <f>IF('RAW DATA'!$D129&lt;&gt;"",'RAW DATA'!$D129,"")</f>
        <v/>
      </c>
      <c r="D129" s="1" t="str">
        <f>IF(AND($B128&lt;&gt;"", $B129=""), "TOTAL:", IF($D128="TOTAL:","VESSEL TARGET "&amp;'RAW DATA'!$E$2&amp;":",IF('RAW DATA'!$E129&lt;&gt;"",'RAW DATA'!$E129,"")))</f>
        <v/>
      </c>
      <c r="E129" s="29" t="str">
        <f t="shared" si="2"/>
        <v/>
      </c>
      <c r="F129" s="4" t="str">
        <f>IF($D128="TOTAL:",FIXED(ROUND(((SUM($F$4:$F127)/'RAW DATA'!$E$2)*100),1),1)&amp;"%",IF($D129="TOTAL:",SUM($F$4:$F128),IF(SUMIF('RAW DATA'!M:M,'RAW DATA'!B129,'RAW DATA'!H:H)=0,"",SUMIF('RAW DATA'!M:M,'RAW DATA'!B129,'RAW DATA'!H:H))))</f>
        <v/>
      </c>
      <c r="G129" s="4" t="str">
        <f>IF($D128="TOTAL:",FIXED(ROUND(((SUM($G$4:$G127)/'RAW DATA'!$E$2)*100),1),1)&amp;"%",IF($D129="TOTAL:",SUM($G$4:$G128),IF(SUMIF('RAW DATA'!M:M,'RAW DATA'!B129,'RAW DATA'!I:I)=0,"",SUMIF('RAW DATA'!M:M,'RAW DATA'!B129,'RAW DATA'!I:I))))</f>
        <v/>
      </c>
      <c r="H129" s="4" t="str">
        <f>IF(SUM(SUMIF('RAW DATA'!M:M,'RAW DATA'!B129,'RAW DATA'!J:J),SUMIF('RAW DATA'!N:N,'RAW DATA'!B129,'RAW DATA'!J:J),SUMIF('RAW DATA'!O:O,'RAW DATA'!B129,'RAW DATA'!J:J),SUMIF('RAW DATA'!P:P,'RAW DATA'!B129,'RAW DATA'!J:J))=0, "", SUM(SUMIF('RAW DATA'!M:M,'RAW DATA'!B129,'RAW DATA'!J:J),SUMIF('RAW DATA'!N:N,'RAW DATA'!B129,'RAW DATA'!J:J),SUMIF('RAW DATA'!O:O,'RAW DATA'!B129,'RAW DATA'!J:J),SUMIF('RAW DATA'!P:P,'RAW DATA'!B129,'RAW DATA'!J:J)))</f>
        <v/>
      </c>
      <c r="I129" s="4" t="str">
        <f>IF(SUMIF('RAW DATA'!M:M,'RAW DATA'!B129, 'RAW DATA'!K:K)=0, "", SUMIF('RAW DATA'!M:M,'RAW DATA'!B129, 'RAW DATA'!K:K))</f>
        <v/>
      </c>
      <c r="J129" s="29" t="str">
        <f>IF('RAW DATA'!B129&lt;&gt;"",IF(OR('RAW DATA'!H129=1,'RAW DATA'!H129=2),1,IF(ISNUMBER(FIND("Medic",'RAW DATA'!E129)),1,"")),"")</f>
        <v/>
      </c>
      <c r="K129" s="29" t="str">
        <f>IF(AND('RAW DATA'!$B129&lt;&gt;"",'RAW DATA'!L129=1),1,"")</f>
        <v/>
      </c>
      <c r="L129" s="24" t="str">
        <f t="shared" si="3"/>
        <v/>
      </c>
    </row>
    <row r="130" spans="2:12" x14ac:dyDescent="0.25">
      <c r="B130" s="1" t="str">
        <f>IF('RAW DATA'!$C130&lt;&gt;"",'RAW DATA'!$C130,"")</f>
        <v/>
      </c>
      <c r="C130" s="1" t="str">
        <f>IF('RAW DATA'!$D130&lt;&gt;"",'RAW DATA'!$D130,"")</f>
        <v/>
      </c>
      <c r="D130" s="1" t="str">
        <f>IF(AND($B129&lt;&gt;"", $B130=""), "TOTAL:", IF($D129="TOTAL:","VESSEL TARGET "&amp;'RAW DATA'!$E$2&amp;":",IF('RAW DATA'!$E130&lt;&gt;"",'RAW DATA'!$E130,"")))</f>
        <v/>
      </c>
      <c r="E130" s="29" t="str">
        <f t="shared" si="2"/>
        <v/>
      </c>
      <c r="F130" s="4" t="str">
        <f>IF($D129="TOTAL:",FIXED(ROUND(((SUM($F$4:$F128)/'RAW DATA'!$E$2)*100),1),1)&amp;"%",IF($D130="TOTAL:",SUM($F$4:$F129),IF(SUMIF('RAW DATA'!M:M,'RAW DATA'!B130,'RAW DATA'!H:H)=0,"",SUMIF('RAW DATA'!M:M,'RAW DATA'!B130,'RAW DATA'!H:H))))</f>
        <v/>
      </c>
      <c r="G130" s="4" t="str">
        <f>IF($D129="TOTAL:",FIXED(ROUND(((SUM($G$4:$G128)/'RAW DATA'!$E$2)*100),1),1)&amp;"%",IF($D130="TOTAL:",SUM($G$4:$G129),IF(SUMIF('RAW DATA'!M:M,'RAW DATA'!B130,'RAW DATA'!I:I)=0,"",SUMIF('RAW DATA'!M:M,'RAW DATA'!B130,'RAW DATA'!I:I))))</f>
        <v/>
      </c>
      <c r="H130" s="4" t="str">
        <f>IF(SUM(SUMIF('RAW DATA'!M:M,'RAW DATA'!B130,'RAW DATA'!J:J),SUMIF('RAW DATA'!N:N,'RAW DATA'!B130,'RAW DATA'!J:J),SUMIF('RAW DATA'!O:O,'RAW DATA'!B130,'RAW DATA'!J:J),SUMIF('RAW DATA'!P:P,'RAW DATA'!B130,'RAW DATA'!J:J))=0, "", SUM(SUMIF('RAW DATA'!M:M,'RAW DATA'!B130,'RAW DATA'!J:J),SUMIF('RAW DATA'!N:N,'RAW DATA'!B130,'RAW DATA'!J:J),SUMIF('RAW DATA'!O:O,'RAW DATA'!B130,'RAW DATA'!J:J),SUMIF('RAW DATA'!P:P,'RAW DATA'!B130,'RAW DATA'!J:J)))</f>
        <v/>
      </c>
      <c r="I130" s="4" t="str">
        <f>IF(SUMIF('RAW DATA'!M:M,'RAW DATA'!B130, 'RAW DATA'!K:K)=0, "", SUMIF('RAW DATA'!M:M,'RAW DATA'!B130, 'RAW DATA'!K:K))</f>
        <v/>
      </c>
      <c r="J130" s="29" t="str">
        <f>IF('RAW DATA'!B130&lt;&gt;"",IF(OR('RAW DATA'!H130=1,'RAW DATA'!H130=2),1,IF(ISNUMBER(FIND("Medic",'RAW DATA'!E130)),1,"")),"")</f>
        <v/>
      </c>
      <c r="K130" s="29" t="str">
        <f>IF(AND('RAW DATA'!$B130&lt;&gt;"",'RAW DATA'!L130=1),1,"")</f>
        <v/>
      </c>
      <c r="L130" s="24" t="str">
        <f t="shared" si="3"/>
        <v/>
      </c>
    </row>
    <row r="131" spans="2:12" x14ac:dyDescent="0.25">
      <c r="B131" s="1" t="str">
        <f>IF('RAW DATA'!$C131&lt;&gt;"",'RAW DATA'!$C131,"")</f>
        <v/>
      </c>
      <c r="C131" s="1" t="str">
        <f>IF('RAW DATA'!$D131&lt;&gt;"",'RAW DATA'!$D131,"")</f>
        <v/>
      </c>
      <c r="D131" s="1" t="str">
        <f>IF(AND($B130&lt;&gt;"", $B131=""), "TOTAL:", IF($D130="TOTAL:","VESSEL TARGET "&amp;'RAW DATA'!$E$2&amp;":",IF('RAW DATA'!$E131&lt;&gt;"",'RAW DATA'!$E131,"")))</f>
        <v/>
      </c>
      <c r="E131" s="29" t="str">
        <f t="shared" si="2"/>
        <v/>
      </c>
      <c r="F131" s="4" t="str">
        <f>IF($D130="TOTAL:",FIXED(ROUND(((SUM($F$4:$F129)/'RAW DATA'!$E$2)*100),1),1)&amp;"%",IF($D131="TOTAL:",SUM($F$4:$F130),IF(SUMIF('RAW DATA'!M:M,'RAW DATA'!B131,'RAW DATA'!H:H)=0,"",SUMIF('RAW DATA'!M:M,'RAW DATA'!B131,'RAW DATA'!H:H))))</f>
        <v/>
      </c>
      <c r="G131" s="4" t="str">
        <f>IF($D130="TOTAL:",FIXED(ROUND(((SUM($G$4:$G129)/'RAW DATA'!$E$2)*100),1),1)&amp;"%",IF($D131="TOTAL:",SUM($G$4:$G130),IF(SUMIF('RAW DATA'!M:M,'RAW DATA'!B131,'RAW DATA'!I:I)=0,"",SUMIF('RAW DATA'!M:M,'RAW DATA'!B131,'RAW DATA'!I:I))))</f>
        <v/>
      </c>
      <c r="H131" s="4" t="str">
        <f>IF(SUM(SUMIF('RAW DATA'!M:M,'RAW DATA'!B131,'RAW DATA'!J:J),SUMIF('RAW DATA'!N:N,'RAW DATA'!B131,'RAW DATA'!J:J),SUMIF('RAW DATA'!O:O,'RAW DATA'!B131,'RAW DATA'!J:J),SUMIF('RAW DATA'!P:P,'RAW DATA'!B131,'RAW DATA'!J:J))=0, "", SUM(SUMIF('RAW DATA'!M:M,'RAW DATA'!B131,'RAW DATA'!J:J),SUMIF('RAW DATA'!N:N,'RAW DATA'!B131,'RAW DATA'!J:J),SUMIF('RAW DATA'!O:O,'RAW DATA'!B131,'RAW DATA'!J:J),SUMIF('RAW DATA'!P:P,'RAW DATA'!B131,'RAW DATA'!J:J)))</f>
        <v/>
      </c>
      <c r="I131" s="4" t="str">
        <f>IF(SUMIF('RAW DATA'!M:M,'RAW DATA'!B131, 'RAW DATA'!K:K)=0, "", SUMIF('RAW DATA'!M:M,'RAW DATA'!B131, 'RAW DATA'!K:K))</f>
        <v/>
      </c>
      <c r="J131" s="29" t="str">
        <f>IF('RAW DATA'!B131&lt;&gt;"",IF(OR('RAW DATA'!H131=1,'RAW DATA'!H131=2),1,IF(ISNUMBER(FIND("Medic",'RAW DATA'!E131)),1,"")),"")</f>
        <v/>
      </c>
      <c r="K131" s="29" t="str">
        <f>IF(AND('RAW DATA'!$B131&lt;&gt;"",'RAW DATA'!L131=1),1,"")</f>
        <v/>
      </c>
      <c r="L131" s="24" t="str">
        <f t="shared" si="3"/>
        <v/>
      </c>
    </row>
    <row r="132" spans="2:12" x14ac:dyDescent="0.25">
      <c r="B132" s="1" t="str">
        <f>IF('RAW DATA'!$C132&lt;&gt;"",'RAW DATA'!$C132,"")</f>
        <v/>
      </c>
      <c r="C132" s="1" t="str">
        <f>IF('RAW DATA'!$D132&lt;&gt;"",'RAW DATA'!$D132,"")</f>
        <v/>
      </c>
      <c r="D132" s="1" t="str">
        <f>IF(AND($B131&lt;&gt;"", $B132=""), "TOTAL:", IF($D131="TOTAL:","VESSEL TARGET "&amp;'RAW DATA'!$E$2&amp;":",IF('RAW DATA'!$E132&lt;&gt;"",'RAW DATA'!$E132,"")))</f>
        <v/>
      </c>
      <c r="E132" s="29" t="str">
        <f t="shared" si="2"/>
        <v/>
      </c>
      <c r="F132" s="4" t="str">
        <f>IF($D131="TOTAL:",FIXED(ROUND(((SUM($F$4:$F130)/'RAW DATA'!$E$2)*100),1),1)&amp;"%",IF($D132="TOTAL:",SUM($F$4:$F131),IF(SUMIF('RAW DATA'!M:M,'RAW DATA'!B132,'RAW DATA'!H:H)=0,"",SUMIF('RAW DATA'!M:M,'RAW DATA'!B132,'RAW DATA'!H:H))))</f>
        <v/>
      </c>
      <c r="G132" s="4" t="str">
        <f>IF($D131="TOTAL:",FIXED(ROUND(((SUM($G$4:$G130)/'RAW DATA'!$E$2)*100),1),1)&amp;"%",IF($D132="TOTAL:",SUM($G$4:$G131),IF(SUMIF('RAW DATA'!M:M,'RAW DATA'!B132,'RAW DATA'!I:I)=0,"",SUMIF('RAW DATA'!M:M,'RAW DATA'!B132,'RAW DATA'!I:I))))</f>
        <v/>
      </c>
      <c r="H132" s="4" t="str">
        <f>IF(SUM(SUMIF('RAW DATA'!M:M,'RAW DATA'!B132,'RAW DATA'!J:J),SUMIF('RAW DATA'!N:N,'RAW DATA'!B132,'RAW DATA'!J:J),SUMIF('RAW DATA'!O:O,'RAW DATA'!B132,'RAW DATA'!J:J),SUMIF('RAW DATA'!P:P,'RAW DATA'!B132,'RAW DATA'!J:J))=0, "", SUM(SUMIF('RAW DATA'!M:M,'RAW DATA'!B132,'RAW DATA'!J:J),SUMIF('RAW DATA'!N:N,'RAW DATA'!B132,'RAW DATA'!J:J),SUMIF('RAW DATA'!O:O,'RAW DATA'!B132,'RAW DATA'!J:J),SUMIF('RAW DATA'!P:P,'RAW DATA'!B132,'RAW DATA'!J:J)))</f>
        <v/>
      </c>
      <c r="I132" s="4" t="str">
        <f>IF(SUMIF('RAW DATA'!M:M,'RAW DATA'!B132, 'RAW DATA'!K:K)=0, "", SUMIF('RAW DATA'!M:M,'RAW DATA'!B132, 'RAW DATA'!K:K))</f>
        <v/>
      </c>
      <c r="J132" s="29" t="str">
        <f>IF('RAW DATA'!B132&lt;&gt;"",IF(OR('RAW DATA'!H132=1,'RAW DATA'!H132=2),1,IF(ISNUMBER(FIND("Medic",'RAW DATA'!E132)),1,"")),"")</f>
        <v/>
      </c>
      <c r="K132" s="29" t="str">
        <f>IF(AND('RAW DATA'!$B132&lt;&gt;"",'RAW DATA'!L132=1),1,"")</f>
        <v/>
      </c>
      <c r="L132" s="24" t="str">
        <f t="shared" si="3"/>
        <v/>
      </c>
    </row>
    <row r="133" spans="2:12" x14ac:dyDescent="0.25">
      <c r="B133" s="1" t="str">
        <f>IF('RAW DATA'!$C133&lt;&gt;"",'RAW DATA'!$C133,"")</f>
        <v/>
      </c>
      <c r="C133" s="1" t="str">
        <f>IF('RAW DATA'!$D133&lt;&gt;"",'RAW DATA'!$D133,"")</f>
        <v/>
      </c>
      <c r="D133" s="1" t="str">
        <f>IF(AND($B132&lt;&gt;"", $B133=""), "TOTAL:", IF($D132="TOTAL:","VESSEL TARGET "&amp;'RAW DATA'!$E$2&amp;":",IF('RAW DATA'!$E133&lt;&gt;"",'RAW DATA'!$E133,"")))</f>
        <v/>
      </c>
      <c r="E133" s="29" t="str">
        <f t="shared" ref="E133:E196" si="4">IF(B133&lt;&gt;"",IF(SUM(FLOOR(SUM(F133)/3,1)*10,FLOOR(SUM(G133)/3,1)*10, IF(SUM(H133)&gt;=1,5,0), IF(SUM(I133)&gt;=2,5,0), IF(SUM(J133)&gt;=1,5,0), IF(SUM(K133)&gt;=1,15,0))&gt;0, SUM(FLOOR(SUM(F133)/3,1)*10,FLOOR(SUM(G133)/3,1)*10, IF(SUM(H133)&gt;=1,5,0), IF(SUM(I133)&gt;=2,5,0), IF(SUM(J133)&gt;=1,5,0), IF(SUM(K133)&gt;=1,15,0)),""),"")</f>
        <v/>
      </c>
      <c r="F133" s="4" t="str">
        <f>IF($D132="TOTAL:",FIXED(ROUND(((SUM($F$4:$F131)/'RAW DATA'!$E$2)*100),1),1)&amp;"%",IF($D133="TOTAL:",SUM($F$4:$F132),IF(SUMIF('RAW DATA'!M:M,'RAW DATA'!B133,'RAW DATA'!H:H)=0,"",SUMIF('RAW DATA'!M:M,'RAW DATA'!B133,'RAW DATA'!H:H))))</f>
        <v/>
      </c>
      <c r="G133" s="4" t="str">
        <f>IF($D132="TOTAL:",FIXED(ROUND(((SUM($G$4:$G131)/'RAW DATA'!$E$2)*100),1),1)&amp;"%",IF($D133="TOTAL:",SUM($G$4:$G132),IF(SUMIF('RAW DATA'!M:M,'RAW DATA'!B133,'RAW DATA'!I:I)=0,"",SUMIF('RAW DATA'!M:M,'RAW DATA'!B133,'RAW DATA'!I:I))))</f>
        <v/>
      </c>
      <c r="H133" s="4" t="str">
        <f>IF(SUM(SUMIF('RAW DATA'!M:M,'RAW DATA'!B133,'RAW DATA'!J:J),SUMIF('RAW DATA'!N:N,'RAW DATA'!B133,'RAW DATA'!J:J),SUMIF('RAW DATA'!O:O,'RAW DATA'!B133,'RAW DATA'!J:J),SUMIF('RAW DATA'!P:P,'RAW DATA'!B133,'RAW DATA'!J:J))=0, "", SUM(SUMIF('RAW DATA'!M:M,'RAW DATA'!B133,'RAW DATA'!J:J),SUMIF('RAW DATA'!N:N,'RAW DATA'!B133,'RAW DATA'!J:J),SUMIF('RAW DATA'!O:O,'RAW DATA'!B133,'RAW DATA'!J:J),SUMIF('RAW DATA'!P:P,'RAW DATA'!B133,'RAW DATA'!J:J)))</f>
        <v/>
      </c>
      <c r="I133" s="4" t="str">
        <f>IF(SUMIF('RAW DATA'!M:M,'RAW DATA'!B133, 'RAW DATA'!K:K)=0, "", SUMIF('RAW DATA'!M:M,'RAW DATA'!B133, 'RAW DATA'!K:K))</f>
        <v/>
      </c>
      <c r="J133" s="29" t="str">
        <f>IF('RAW DATA'!B133&lt;&gt;"",IF(OR('RAW DATA'!H133=1,'RAW DATA'!H133=2),1,IF(ISNUMBER(FIND("Medic",'RAW DATA'!E133)),1,"")),"")</f>
        <v/>
      </c>
      <c r="K133" s="29" t="str">
        <f>IF(AND('RAW DATA'!$B133&lt;&gt;"",'RAW DATA'!L133=1),1,"")</f>
        <v/>
      </c>
      <c r="L133" s="24" t="str">
        <f t="shared" ref="L133:L196" si="5">IF(OR($B133="", $F133="",$G133=""),"",IF(AND($F133&gt;=2,$G133&gt;=2),1,""))</f>
        <v/>
      </c>
    </row>
    <row r="134" spans="2:12" x14ac:dyDescent="0.25">
      <c r="B134" s="1" t="str">
        <f>IF('RAW DATA'!$C134&lt;&gt;"",'RAW DATA'!$C134,"")</f>
        <v/>
      </c>
      <c r="C134" s="1" t="str">
        <f>IF('RAW DATA'!$D134&lt;&gt;"",'RAW DATA'!$D134,"")</f>
        <v/>
      </c>
      <c r="D134" s="1" t="str">
        <f>IF(AND($B133&lt;&gt;"", $B134=""), "TOTAL:", IF($D133="TOTAL:","VESSEL TARGET "&amp;'RAW DATA'!$E$2&amp;":",IF('RAW DATA'!$E134&lt;&gt;"",'RAW DATA'!$E134,"")))</f>
        <v/>
      </c>
      <c r="E134" s="29" t="str">
        <f t="shared" si="4"/>
        <v/>
      </c>
      <c r="F134" s="4" t="str">
        <f>IF($D133="TOTAL:",FIXED(ROUND(((SUM($F$4:$F132)/'RAW DATA'!$E$2)*100),1),1)&amp;"%",IF($D134="TOTAL:",SUM($F$4:$F133),IF(SUMIF('RAW DATA'!M:M,'RAW DATA'!B134,'RAW DATA'!H:H)=0,"",SUMIF('RAW DATA'!M:M,'RAW DATA'!B134,'RAW DATA'!H:H))))</f>
        <v/>
      </c>
      <c r="G134" s="4" t="str">
        <f>IF($D133="TOTAL:",FIXED(ROUND(((SUM($G$4:$G132)/'RAW DATA'!$E$2)*100),1),1)&amp;"%",IF($D134="TOTAL:",SUM($G$4:$G133),IF(SUMIF('RAW DATA'!M:M,'RAW DATA'!B134,'RAW DATA'!I:I)=0,"",SUMIF('RAW DATA'!M:M,'RAW DATA'!B134,'RAW DATA'!I:I))))</f>
        <v/>
      </c>
      <c r="H134" s="4" t="str">
        <f>IF(SUM(SUMIF('RAW DATA'!M:M,'RAW DATA'!B134,'RAW DATA'!J:J),SUMIF('RAW DATA'!N:N,'RAW DATA'!B134,'RAW DATA'!J:J),SUMIF('RAW DATA'!O:O,'RAW DATA'!B134,'RAW DATA'!J:J),SUMIF('RAW DATA'!P:P,'RAW DATA'!B134,'RAW DATA'!J:J))=0, "", SUM(SUMIF('RAW DATA'!M:M,'RAW DATA'!B134,'RAW DATA'!J:J),SUMIF('RAW DATA'!N:N,'RAW DATA'!B134,'RAW DATA'!J:J),SUMIF('RAW DATA'!O:O,'RAW DATA'!B134,'RAW DATA'!J:J),SUMIF('RAW DATA'!P:P,'RAW DATA'!B134,'RAW DATA'!J:J)))</f>
        <v/>
      </c>
      <c r="I134" s="4" t="str">
        <f>IF(SUMIF('RAW DATA'!M:M,'RAW DATA'!B134, 'RAW DATA'!K:K)=0, "", SUMIF('RAW DATA'!M:M,'RAW DATA'!B134, 'RAW DATA'!K:K))</f>
        <v/>
      </c>
      <c r="J134" s="29" t="str">
        <f>IF('RAW DATA'!B134&lt;&gt;"",IF(OR('RAW DATA'!H134=1,'RAW DATA'!H134=2),1,IF(ISNUMBER(FIND("Medic",'RAW DATA'!E134)),1,"")),"")</f>
        <v/>
      </c>
      <c r="K134" s="29" t="str">
        <f>IF(AND('RAW DATA'!$B134&lt;&gt;"",'RAW DATA'!L134=1),1,"")</f>
        <v/>
      </c>
      <c r="L134" s="24" t="str">
        <f t="shared" si="5"/>
        <v/>
      </c>
    </row>
    <row r="135" spans="2:12" x14ac:dyDescent="0.25">
      <c r="B135" s="1" t="str">
        <f>IF('RAW DATA'!$C135&lt;&gt;"",'RAW DATA'!$C135,"")</f>
        <v/>
      </c>
      <c r="C135" s="1" t="str">
        <f>IF('RAW DATA'!$D135&lt;&gt;"",'RAW DATA'!$D135,"")</f>
        <v/>
      </c>
      <c r="D135" s="1" t="str">
        <f>IF(AND($B134&lt;&gt;"", $B135=""), "TOTAL:", IF($D134="TOTAL:","VESSEL TARGET "&amp;'RAW DATA'!$E$2&amp;":",IF('RAW DATA'!$E135&lt;&gt;"",'RAW DATA'!$E135,"")))</f>
        <v/>
      </c>
      <c r="E135" s="29" t="str">
        <f t="shared" si="4"/>
        <v/>
      </c>
      <c r="F135" s="4" t="str">
        <f>IF($D134="TOTAL:",FIXED(ROUND(((SUM($F$4:$F133)/'RAW DATA'!$E$2)*100),1),1)&amp;"%",IF($D135="TOTAL:",SUM($F$4:$F134),IF(SUMIF('RAW DATA'!M:M,'RAW DATA'!B135,'RAW DATA'!H:H)=0,"",SUMIF('RAW DATA'!M:M,'RAW DATA'!B135,'RAW DATA'!H:H))))</f>
        <v/>
      </c>
      <c r="G135" s="4" t="str">
        <f>IF($D134="TOTAL:",FIXED(ROUND(((SUM($G$4:$G133)/'RAW DATA'!$E$2)*100),1),1)&amp;"%",IF($D135="TOTAL:",SUM($G$4:$G134),IF(SUMIF('RAW DATA'!M:M,'RAW DATA'!B135,'RAW DATA'!I:I)=0,"",SUMIF('RAW DATA'!M:M,'RAW DATA'!B135,'RAW DATA'!I:I))))</f>
        <v/>
      </c>
      <c r="H135" s="4" t="str">
        <f>IF(SUM(SUMIF('RAW DATA'!M:M,'RAW DATA'!B135,'RAW DATA'!J:J),SUMIF('RAW DATA'!N:N,'RAW DATA'!B135,'RAW DATA'!J:J),SUMIF('RAW DATA'!O:O,'RAW DATA'!B135,'RAW DATA'!J:J),SUMIF('RAW DATA'!P:P,'RAW DATA'!B135,'RAW DATA'!J:J))=0, "", SUM(SUMIF('RAW DATA'!M:M,'RAW DATA'!B135,'RAW DATA'!J:J),SUMIF('RAW DATA'!N:N,'RAW DATA'!B135,'RAW DATA'!J:J),SUMIF('RAW DATA'!O:O,'RAW DATA'!B135,'RAW DATA'!J:J),SUMIF('RAW DATA'!P:P,'RAW DATA'!B135,'RAW DATA'!J:J)))</f>
        <v/>
      </c>
      <c r="I135" s="4" t="str">
        <f>IF(SUMIF('RAW DATA'!M:M,'RAW DATA'!B135, 'RAW DATA'!K:K)=0, "", SUMIF('RAW DATA'!M:M,'RAW DATA'!B135, 'RAW DATA'!K:K))</f>
        <v/>
      </c>
      <c r="J135" s="29" t="str">
        <f>IF('RAW DATA'!B135&lt;&gt;"",IF(OR('RAW DATA'!H135=1,'RAW DATA'!H135=2),1,IF(ISNUMBER(FIND("Medic",'RAW DATA'!E135)),1,"")),"")</f>
        <v/>
      </c>
      <c r="K135" s="29" t="str">
        <f>IF(AND('RAW DATA'!$B135&lt;&gt;"",'RAW DATA'!L135=1),1,"")</f>
        <v/>
      </c>
      <c r="L135" s="24" t="str">
        <f t="shared" si="5"/>
        <v/>
      </c>
    </row>
    <row r="136" spans="2:12" x14ac:dyDescent="0.25">
      <c r="B136" s="1" t="str">
        <f>IF('RAW DATA'!$C136&lt;&gt;"",'RAW DATA'!$C136,"")</f>
        <v/>
      </c>
      <c r="C136" s="1" t="str">
        <f>IF('RAW DATA'!$D136&lt;&gt;"",'RAW DATA'!$D136,"")</f>
        <v/>
      </c>
      <c r="D136" s="1" t="str">
        <f>IF(AND($B135&lt;&gt;"", $B136=""), "TOTAL:", IF($D135="TOTAL:","VESSEL TARGET "&amp;'RAW DATA'!$E$2&amp;":",IF('RAW DATA'!$E136&lt;&gt;"",'RAW DATA'!$E136,"")))</f>
        <v/>
      </c>
      <c r="E136" s="29" t="str">
        <f t="shared" si="4"/>
        <v/>
      </c>
      <c r="F136" s="4" t="str">
        <f>IF($D135="TOTAL:",FIXED(ROUND(((SUM($F$4:$F134)/'RAW DATA'!$E$2)*100),1),1)&amp;"%",IF($D136="TOTAL:",SUM($F$4:$F135),IF(SUMIF('RAW DATA'!M:M,'RAW DATA'!B136,'RAW DATA'!H:H)=0,"",SUMIF('RAW DATA'!M:M,'RAW DATA'!B136,'RAW DATA'!H:H))))</f>
        <v/>
      </c>
      <c r="G136" s="4" t="str">
        <f>IF($D135="TOTAL:",FIXED(ROUND(((SUM($G$4:$G134)/'RAW DATA'!$E$2)*100),1),1)&amp;"%",IF($D136="TOTAL:",SUM($G$4:$G135),IF(SUMIF('RAW DATA'!M:M,'RAW DATA'!B136,'RAW DATA'!I:I)=0,"",SUMIF('RAW DATA'!M:M,'RAW DATA'!B136,'RAW DATA'!I:I))))</f>
        <v/>
      </c>
      <c r="H136" s="4" t="str">
        <f>IF(SUM(SUMIF('RAW DATA'!M:M,'RAW DATA'!B136,'RAW DATA'!J:J),SUMIF('RAW DATA'!N:N,'RAW DATA'!B136,'RAW DATA'!J:J),SUMIF('RAW DATA'!O:O,'RAW DATA'!B136,'RAW DATA'!J:J),SUMIF('RAW DATA'!P:P,'RAW DATA'!B136,'RAW DATA'!J:J))=0, "", SUM(SUMIF('RAW DATA'!M:M,'RAW DATA'!B136,'RAW DATA'!J:J),SUMIF('RAW DATA'!N:N,'RAW DATA'!B136,'RAW DATA'!J:J),SUMIF('RAW DATA'!O:O,'RAW DATA'!B136,'RAW DATA'!J:J),SUMIF('RAW DATA'!P:P,'RAW DATA'!B136,'RAW DATA'!J:J)))</f>
        <v/>
      </c>
      <c r="I136" s="4" t="str">
        <f>IF(SUMIF('RAW DATA'!M:M,'RAW DATA'!B136, 'RAW DATA'!K:K)=0, "", SUMIF('RAW DATA'!M:M,'RAW DATA'!B136, 'RAW DATA'!K:K))</f>
        <v/>
      </c>
      <c r="J136" s="29" t="str">
        <f>IF('RAW DATA'!B136&lt;&gt;"",IF(OR('RAW DATA'!H136=1,'RAW DATA'!H136=2),1,IF(ISNUMBER(FIND("Medic",'RAW DATA'!E136)),1,"")),"")</f>
        <v/>
      </c>
      <c r="K136" s="29" t="str">
        <f>IF(AND('RAW DATA'!$B136&lt;&gt;"",'RAW DATA'!L136=1),1,"")</f>
        <v/>
      </c>
      <c r="L136" s="24" t="str">
        <f t="shared" si="5"/>
        <v/>
      </c>
    </row>
    <row r="137" spans="2:12" x14ac:dyDescent="0.25">
      <c r="B137" s="1" t="str">
        <f>IF('RAW DATA'!$C137&lt;&gt;"",'RAW DATA'!$C137,"")</f>
        <v/>
      </c>
      <c r="C137" s="1" t="str">
        <f>IF('RAW DATA'!$D137&lt;&gt;"",'RAW DATA'!$D137,"")</f>
        <v/>
      </c>
      <c r="D137" s="1" t="str">
        <f>IF(AND($B136&lt;&gt;"", $B137=""), "TOTAL:", IF($D136="TOTAL:","VESSEL TARGET "&amp;'RAW DATA'!$E$2&amp;":",IF('RAW DATA'!$E137&lt;&gt;"",'RAW DATA'!$E137,"")))</f>
        <v/>
      </c>
      <c r="E137" s="29" t="str">
        <f t="shared" si="4"/>
        <v/>
      </c>
      <c r="F137" s="4" t="str">
        <f>IF($D136="TOTAL:",FIXED(ROUND(((SUM($F$4:$F135)/'RAW DATA'!$E$2)*100),1),1)&amp;"%",IF($D137="TOTAL:",SUM($F$4:$F136),IF(SUMIF('RAW DATA'!M:M,'RAW DATA'!B137,'RAW DATA'!H:H)=0,"",SUMIF('RAW DATA'!M:M,'RAW DATA'!B137,'RAW DATA'!H:H))))</f>
        <v/>
      </c>
      <c r="G137" s="4" t="str">
        <f>IF($D136="TOTAL:",FIXED(ROUND(((SUM($G$4:$G135)/'RAW DATA'!$E$2)*100),1),1)&amp;"%",IF($D137="TOTAL:",SUM($G$4:$G136),IF(SUMIF('RAW DATA'!M:M,'RAW DATA'!B137,'RAW DATA'!I:I)=0,"",SUMIF('RAW DATA'!M:M,'RAW DATA'!B137,'RAW DATA'!I:I))))</f>
        <v/>
      </c>
      <c r="H137" s="4" t="str">
        <f>IF(SUM(SUMIF('RAW DATA'!M:M,'RAW DATA'!B137,'RAW DATA'!J:J),SUMIF('RAW DATA'!N:N,'RAW DATA'!B137,'RAW DATA'!J:J),SUMIF('RAW DATA'!O:O,'RAW DATA'!B137,'RAW DATA'!J:J),SUMIF('RAW DATA'!P:P,'RAW DATA'!B137,'RAW DATA'!J:J))=0, "", SUM(SUMIF('RAW DATA'!M:M,'RAW DATA'!B137,'RAW DATA'!J:J),SUMIF('RAW DATA'!N:N,'RAW DATA'!B137,'RAW DATA'!J:J),SUMIF('RAW DATA'!O:O,'RAW DATA'!B137,'RAW DATA'!J:J),SUMIF('RAW DATA'!P:P,'RAW DATA'!B137,'RAW DATA'!J:J)))</f>
        <v/>
      </c>
      <c r="I137" s="4" t="str">
        <f>IF(SUMIF('RAW DATA'!M:M,'RAW DATA'!B137, 'RAW DATA'!K:K)=0, "", SUMIF('RAW DATA'!M:M,'RAW DATA'!B137, 'RAW DATA'!K:K))</f>
        <v/>
      </c>
      <c r="J137" s="29" t="str">
        <f>IF('RAW DATA'!B137&lt;&gt;"",IF(OR('RAW DATA'!H137=1,'RAW DATA'!H137=2),1,IF(ISNUMBER(FIND("Medic",'RAW DATA'!E137)),1,"")),"")</f>
        <v/>
      </c>
      <c r="K137" s="29" t="str">
        <f>IF(AND('RAW DATA'!$B137&lt;&gt;"",'RAW DATA'!L137=1),1,"")</f>
        <v/>
      </c>
      <c r="L137" s="24" t="str">
        <f t="shared" si="5"/>
        <v/>
      </c>
    </row>
    <row r="138" spans="2:12" x14ac:dyDescent="0.25">
      <c r="B138" s="1" t="str">
        <f>IF('RAW DATA'!$C138&lt;&gt;"",'RAW DATA'!$C138,"")</f>
        <v/>
      </c>
      <c r="C138" s="1" t="str">
        <f>IF('RAW DATA'!$D138&lt;&gt;"",'RAW DATA'!$D138,"")</f>
        <v/>
      </c>
      <c r="D138" s="1" t="str">
        <f>IF(AND($B137&lt;&gt;"", $B138=""), "TOTAL:", IF($D137="TOTAL:","VESSEL TARGET "&amp;'RAW DATA'!$E$2&amp;":",IF('RAW DATA'!$E138&lt;&gt;"",'RAW DATA'!$E138,"")))</f>
        <v/>
      </c>
      <c r="E138" s="29" t="str">
        <f t="shared" si="4"/>
        <v/>
      </c>
      <c r="F138" s="4" t="str">
        <f>IF($D137="TOTAL:",FIXED(ROUND(((SUM($F$4:$F136)/'RAW DATA'!$E$2)*100),1),1)&amp;"%",IF($D138="TOTAL:",SUM($F$4:$F137),IF(SUMIF('RAW DATA'!M:M,'RAW DATA'!B138,'RAW DATA'!H:H)=0,"",SUMIF('RAW DATA'!M:M,'RAW DATA'!B138,'RAW DATA'!H:H))))</f>
        <v/>
      </c>
      <c r="G138" s="4" t="str">
        <f>IF($D137="TOTAL:",FIXED(ROUND(((SUM($G$4:$G136)/'RAW DATA'!$E$2)*100),1),1)&amp;"%",IF($D138="TOTAL:",SUM($G$4:$G137),IF(SUMIF('RAW DATA'!M:M,'RAW DATA'!B138,'RAW DATA'!I:I)=0,"",SUMIF('RAW DATA'!M:M,'RAW DATA'!B138,'RAW DATA'!I:I))))</f>
        <v/>
      </c>
      <c r="H138" s="4" t="str">
        <f>IF(SUM(SUMIF('RAW DATA'!M:M,'RAW DATA'!B138,'RAW DATA'!J:J),SUMIF('RAW DATA'!N:N,'RAW DATA'!B138,'RAW DATA'!J:J),SUMIF('RAW DATA'!O:O,'RAW DATA'!B138,'RAW DATA'!J:J),SUMIF('RAW DATA'!P:P,'RAW DATA'!B138,'RAW DATA'!J:J))=0, "", SUM(SUMIF('RAW DATA'!M:M,'RAW DATA'!B138,'RAW DATA'!J:J),SUMIF('RAW DATA'!N:N,'RAW DATA'!B138,'RAW DATA'!J:J),SUMIF('RAW DATA'!O:O,'RAW DATA'!B138,'RAW DATA'!J:J),SUMIF('RAW DATA'!P:P,'RAW DATA'!B138,'RAW DATA'!J:J)))</f>
        <v/>
      </c>
      <c r="I138" s="4" t="str">
        <f>IF(SUMIF('RAW DATA'!M:M,'RAW DATA'!B138, 'RAW DATA'!K:K)=0, "", SUMIF('RAW DATA'!M:M,'RAW DATA'!B138, 'RAW DATA'!K:K))</f>
        <v/>
      </c>
      <c r="J138" s="29" t="str">
        <f>IF('RAW DATA'!B138&lt;&gt;"",IF(OR('RAW DATA'!H138=1,'RAW DATA'!H138=2),1,IF(ISNUMBER(FIND("Medic",'RAW DATA'!E138)),1,"")),"")</f>
        <v/>
      </c>
      <c r="K138" s="29" t="str">
        <f>IF(AND('RAW DATA'!$B138&lt;&gt;"",'RAW DATA'!L138=1),1,"")</f>
        <v/>
      </c>
      <c r="L138" s="24" t="str">
        <f t="shared" si="5"/>
        <v/>
      </c>
    </row>
    <row r="139" spans="2:12" x14ac:dyDescent="0.25">
      <c r="B139" s="1" t="str">
        <f>IF('RAW DATA'!$C139&lt;&gt;"",'RAW DATA'!$C139,"")</f>
        <v/>
      </c>
      <c r="C139" s="1" t="str">
        <f>IF('RAW DATA'!$D139&lt;&gt;"",'RAW DATA'!$D139,"")</f>
        <v/>
      </c>
      <c r="D139" s="1" t="str">
        <f>IF(AND($B138&lt;&gt;"", $B139=""), "TOTAL:", IF($D138="TOTAL:","VESSEL TARGET "&amp;'RAW DATA'!$E$2&amp;":",IF('RAW DATA'!$E139&lt;&gt;"",'RAW DATA'!$E139,"")))</f>
        <v/>
      </c>
      <c r="E139" s="29" t="str">
        <f t="shared" si="4"/>
        <v/>
      </c>
      <c r="F139" s="4" t="str">
        <f>IF($D138="TOTAL:",FIXED(ROUND(((SUM($F$4:$F137)/'RAW DATA'!$E$2)*100),1),1)&amp;"%",IF($D139="TOTAL:",SUM($F$4:$F138),IF(SUMIF('RAW DATA'!M:M,'RAW DATA'!B139,'RAW DATA'!H:H)=0,"",SUMIF('RAW DATA'!M:M,'RAW DATA'!B139,'RAW DATA'!H:H))))</f>
        <v/>
      </c>
      <c r="G139" s="4" t="str">
        <f>IF($D138="TOTAL:",FIXED(ROUND(((SUM($G$4:$G137)/'RAW DATA'!$E$2)*100),1),1)&amp;"%",IF($D139="TOTAL:",SUM($G$4:$G138),IF(SUMIF('RAW DATA'!M:M,'RAW DATA'!B139,'RAW DATA'!I:I)=0,"",SUMIF('RAW DATA'!M:M,'RAW DATA'!B139,'RAW DATA'!I:I))))</f>
        <v/>
      </c>
      <c r="H139" s="4" t="str">
        <f>IF(SUM(SUMIF('RAW DATA'!M:M,'RAW DATA'!B139,'RAW DATA'!J:J),SUMIF('RAW DATA'!N:N,'RAW DATA'!B139,'RAW DATA'!J:J),SUMIF('RAW DATA'!O:O,'RAW DATA'!B139,'RAW DATA'!J:J),SUMIF('RAW DATA'!P:P,'RAW DATA'!B139,'RAW DATA'!J:J))=0, "", SUM(SUMIF('RAW DATA'!M:M,'RAW DATA'!B139,'RAW DATA'!J:J),SUMIF('RAW DATA'!N:N,'RAW DATA'!B139,'RAW DATA'!J:J),SUMIF('RAW DATA'!O:O,'RAW DATA'!B139,'RAW DATA'!J:J),SUMIF('RAW DATA'!P:P,'RAW DATA'!B139,'RAW DATA'!J:J)))</f>
        <v/>
      </c>
      <c r="I139" s="4" t="str">
        <f>IF(SUMIF('RAW DATA'!M:M,'RAW DATA'!B139, 'RAW DATA'!K:K)=0, "", SUMIF('RAW DATA'!M:M,'RAW DATA'!B139, 'RAW DATA'!K:K))</f>
        <v/>
      </c>
      <c r="J139" s="29" t="str">
        <f>IF('RAW DATA'!B139&lt;&gt;"",IF(OR('RAW DATA'!H139=1,'RAW DATA'!H139=2),1,IF(ISNUMBER(FIND("Medic",'RAW DATA'!E139)),1,"")),"")</f>
        <v/>
      </c>
      <c r="K139" s="29" t="str">
        <f>IF(AND('RAW DATA'!$B139&lt;&gt;"",'RAW DATA'!L139=1),1,"")</f>
        <v/>
      </c>
      <c r="L139" s="24" t="str">
        <f t="shared" si="5"/>
        <v/>
      </c>
    </row>
    <row r="140" spans="2:12" x14ac:dyDescent="0.25">
      <c r="B140" s="1" t="str">
        <f>IF('RAW DATA'!$C140&lt;&gt;"",'RAW DATA'!$C140,"")</f>
        <v/>
      </c>
      <c r="C140" s="1" t="str">
        <f>IF('RAW DATA'!$D140&lt;&gt;"",'RAW DATA'!$D140,"")</f>
        <v/>
      </c>
      <c r="D140" s="1" t="str">
        <f>IF(AND($B139&lt;&gt;"", $B140=""), "TOTAL:", IF($D139="TOTAL:","VESSEL TARGET "&amp;'RAW DATA'!$E$2&amp;":",IF('RAW DATA'!$E140&lt;&gt;"",'RAW DATA'!$E140,"")))</f>
        <v/>
      </c>
      <c r="E140" s="29" t="str">
        <f t="shared" si="4"/>
        <v/>
      </c>
      <c r="F140" s="4" t="str">
        <f>IF($D139="TOTAL:",FIXED(ROUND(((SUM($F$4:$F138)/'RAW DATA'!$E$2)*100),1),1)&amp;"%",IF($D140="TOTAL:",SUM($F$4:$F139),IF(SUMIF('RAW DATA'!M:M,'RAW DATA'!B140,'RAW DATA'!H:H)=0,"",SUMIF('RAW DATA'!M:M,'RAW DATA'!B140,'RAW DATA'!H:H))))</f>
        <v/>
      </c>
      <c r="G140" s="4" t="str">
        <f>IF($D139="TOTAL:",FIXED(ROUND(((SUM($G$4:$G138)/'RAW DATA'!$E$2)*100),1),1)&amp;"%",IF($D140="TOTAL:",SUM($G$4:$G139),IF(SUMIF('RAW DATA'!M:M,'RAW DATA'!B140,'RAW DATA'!I:I)=0,"",SUMIF('RAW DATA'!M:M,'RAW DATA'!B140,'RAW DATA'!I:I))))</f>
        <v/>
      </c>
      <c r="H140" s="4" t="str">
        <f>IF(SUM(SUMIF('RAW DATA'!M:M,'RAW DATA'!B140,'RAW DATA'!J:J),SUMIF('RAW DATA'!N:N,'RAW DATA'!B140,'RAW DATA'!J:J),SUMIF('RAW DATA'!O:O,'RAW DATA'!B140,'RAW DATA'!J:J),SUMIF('RAW DATA'!P:P,'RAW DATA'!B140,'RAW DATA'!J:J))=0, "", SUM(SUMIF('RAW DATA'!M:M,'RAW DATA'!B140,'RAW DATA'!J:J),SUMIF('RAW DATA'!N:N,'RAW DATA'!B140,'RAW DATA'!J:J),SUMIF('RAW DATA'!O:O,'RAW DATA'!B140,'RAW DATA'!J:J),SUMIF('RAW DATA'!P:P,'RAW DATA'!B140,'RAW DATA'!J:J)))</f>
        <v/>
      </c>
      <c r="I140" s="4" t="str">
        <f>IF(SUMIF('RAW DATA'!M:M,'RAW DATA'!B140, 'RAW DATA'!K:K)=0, "", SUMIF('RAW DATA'!M:M,'RAW DATA'!B140, 'RAW DATA'!K:K))</f>
        <v/>
      </c>
      <c r="J140" s="29" t="str">
        <f>IF('RAW DATA'!B140&lt;&gt;"",IF(OR('RAW DATA'!H140=1,'RAW DATA'!H140=2),1,IF(ISNUMBER(FIND("Medic",'RAW DATA'!E140)),1,"")),"")</f>
        <v/>
      </c>
      <c r="K140" s="29" t="str">
        <f>IF(AND('RAW DATA'!$B140&lt;&gt;"",'RAW DATA'!L140=1),1,"")</f>
        <v/>
      </c>
      <c r="L140" s="24" t="str">
        <f t="shared" si="5"/>
        <v/>
      </c>
    </row>
    <row r="141" spans="2:12" x14ac:dyDescent="0.25">
      <c r="B141" s="1" t="str">
        <f>IF('RAW DATA'!$C141&lt;&gt;"",'RAW DATA'!$C141,"")</f>
        <v/>
      </c>
      <c r="C141" s="1" t="str">
        <f>IF('RAW DATA'!$D141&lt;&gt;"",'RAW DATA'!$D141,"")</f>
        <v/>
      </c>
      <c r="D141" s="1" t="str">
        <f>IF(AND($B140&lt;&gt;"", $B141=""), "TOTAL:", IF($D140="TOTAL:","VESSEL TARGET "&amp;'RAW DATA'!$E$2&amp;":",IF('RAW DATA'!$E141&lt;&gt;"",'RAW DATA'!$E141,"")))</f>
        <v/>
      </c>
      <c r="E141" s="29" t="str">
        <f t="shared" si="4"/>
        <v/>
      </c>
      <c r="F141" s="4" t="str">
        <f>IF($D140="TOTAL:",FIXED(ROUND(((SUM($F$4:$F139)/'RAW DATA'!$E$2)*100),1),1)&amp;"%",IF($D141="TOTAL:",SUM($F$4:$F140),IF(SUMIF('RAW DATA'!M:M,'RAW DATA'!B141,'RAW DATA'!H:H)=0,"",SUMIF('RAW DATA'!M:M,'RAW DATA'!B141,'RAW DATA'!H:H))))</f>
        <v/>
      </c>
      <c r="G141" s="4" t="str">
        <f>IF($D140="TOTAL:",FIXED(ROUND(((SUM($G$4:$G139)/'RAW DATA'!$E$2)*100),1),1)&amp;"%",IF($D141="TOTAL:",SUM($G$4:$G140),IF(SUMIF('RAW DATA'!M:M,'RAW DATA'!B141,'RAW DATA'!I:I)=0,"",SUMIF('RAW DATA'!M:M,'RAW DATA'!B141,'RAW DATA'!I:I))))</f>
        <v/>
      </c>
      <c r="H141" s="4" t="str">
        <f>IF(SUM(SUMIF('RAW DATA'!M:M,'RAW DATA'!B141,'RAW DATA'!J:J),SUMIF('RAW DATA'!N:N,'RAW DATA'!B141,'RAW DATA'!J:J),SUMIF('RAW DATA'!O:O,'RAW DATA'!B141,'RAW DATA'!J:J),SUMIF('RAW DATA'!P:P,'RAW DATA'!B141,'RAW DATA'!J:J))=0, "", SUM(SUMIF('RAW DATA'!M:M,'RAW DATA'!B141,'RAW DATA'!J:J),SUMIF('RAW DATA'!N:N,'RAW DATA'!B141,'RAW DATA'!J:J),SUMIF('RAW DATA'!O:O,'RAW DATA'!B141,'RAW DATA'!J:J),SUMIF('RAW DATA'!P:P,'RAW DATA'!B141,'RAW DATA'!J:J)))</f>
        <v/>
      </c>
      <c r="I141" s="4" t="str">
        <f>IF(SUMIF('RAW DATA'!M:M,'RAW DATA'!B141, 'RAW DATA'!K:K)=0, "", SUMIF('RAW DATA'!M:M,'RAW DATA'!B141, 'RAW DATA'!K:K))</f>
        <v/>
      </c>
      <c r="J141" s="29" t="str">
        <f>IF('RAW DATA'!B141&lt;&gt;"",IF(OR('RAW DATA'!H141=1,'RAW DATA'!H141=2),1,IF(ISNUMBER(FIND("Medic",'RAW DATA'!E141)),1,"")),"")</f>
        <v/>
      </c>
      <c r="K141" s="29" t="str">
        <f>IF(AND('RAW DATA'!$B141&lt;&gt;"",'RAW DATA'!L141=1),1,"")</f>
        <v/>
      </c>
      <c r="L141" s="24" t="str">
        <f t="shared" si="5"/>
        <v/>
      </c>
    </row>
    <row r="142" spans="2:12" x14ac:dyDescent="0.25">
      <c r="B142" s="1" t="str">
        <f>IF('RAW DATA'!$C142&lt;&gt;"",'RAW DATA'!$C142,"")</f>
        <v/>
      </c>
      <c r="C142" s="1" t="str">
        <f>IF('RAW DATA'!$D142&lt;&gt;"",'RAW DATA'!$D142,"")</f>
        <v/>
      </c>
      <c r="D142" s="1" t="str">
        <f>IF(AND($B141&lt;&gt;"", $B142=""), "TOTAL:", IF($D141="TOTAL:","VESSEL TARGET "&amp;'RAW DATA'!$E$2&amp;":",IF('RAW DATA'!$E142&lt;&gt;"",'RAW DATA'!$E142,"")))</f>
        <v/>
      </c>
      <c r="E142" s="29" t="str">
        <f t="shared" si="4"/>
        <v/>
      </c>
      <c r="F142" s="4" t="str">
        <f>IF($D141="TOTAL:",FIXED(ROUND(((SUM($F$4:$F140)/'RAW DATA'!$E$2)*100),1),1)&amp;"%",IF($D142="TOTAL:",SUM($F$4:$F141),IF(SUMIF('RAW DATA'!M:M,'RAW DATA'!B142,'RAW DATA'!H:H)=0,"",SUMIF('RAW DATA'!M:M,'RAW DATA'!B142,'RAW DATA'!H:H))))</f>
        <v/>
      </c>
      <c r="G142" s="4" t="str">
        <f>IF($D141="TOTAL:",FIXED(ROUND(((SUM($G$4:$G140)/'RAW DATA'!$E$2)*100),1),1)&amp;"%",IF($D142="TOTAL:",SUM($G$4:$G141),IF(SUMIF('RAW DATA'!M:M,'RAW DATA'!B142,'RAW DATA'!I:I)=0,"",SUMIF('RAW DATA'!M:M,'RAW DATA'!B142,'RAW DATA'!I:I))))</f>
        <v/>
      </c>
      <c r="H142" s="4" t="str">
        <f>IF(SUM(SUMIF('RAW DATA'!M:M,'RAW DATA'!B142,'RAW DATA'!J:J),SUMIF('RAW DATA'!N:N,'RAW DATA'!B142,'RAW DATA'!J:J),SUMIF('RAW DATA'!O:O,'RAW DATA'!B142,'RAW DATA'!J:J),SUMIF('RAW DATA'!P:P,'RAW DATA'!B142,'RAW DATA'!J:J))=0, "", SUM(SUMIF('RAW DATA'!M:M,'RAW DATA'!B142,'RAW DATA'!J:J),SUMIF('RAW DATA'!N:N,'RAW DATA'!B142,'RAW DATA'!J:J),SUMIF('RAW DATA'!O:O,'RAW DATA'!B142,'RAW DATA'!J:J),SUMIF('RAW DATA'!P:P,'RAW DATA'!B142,'RAW DATA'!J:J)))</f>
        <v/>
      </c>
      <c r="I142" s="4" t="str">
        <f>IF(SUMIF('RAW DATA'!M:M,'RAW DATA'!B142, 'RAW DATA'!K:K)=0, "", SUMIF('RAW DATA'!M:M,'RAW DATA'!B142, 'RAW DATA'!K:K))</f>
        <v/>
      </c>
      <c r="J142" s="29" t="str">
        <f>IF('RAW DATA'!B142&lt;&gt;"",IF(OR('RAW DATA'!H142=1,'RAW DATA'!H142=2),1,IF(ISNUMBER(FIND("Medic",'RAW DATA'!E142)),1,"")),"")</f>
        <v/>
      </c>
      <c r="K142" s="29" t="str">
        <f>IF(AND('RAW DATA'!$B142&lt;&gt;"",'RAW DATA'!L142=1),1,"")</f>
        <v/>
      </c>
      <c r="L142" s="24" t="str">
        <f t="shared" si="5"/>
        <v/>
      </c>
    </row>
    <row r="143" spans="2:12" x14ac:dyDescent="0.25">
      <c r="B143" s="1" t="str">
        <f>IF('RAW DATA'!$C143&lt;&gt;"",'RAW DATA'!$C143,"")</f>
        <v/>
      </c>
      <c r="C143" s="1" t="str">
        <f>IF('RAW DATA'!$D143&lt;&gt;"",'RAW DATA'!$D143,"")</f>
        <v/>
      </c>
      <c r="D143" s="1" t="str">
        <f>IF(AND($B142&lt;&gt;"", $B143=""), "TOTAL:", IF($D142="TOTAL:","VESSEL TARGET "&amp;'RAW DATA'!$E$2&amp;":",IF('RAW DATA'!$E143&lt;&gt;"",'RAW DATA'!$E143,"")))</f>
        <v/>
      </c>
      <c r="E143" s="29" t="str">
        <f t="shared" si="4"/>
        <v/>
      </c>
      <c r="F143" s="4" t="str">
        <f>IF($D142="TOTAL:",FIXED(ROUND(((SUM($F$4:$F141)/'RAW DATA'!$E$2)*100),1),1)&amp;"%",IF($D143="TOTAL:",SUM($F$4:$F142),IF(SUMIF('RAW DATA'!M:M,'RAW DATA'!B143,'RAW DATA'!H:H)=0,"",SUMIF('RAW DATA'!M:M,'RAW DATA'!B143,'RAW DATA'!H:H))))</f>
        <v/>
      </c>
      <c r="G143" s="4" t="str">
        <f>IF($D142="TOTAL:",FIXED(ROUND(((SUM($G$4:$G141)/'RAW DATA'!$E$2)*100),1),1)&amp;"%",IF($D143="TOTAL:",SUM($G$4:$G142),IF(SUMIF('RAW DATA'!M:M,'RAW DATA'!B143,'RAW DATA'!I:I)=0,"",SUMIF('RAW DATA'!M:M,'RAW DATA'!B143,'RAW DATA'!I:I))))</f>
        <v/>
      </c>
      <c r="H143" s="4" t="str">
        <f>IF(SUM(SUMIF('RAW DATA'!M:M,'RAW DATA'!B143,'RAW DATA'!J:J),SUMIF('RAW DATA'!N:N,'RAW DATA'!B143,'RAW DATA'!J:J),SUMIF('RAW DATA'!O:O,'RAW DATA'!B143,'RAW DATA'!J:J),SUMIF('RAW DATA'!P:P,'RAW DATA'!B143,'RAW DATA'!J:J))=0, "", SUM(SUMIF('RAW DATA'!M:M,'RAW DATA'!B143,'RAW DATA'!J:J),SUMIF('RAW DATA'!N:N,'RAW DATA'!B143,'RAW DATA'!J:J),SUMIF('RAW DATA'!O:O,'RAW DATA'!B143,'RAW DATA'!J:J),SUMIF('RAW DATA'!P:P,'RAW DATA'!B143,'RAW DATA'!J:J)))</f>
        <v/>
      </c>
      <c r="I143" s="4" t="str">
        <f>IF(SUMIF('RAW DATA'!M:M,'RAW DATA'!B143, 'RAW DATA'!K:K)=0, "", SUMIF('RAW DATA'!M:M,'RAW DATA'!B143, 'RAW DATA'!K:K))</f>
        <v/>
      </c>
      <c r="J143" s="29" t="str">
        <f>IF('RAW DATA'!B143&lt;&gt;"",IF(OR('RAW DATA'!H143=1,'RAW DATA'!H143=2),1,IF(ISNUMBER(FIND("Medic",'RAW DATA'!E143)),1,"")),"")</f>
        <v/>
      </c>
      <c r="K143" s="29" t="str">
        <f>IF(AND('RAW DATA'!$B143&lt;&gt;"",'RAW DATA'!L143=1),1,"")</f>
        <v/>
      </c>
      <c r="L143" s="24" t="str">
        <f t="shared" si="5"/>
        <v/>
      </c>
    </row>
    <row r="144" spans="2:12" x14ac:dyDescent="0.25">
      <c r="B144" s="1" t="str">
        <f>IF('RAW DATA'!$C144&lt;&gt;"",'RAW DATA'!$C144,"")</f>
        <v/>
      </c>
      <c r="C144" s="1" t="str">
        <f>IF('RAW DATA'!$D144&lt;&gt;"",'RAW DATA'!$D144,"")</f>
        <v/>
      </c>
      <c r="D144" s="1" t="str">
        <f>IF(AND($B143&lt;&gt;"", $B144=""), "TOTAL:", IF($D143="TOTAL:","VESSEL TARGET "&amp;'RAW DATA'!$E$2&amp;":",IF('RAW DATA'!$E144&lt;&gt;"",'RAW DATA'!$E144,"")))</f>
        <v/>
      </c>
      <c r="E144" s="29" t="str">
        <f t="shared" si="4"/>
        <v/>
      </c>
      <c r="F144" s="4" t="str">
        <f>IF($D143="TOTAL:",FIXED(ROUND(((SUM($F$4:$F142)/'RAW DATA'!$E$2)*100),1),1)&amp;"%",IF($D144="TOTAL:",SUM($F$4:$F143),IF(SUMIF('RAW DATA'!M:M,'RAW DATA'!B144,'RAW DATA'!H:H)=0,"",SUMIF('RAW DATA'!M:M,'RAW DATA'!B144,'RAW DATA'!H:H))))</f>
        <v/>
      </c>
      <c r="G144" s="4" t="str">
        <f>IF($D143="TOTAL:",FIXED(ROUND(((SUM($G$4:$G142)/'RAW DATA'!$E$2)*100),1),1)&amp;"%",IF($D144="TOTAL:",SUM($G$4:$G143),IF(SUMIF('RAW DATA'!M:M,'RAW DATA'!B144,'RAW DATA'!I:I)=0,"",SUMIF('RAW DATA'!M:M,'RAW DATA'!B144,'RAW DATA'!I:I))))</f>
        <v/>
      </c>
      <c r="H144" s="4" t="str">
        <f>IF(SUM(SUMIF('RAW DATA'!M:M,'RAW DATA'!B144,'RAW DATA'!J:J),SUMIF('RAW DATA'!N:N,'RAW DATA'!B144,'RAW DATA'!J:J),SUMIF('RAW DATA'!O:O,'RAW DATA'!B144,'RAW DATA'!J:J),SUMIF('RAW DATA'!P:P,'RAW DATA'!B144,'RAW DATA'!J:J))=0, "", SUM(SUMIF('RAW DATA'!M:M,'RAW DATA'!B144,'RAW DATA'!J:J),SUMIF('RAW DATA'!N:N,'RAW DATA'!B144,'RAW DATA'!J:J),SUMIF('RAW DATA'!O:O,'RAW DATA'!B144,'RAW DATA'!J:J),SUMIF('RAW DATA'!P:P,'RAW DATA'!B144,'RAW DATA'!J:J)))</f>
        <v/>
      </c>
      <c r="I144" s="4" t="str">
        <f>IF(SUMIF('RAW DATA'!M:M,'RAW DATA'!B144, 'RAW DATA'!K:K)=0, "", SUMIF('RAW DATA'!M:M,'RAW DATA'!B144, 'RAW DATA'!K:K))</f>
        <v/>
      </c>
      <c r="J144" s="29" t="str">
        <f>IF('RAW DATA'!B144&lt;&gt;"",IF(OR('RAW DATA'!H144=1,'RAW DATA'!H144=2),1,IF(ISNUMBER(FIND("Medic",'RAW DATA'!E144)),1,"")),"")</f>
        <v/>
      </c>
      <c r="K144" s="29" t="str">
        <f>IF(AND('RAW DATA'!$B144&lt;&gt;"",'RAW DATA'!L144=1),1,"")</f>
        <v/>
      </c>
      <c r="L144" s="24" t="str">
        <f t="shared" si="5"/>
        <v/>
      </c>
    </row>
    <row r="145" spans="2:12" x14ac:dyDescent="0.25">
      <c r="B145" s="1" t="str">
        <f>IF('RAW DATA'!$C145&lt;&gt;"",'RAW DATA'!$C145,"")</f>
        <v/>
      </c>
      <c r="C145" s="1" t="str">
        <f>IF('RAW DATA'!$D145&lt;&gt;"",'RAW DATA'!$D145,"")</f>
        <v/>
      </c>
      <c r="D145" s="1" t="str">
        <f>IF(AND($B144&lt;&gt;"", $B145=""), "TOTAL:", IF($D144="TOTAL:","VESSEL TARGET "&amp;'RAW DATA'!$E$2&amp;":",IF('RAW DATA'!$E145&lt;&gt;"",'RAW DATA'!$E145,"")))</f>
        <v/>
      </c>
      <c r="E145" s="29" t="str">
        <f t="shared" si="4"/>
        <v/>
      </c>
      <c r="F145" s="4" t="str">
        <f>IF($D144="TOTAL:",FIXED(ROUND(((SUM($F$4:$F143)/'RAW DATA'!$E$2)*100),1),1)&amp;"%",IF($D145="TOTAL:",SUM($F$4:$F144),IF(SUMIF('RAW DATA'!M:M,'RAW DATA'!B145,'RAW DATA'!H:H)=0,"",SUMIF('RAW DATA'!M:M,'RAW DATA'!B145,'RAW DATA'!H:H))))</f>
        <v/>
      </c>
      <c r="G145" s="4" t="str">
        <f>IF($D144="TOTAL:",FIXED(ROUND(((SUM($G$4:$G143)/'RAW DATA'!$E$2)*100),1),1)&amp;"%",IF($D145="TOTAL:",SUM($G$4:$G144),IF(SUMIF('RAW DATA'!M:M,'RAW DATA'!B145,'RAW DATA'!I:I)=0,"",SUMIF('RAW DATA'!M:M,'RAW DATA'!B145,'RAW DATA'!I:I))))</f>
        <v/>
      </c>
      <c r="H145" s="4" t="str">
        <f>IF(SUM(SUMIF('RAW DATA'!M:M,'RAW DATA'!B145,'RAW DATA'!J:J),SUMIF('RAW DATA'!N:N,'RAW DATA'!B145,'RAW DATA'!J:J),SUMIF('RAW DATA'!O:O,'RAW DATA'!B145,'RAW DATA'!J:J),SUMIF('RAW DATA'!P:P,'RAW DATA'!B145,'RAW DATA'!J:J))=0, "", SUM(SUMIF('RAW DATA'!M:M,'RAW DATA'!B145,'RAW DATA'!J:J),SUMIF('RAW DATA'!N:N,'RAW DATA'!B145,'RAW DATA'!J:J),SUMIF('RAW DATA'!O:O,'RAW DATA'!B145,'RAW DATA'!J:J),SUMIF('RAW DATA'!P:P,'RAW DATA'!B145,'RAW DATA'!J:J)))</f>
        <v/>
      </c>
      <c r="I145" s="4" t="str">
        <f>IF(SUMIF('RAW DATA'!M:M,'RAW DATA'!B145, 'RAW DATA'!K:K)=0, "", SUMIF('RAW DATA'!M:M,'RAW DATA'!B145, 'RAW DATA'!K:K))</f>
        <v/>
      </c>
      <c r="J145" s="29" t="str">
        <f>IF('RAW DATA'!B145&lt;&gt;"",IF(OR('RAW DATA'!H145=1,'RAW DATA'!H145=2),1,IF(ISNUMBER(FIND("Medic",'RAW DATA'!E145)),1,"")),"")</f>
        <v/>
      </c>
      <c r="K145" s="29" t="str">
        <f>IF(AND('RAW DATA'!$B145&lt;&gt;"",'RAW DATA'!L145=1),1,"")</f>
        <v/>
      </c>
      <c r="L145" s="24" t="str">
        <f t="shared" si="5"/>
        <v/>
      </c>
    </row>
    <row r="146" spans="2:12" x14ac:dyDescent="0.25">
      <c r="B146" s="1" t="str">
        <f>IF('RAW DATA'!$C146&lt;&gt;"",'RAW DATA'!$C146,"")</f>
        <v/>
      </c>
      <c r="C146" s="1" t="str">
        <f>IF('RAW DATA'!$D146&lt;&gt;"",'RAW DATA'!$D146,"")</f>
        <v/>
      </c>
      <c r="D146" s="1" t="str">
        <f>IF(AND($B145&lt;&gt;"", $B146=""), "TOTAL:", IF($D145="TOTAL:","VESSEL TARGET "&amp;'RAW DATA'!$E$2&amp;":",IF('RAW DATA'!$E146&lt;&gt;"",'RAW DATA'!$E146,"")))</f>
        <v/>
      </c>
      <c r="E146" s="29" t="str">
        <f t="shared" si="4"/>
        <v/>
      </c>
      <c r="F146" s="4" t="str">
        <f>IF($D145="TOTAL:",FIXED(ROUND(((SUM($F$4:$F144)/'RAW DATA'!$E$2)*100),1),1)&amp;"%",IF($D146="TOTAL:",SUM($F$4:$F145),IF(SUMIF('RAW DATA'!M:M,'RAW DATA'!B146,'RAW DATA'!H:H)=0,"",SUMIF('RAW DATA'!M:M,'RAW DATA'!B146,'RAW DATA'!H:H))))</f>
        <v/>
      </c>
      <c r="G146" s="4" t="str">
        <f>IF($D145="TOTAL:",FIXED(ROUND(((SUM($G$4:$G144)/'RAW DATA'!$E$2)*100),1),1)&amp;"%",IF($D146="TOTAL:",SUM($G$4:$G145),IF(SUMIF('RAW DATA'!M:M,'RAW DATA'!B146,'RAW DATA'!I:I)=0,"",SUMIF('RAW DATA'!M:M,'RAW DATA'!B146,'RAW DATA'!I:I))))</f>
        <v/>
      </c>
      <c r="H146" s="4" t="str">
        <f>IF(SUM(SUMIF('RAW DATA'!M:M,'RAW DATA'!B146,'RAW DATA'!J:J),SUMIF('RAW DATA'!N:N,'RAW DATA'!B146,'RAW DATA'!J:J),SUMIF('RAW DATA'!O:O,'RAW DATA'!B146,'RAW DATA'!J:J),SUMIF('RAW DATA'!P:P,'RAW DATA'!B146,'RAW DATA'!J:J))=0, "", SUM(SUMIF('RAW DATA'!M:M,'RAW DATA'!B146,'RAW DATA'!J:J),SUMIF('RAW DATA'!N:N,'RAW DATA'!B146,'RAW DATA'!J:J),SUMIF('RAW DATA'!O:O,'RAW DATA'!B146,'RAW DATA'!J:J),SUMIF('RAW DATA'!P:P,'RAW DATA'!B146,'RAW DATA'!J:J)))</f>
        <v/>
      </c>
      <c r="I146" s="4" t="str">
        <f>IF(SUMIF('RAW DATA'!M:M,'RAW DATA'!B146, 'RAW DATA'!K:K)=0, "", SUMIF('RAW DATA'!M:M,'RAW DATA'!B146, 'RAW DATA'!K:K))</f>
        <v/>
      </c>
      <c r="J146" s="29" t="str">
        <f>IF('RAW DATA'!B146&lt;&gt;"",IF(OR('RAW DATA'!H146=1,'RAW DATA'!H146=2),1,IF(ISNUMBER(FIND("Medic",'RAW DATA'!E146)),1,"")),"")</f>
        <v/>
      </c>
      <c r="K146" s="29" t="str">
        <f>IF(AND('RAW DATA'!$B146&lt;&gt;"",'RAW DATA'!L146=1),1,"")</f>
        <v/>
      </c>
      <c r="L146" s="24" t="str">
        <f t="shared" si="5"/>
        <v/>
      </c>
    </row>
    <row r="147" spans="2:12" x14ac:dyDescent="0.25">
      <c r="B147" s="1" t="str">
        <f>IF('RAW DATA'!$C147&lt;&gt;"",'RAW DATA'!$C147,"")</f>
        <v/>
      </c>
      <c r="C147" s="1" t="str">
        <f>IF('RAW DATA'!$D147&lt;&gt;"",'RAW DATA'!$D147,"")</f>
        <v/>
      </c>
      <c r="D147" s="1" t="str">
        <f>IF(AND($B146&lt;&gt;"", $B147=""), "TOTAL:", IF($D146="TOTAL:","VESSEL TARGET "&amp;'RAW DATA'!$E$2&amp;":",IF('RAW DATA'!$E147&lt;&gt;"",'RAW DATA'!$E147,"")))</f>
        <v/>
      </c>
      <c r="E147" s="29" t="str">
        <f t="shared" si="4"/>
        <v/>
      </c>
      <c r="F147" s="4" t="str">
        <f>IF($D146="TOTAL:",FIXED(ROUND(((SUM($F$4:$F145)/'RAW DATA'!$E$2)*100),1),1)&amp;"%",IF($D147="TOTAL:",SUM($F$4:$F146),IF(SUMIF('RAW DATA'!M:M,'RAW DATA'!B147,'RAW DATA'!H:H)=0,"",SUMIF('RAW DATA'!M:M,'RAW DATA'!B147,'RAW DATA'!H:H))))</f>
        <v/>
      </c>
      <c r="G147" s="4" t="str">
        <f>IF($D146="TOTAL:",FIXED(ROUND(((SUM($G$4:$G145)/'RAW DATA'!$E$2)*100),1),1)&amp;"%",IF($D147="TOTAL:",SUM($G$4:$G146),IF(SUMIF('RAW DATA'!M:M,'RAW DATA'!B147,'RAW DATA'!I:I)=0,"",SUMIF('RAW DATA'!M:M,'RAW DATA'!B147,'RAW DATA'!I:I))))</f>
        <v/>
      </c>
      <c r="H147" s="4" t="str">
        <f>IF(SUM(SUMIF('RAW DATA'!M:M,'RAW DATA'!B147,'RAW DATA'!J:J),SUMIF('RAW DATA'!N:N,'RAW DATA'!B147,'RAW DATA'!J:J),SUMIF('RAW DATA'!O:O,'RAW DATA'!B147,'RAW DATA'!J:J),SUMIF('RAW DATA'!P:P,'RAW DATA'!B147,'RAW DATA'!J:J))=0, "", SUM(SUMIF('RAW DATA'!M:M,'RAW DATA'!B147,'RAW DATA'!J:J),SUMIF('RAW DATA'!N:N,'RAW DATA'!B147,'RAW DATA'!J:J),SUMIF('RAW DATA'!O:O,'RAW DATA'!B147,'RAW DATA'!J:J),SUMIF('RAW DATA'!P:P,'RAW DATA'!B147,'RAW DATA'!J:J)))</f>
        <v/>
      </c>
      <c r="I147" s="4" t="str">
        <f>IF(SUMIF('RAW DATA'!M:M,'RAW DATA'!B147, 'RAW DATA'!K:K)=0, "", SUMIF('RAW DATA'!M:M,'RAW DATA'!B147, 'RAW DATA'!K:K))</f>
        <v/>
      </c>
      <c r="J147" s="29" t="str">
        <f>IF('RAW DATA'!B147&lt;&gt;"",IF(OR('RAW DATA'!H147=1,'RAW DATA'!H147=2),1,IF(ISNUMBER(FIND("Medic",'RAW DATA'!E147)),1,"")),"")</f>
        <v/>
      </c>
      <c r="K147" s="29" t="str">
        <f>IF(AND('RAW DATA'!$B147&lt;&gt;"",'RAW DATA'!L147=1),1,"")</f>
        <v/>
      </c>
      <c r="L147" s="24" t="str">
        <f t="shared" si="5"/>
        <v/>
      </c>
    </row>
    <row r="148" spans="2:12" x14ac:dyDescent="0.25">
      <c r="B148" s="1" t="str">
        <f>IF('RAW DATA'!$C148&lt;&gt;"",'RAW DATA'!$C148,"")</f>
        <v/>
      </c>
      <c r="C148" s="1" t="str">
        <f>IF('RAW DATA'!$D148&lt;&gt;"",'RAW DATA'!$D148,"")</f>
        <v/>
      </c>
      <c r="D148" s="1" t="str">
        <f>IF(AND($B147&lt;&gt;"", $B148=""), "TOTAL:", IF($D147="TOTAL:","VESSEL TARGET "&amp;'RAW DATA'!$E$2&amp;":",IF('RAW DATA'!$E148&lt;&gt;"",'RAW DATA'!$E148,"")))</f>
        <v/>
      </c>
      <c r="E148" s="29" t="str">
        <f t="shared" si="4"/>
        <v/>
      </c>
      <c r="F148" s="4" t="str">
        <f>IF($D147="TOTAL:",FIXED(ROUND(((SUM($F$4:$F146)/'RAW DATA'!$E$2)*100),1),1)&amp;"%",IF($D148="TOTAL:",SUM($F$4:$F147),IF(SUMIF('RAW DATA'!M:M,'RAW DATA'!B148,'RAW DATA'!H:H)=0,"",SUMIF('RAW DATA'!M:M,'RAW DATA'!B148,'RAW DATA'!H:H))))</f>
        <v/>
      </c>
      <c r="G148" s="4" t="str">
        <f>IF($D147="TOTAL:",FIXED(ROUND(((SUM($G$4:$G146)/'RAW DATA'!$E$2)*100),1),1)&amp;"%",IF($D148="TOTAL:",SUM($G$4:$G147),IF(SUMIF('RAW DATA'!M:M,'RAW DATA'!B148,'RAW DATA'!I:I)=0,"",SUMIF('RAW DATA'!M:M,'RAW DATA'!B148,'RAW DATA'!I:I))))</f>
        <v/>
      </c>
      <c r="H148" s="4" t="str">
        <f>IF(SUM(SUMIF('RAW DATA'!M:M,'RAW DATA'!B148,'RAW DATA'!J:J),SUMIF('RAW DATA'!N:N,'RAW DATA'!B148,'RAW DATA'!J:J),SUMIF('RAW DATA'!O:O,'RAW DATA'!B148,'RAW DATA'!J:J),SUMIF('RAW DATA'!P:P,'RAW DATA'!B148,'RAW DATA'!J:J))=0, "", SUM(SUMIF('RAW DATA'!M:M,'RAW DATA'!B148,'RAW DATA'!J:J),SUMIF('RAW DATA'!N:N,'RAW DATA'!B148,'RAW DATA'!J:J),SUMIF('RAW DATA'!O:O,'RAW DATA'!B148,'RAW DATA'!J:J),SUMIF('RAW DATA'!P:P,'RAW DATA'!B148,'RAW DATA'!J:J)))</f>
        <v/>
      </c>
      <c r="I148" s="4" t="str">
        <f>IF(SUMIF('RAW DATA'!M:M,'RAW DATA'!B148, 'RAW DATA'!K:K)=0, "", SUMIF('RAW DATA'!M:M,'RAW DATA'!B148, 'RAW DATA'!K:K))</f>
        <v/>
      </c>
      <c r="J148" s="29" t="str">
        <f>IF('RAW DATA'!B148&lt;&gt;"",IF(OR('RAW DATA'!H148=1,'RAW DATA'!H148=2),1,IF(ISNUMBER(FIND("Medic",'RAW DATA'!E148)),1,"")),"")</f>
        <v/>
      </c>
      <c r="K148" s="29" t="str">
        <f>IF(AND('RAW DATA'!$B148&lt;&gt;"",'RAW DATA'!L148=1),1,"")</f>
        <v/>
      </c>
      <c r="L148" s="24" t="str">
        <f t="shared" si="5"/>
        <v/>
      </c>
    </row>
    <row r="149" spans="2:12" x14ac:dyDescent="0.25">
      <c r="B149" s="1" t="str">
        <f>IF('RAW DATA'!$C149&lt;&gt;"",'RAW DATA'!$C149,"")</f>
        <v/>
      </c>
      <c r="C149" s="1" t="str">
        <f>IF('RAW DATA'!$D149&lt;&gt;"",'RAW DATA'!$D149,"")</f>
        <v/>
      </c>
      <c r="D149" s="1" t="str">
        <f>IF(AND($B148&lt;&gt;"", $B149=""), "TOTAL:", IF($D148="TOTAL:","VESSEL TARGET "&amp;'RAW DATA'!$E$2&amp;":",IF('RAW DATA'!$E149&lt;&gt;"",'RAW DATA'!$E149,"")))</f>
        <v/>
      </c>
      <c r="E149" s="29" t="str">
        <f t="shared" si="4"/>
        <v/>
      </c>
      <c r="F149" s="4" t="str">
        <f>IF($D148="TOTAL:",FIXED(ROUND(((SUM($F$4:$F147)/'RAW DATA'!$E$2)*100),1),1)&amp;"%",IF($D149="TOTAL:",SUM($F$4:$F148),IF(SUMIF('RAW DATA'!M:M,'RAW DATA'!B149,'RAW DATA'!H:H)=0,"",SUMIF('RAW DATA'!M:M,'RAW DATA'!B149,'RAW DATA'!H:H))))</f>
        <v/>
      </c>
      <c r="G149" s="4" t="str">
        <f>IF($D148="TOTAL:",FIXED(ROUND(((SUM($G$4:$G147)/'RAW DATA'!$E$2)*100),1),1)&amp;"%",IF($D149="TOTAL:",SUM($G$4:$G148),IF(SUMIF('RAW DATA'!M:M,'RAW DATA'!B149,'RAW DATA'!I:I)=0,"",SUMIF('RAW DATA'!M:M,'RAW DATA'!B149,'RAW DATA'!I:I))))</f>
        <v/>
      </c>
      <c r="H149" s="4" t="str">
        <f>IF(SUM(SUMIF('RAW DATA'!M:M,'RAW DATA'!B149,'RAW DATA'!J:J),SUMIF('RAW DATA'!N:N,'RAW DATA'!B149,'RAW DATA'!J:J),SUMIF('RAW DATA'!O:O,'RAW DATA'!B149,'RAW DATA'!J:J),SUMIF('RAW DATA'!P:P,'RAW DATA'!B149,'RAW DATA'!J:J))=0, "", SUM(SUMIF('RAW DATA'!M:M,'RAW DATA'!B149,'RAW DATA'!J:J),SUMIF('RAW DATA'!N:N,'RAW DATA'!B149,'RAW DATA'!J:J),SUMIF('RAW DATA'!O:O,'RAW DATA'!B149,'RAW DATA'!J:J),SUMIF('RAW DATA'!P:P,'RAW DATA'!B149,'RAW DATA'!J:J)))</f>
        <v/>
      </c>
      <c r="I149" s="4" t="str">
        <f>IF(SUMIF('RAW DATA'!M:M,'RAW DATA'!B149, 'RAW DATA'!K:K)=0, "", SUMIF('RAW DATA'!M:M,'RAW DATA'!B149, 'RAW DATA'!K:K))</f>
        <v/>
      </c>
      <c r="J149" s="29" t="str">
        <f>IF('RAW DATA'!B149&lt;&gt;"",IF(OR('RAW DATA'!H149=1,'RAW DATA'!H149=2),1,IF(ISNUMBER(FIND("Medic",'RAW DATA'!E149)),1,"")),"")</f>
        <v/>
      </c>
      <c r="K149" s="29" t="str">
        <f>IF(AND('RAW DATA'!$B149&lt;&gt;"",'RAW DATA'!L149=1),1,"")</f>
        <v/>
      </c>
      <c r="L149" s="24" t="str">
        <f t="shared" si="5"/>
        <v/>
      </c>
    </row>
    <row r="150" spans="2:12" x14ac:dyDescent="0.25">
      <c r="B150" s="1" t="str">
        <f>IF('RAW DATA'!$C150&lt;&gt;"",'RAW DATA'!$C150,"")</f>
        <v/>
      </c>
      <c r="C150" s="1" t="str">
        <f>IF('RAW DATA'!$D150&lt;&gt;"",'RAW DATA'!$D150,"")</f>
        <v/>
      </c>
      <c r="D150" s="1" t="str">
        <f>IF(AND($B149&lt;&gt;"", $B150=""), "TOTAL:", IF($D149="TOTAL:","VESSEL TARGET "&amp;'RAW DATA'!$E$2&amp;":",IF('RAW DATA'!$E150&lt;&gt;"",'RAW DATA'!$E150,"")))</f>
        <v/>
      </c>
      <c r="E150" s="29" t="str">
        <f t="shared" si="4"/>
        <v/>
      </c>
      <c r="F150" s="4" t="str">
        <f>IF($D149="TOTAL:",FIXED(ROUND(((SUM($F$4:$F148)/'RAW DATA'!$E$2)*100),1),1)&amp;"%",IF($D150="TOTAL:",SUM($F$4:$F149),IF(SUMIF('RAW DATA'!M:M,'RAW DATA'!B150,'RAW DATA'!H:H)=0,"",SUMIF('RAW DATA'!M:M,'RAW DATA'!B150,'RAW DATA'!H:H))))</f>
        <v/>
      </c>
      <c r="G150" s="4" t="str">
        <f>IF($D149="TOTAL:",FIXED(ROUND(((SUM($G$4:$G148)/'RAW DATA'!$E$2)*100),1),1)&amp;"%",IF($D150="TOTAL:",SUM($G$4:$G149),IF(SUMIF('RAW DATA'!M:M,'RAW DATA'!B150,'RAW DATA'!I:I)=0,"",SUMIF('RAW DATA'!M:M,'RAW DATA'!B150,'RAW DATA'!I:I))))</f>
        <v/>
      </c>
      <c r="H150" s="4" t="str">
        <f>IF(SUM(SUMIF('RAW DATA'!M:M,'RAW DATA'!B150,'RAW DATA'!J:J),SUMIF('RAW DATA'!N:N,'RAW DATA'!B150,'RAW DATA'!J:J),SUMIF('RAW DATA'!O:O,'RAW DATA'!B150,'RAW DATA'!J:J),SUMIF('RAW DATA'!P:P,'RAW DATA'!B150,'RAW DATA'!J:J))=0, "", SUM(SUMIF('RAW DATA'!M:M,'RAW DATA'!B150,'RAW DATA'!J:J),SUMIF('RAW DATA'!N:N,'RAW DATA'!B150,'RAW DATA'!J:J),SUMIF('RAW DATA'!O:O,'RAW DATA'!B150,'RAW DATA'!J:J),SUMIF('RAW DATA'!P:P,'RAW DATA'!B150,'RAW DATA'!J:J)))</f>
        <v/>
      </c>
      <c r="I150" s="4" t="str">
        <f>IF(SUMIF('RAW DATA'!M:M,'RAW DATA'!B150, 'RAW DATA'!K:K)=0, "", SUMIF('RAW DATA'!M:M,'RAW DATA'!B150, 'RAW DATA'!K:K))</f>
        <v/>
      </c>
      <c r="J150" s="29" t="str">
        <f>IF('RAW DATA'!B150&lt;&gt;"",IF(OR('RAW DATA'!H150=1,'RAW DATA'!H150=2),1,IF(ISNUMBER(FIND("Medic",'RAW DATA'!E150)),1,"")),"")</f>
        <v/>
      </c>
      <c r="K150" s="29" t="str">
        <f>IF(AND('RAW DATA'!$B150&lt;&gt;"",'RAW DATA'!L150=1),1,"")</f>
        <v/>
      </c>
      <c r="L150" s="24" t="str">
        <f t="shared" si="5"/>
        <v/>
      </c>
    </row>
    <row r="151" spans="2:12" x14ac:dyDescent="0.25">
      <c r="B151" s="1" t="str">
        <f>IF('RAW DATA'!$C151&lt;&gt;"",'RAW DATA'!$C151,"")</f>
        <v/>
      </c>
      <c r="C151" s="1" t="str">
        <f>IF('RAW DATA'!$D151&lt;&gt;"",'RAW DATA'!$D151,"")</f>
        <v/>
      </c>
      <c r="D151" s="1" t="str">
        <f>IF(AND($B150&lt;&gt;"", $B151=""), "TOTAL:", IF($D150="TOTAL:","VESSEL TARGET "&amp;'RAW DATA'!$E$2&amp;":",IF('RAW DATA'!$E151&lt;&gt;"",'RAW DATA'!$E151,"")))</f>
        <v/>
      </c>
      <c r="E151" s="29" t="str">
        <f t="shared" si="4"/>
        <v/>
      </c>
      <c r="F151" s="4" t="str">
        <f>IF($D150="TOTAL:",FIXED(ROUND(((SUM($F$4:$F149)/'RAW DATA'!$E$2)*100),1),1)&amp;"%",IF($D151="TOTAL:",SUM($F$4:$F150),IF(SUMIF('RAW DATA'!M:M,'RAW DATA'!B151,'RAW DATA'!H:H)=0,"",SUMIF('RAW DATA'!M:M,'RAW DATA'!B151,'RAW DATA'!H:H))))</f>
        <v/>
      </c>
      <c r="G151" s="4" t="str">
        <f>IF($D150="TOTAL:",FIXED(ROUND(((SUM($G$4:$G149)/'RAW DATA'!$E$2)*100),1),1)&amp;"%",IF($D151="TOTAL:",SUM($G$4:$G150),IF(SUMIF('RAW DATA'!M:M,'RAW DATA'!B151,'RAW DATA'!I:I)=0,"",SUMIF('RAW DATA'!M:M,'RAW DATA'!B151,'RAW DATA'!I:I))))</f>
        <v/>
      </c>
      <c r="H151" s="4" t="str">
        <f>IF(SUM(SUMIF('RAW DATA'!M:M,'RAW DATA'!B151,'RAW DATA'!J:J),SUMIF('RAW DATA'!N:N,'RAW DATA'!B151,'RAW DATA'!J:J),SUMIF('RAW DATA'!O:O,'RAW DATA'!B151,'RAW DATA'!J:J),SUMIF('RAW DATA'!P:P,'RAW DATA'!B151,'RAW DATA'!J:J))=0, "", SUM(SUMIF('RAW DATA'!M:M,'RAW DATA'!B151,'RAW DATA'!J:J),SUMIF('RAW DATA'!N:N,'RAW DATA'!B151,'RAW DATA'!J:J),SUMIF('RAW DATA'!O:O,'RAW DATA'!B151,'RAW DATA'!J:J),SUMIF('RAW DATA'!P:P,'RAW DATA'!B151,'RAW DATA'!J:J)))</f>
        <v/>
      </c>
      <c r="I151" s="4" t="str">
        <f>IF(SUMIF('RAW DATA'!M:M,'RAW DATA'!B151, 'RAW DATA'!K:K)=0, "", SUMIF('RAW DATA'!M:M,'RAW DATA'!B151, 'RAW DATA'!K:K))</f>
        <v/>
      </c>
      <c r="J151" s="29" t="str">
        <f>IF('RAW DATA'!B151&lt;&gt;"",IF(OR('RAW DATA'!H151=1,'RAW DATA'!H151=2),1,IF(ISNUMBER(FIND("Medic",'RAW DATA'!E151)),1,"")),"")</f>
        <v/>
      </c>
      <c r="K151" s="29" t="str">
        <f>IF(AND('RAW DATA'!$B151&lt;&gt;"",'RAW DATA'!L151=1),1,"")</f>
        <v/>
      </c>
      <c r="L151" s="24" t="str">
        <f t="shared" si="5"/>
        <v/>
      </c>
    </row>
    <row r="152" spans="2:12" x14ac:dyDescent="0.25">
      <c r="B152" s="1" t="str">
        <f>IF('RAW DATA'!$C152&lt;&gt;"",'RAW DATA'!$C152,"")</f>
        <v/>
      </c>
      <c r="C152" s="1" t="str">
        <f>IF('RAW DATA'!$D152&lt;&gt;"",'RAW DATA'!$D152,"")</f>
        <v/>
      </c>
      <c r="D152" s="1" t="str">
        <f>IF(AND($B151&lt;&gt;"", $B152=""), "TOTAL:", IF($D151="TOTAL:","VESSEL TARGET "&amp;'RAW DATA'!$E$2&amp;":",IF('RAW DATA'!$E152&lt;&gt;"",'RAW DATA'!$E152,"")))</f>
        <v/>
      </c>
      <c r="E152" s="29" t="str">
        <f t="shared" si="4"/>
        <v/>
      </c>
      <c r="F152" s="4" t="str">
        <f>IF($D151="TOTAL:",FIXED(ROUND(((SUM($F$4:$F150)/'RAW DATA'!$E$2)*100),1),1)&amp;"%",IF($D152="TOTAL:",SUM($F$4:$F151),IF(SUMIF('RAW DATA'!M:M,'RAW DATA'!B152,'RAW DATA'!H:H)=0,"",SUMIF('RAW DATA'!M:M,'RAW DATA'!B152,'RAW DATA'!H:H))))</f>
        <v/>
      </c>
      <c r="G152" s="4" t="str">
        <f>IF($D151="TOTAL:",FIXED(ROUND(((SUM($G$4:$G150)/'RAW DATA'!$E$2)*100),1),1)&amp;"%",IF($D152="TOTAL:",SUM($G$4:$G151),IF(SUMIF('RAW DATA'!M:M,'RAW DATA'!B152,'RAW DATA'!I:I)=0,"",SUMIF('RAW DATA'!M:M,'RAW DATA'!B152,'RAW DATA'!I:I))))</f>
        <v/>
      </c>
      <c r="H152" s="4" t="str">
        <f>IF(SUM(SUMIF('RAW DATA'!M:M,'RAW DATA'!B152,'RAW DATA'!J:J),SUMIF('RAW DATA'!N:N,'RAW DATA'!B152,'RAW DATA'!J:J),SUMIF('RAW DATA'!O:O,'RAW DATA'!B152,'RAW DATA'!J:J),SUMIF('RAW DATA'!P:P,'RAW DATA'!B152,'RAW DATA'!J:J))=0, "", SUM(SUMIF('RAW DATA'!M:M,'RAW DATA'!B152,'RAW DATA'!J:J),SUMIF('RAW DATA'!N:N,'RAW DATA'!B152,'RAW DATA'!J:J),SUMIF('RAW DATA'!O:O,'RAW DATA'!B152,'RAW DATA'!J:J),SUMIF('RAW DATA'!P:P,'RAW DATA'!B152,'RAW DATA'!J:J)))</f>
        <v/>
      </c>
      <c r="I152" s="4" t="str">
        <f>IF(SUMIF('RAW DATA'!M:M,'RAW DATA'!B152, 'RAW DATA'!K:K)=0, "", SUMIF('RAW DATA'!M:M,'RAW DATA'!B152, 'RAW DATA'!K:K))</f>
        <v/>
      </c>
      <c r="J152" s="29" t="str">
        <f>IF('RAW DATA'!B152&lt;&gt;"",IF(OR('RAW DATA'!H152=1,'RAW DATA'!H152=2),1,IF(ISNUMBER(FIND("Medic",'RAW DATA'!E152)),1,"")),"")</f>
        <v/>
      </c>
      <c r="K152" s="29" t="str">
        <f>IF(AND('RAW DATA'!$B152&lt;&gt;"",'RAW DATA'!L152=1),1,"")</f>
        <v/>
      </c>
      <c r="L152" s="24" t="str">
        <f t="shared" si="5"/>
        <v/>
      </c>
    </row>
    <row r="153" spans="2:12" x14ac:dyDescent="0.25">
      <c r="B153" s="1" t="str">
        <f>IF('RAW DATA'!$C153&lt;&gt;"",'RAW DATA'!$C153,"")</f>
        <v/>
      </c>
      <c r="C153" s="1" t="str">
        <f>IF('RAW DATA'!$D153&lt;&gt;"",'RAW DATA'!$D153,"")</f>
        <v/>
      </c>
      <c r="D153" s="1" t="str">
        <f>IF(AND($B152&lt;&gt;"", $B153=""), "TOTAL:", IF($D152="TOTAL:","VESSEL TARGET "&amp;'RAW DATA'!$E$2&amp;":",IF('RAW DATA'!$E153&lt;&gt;"",'RAW DATA'!$E153,"")))</f>
        <v/>
      </c>
      <c r="E153" s="29" t="str">
        <f t="shared" si="4"/>
        <v/>
      </c>
      <c r="F153" s="4" t="str">
        <f>IF($D152="TOTAL:",FIXED(ROUND(((SUM($F$4:$F151)/'RAW DATA'!$E$2)*100),1),1)&amp;"%",IF($D153="TOTAL:",SUM($F$4:$F152),IF(SUMIF('RAW DATA'!M:M,'RAW DATA'!B153,'RAW DATA'!H:H)=0,"",SUMIF('RAW DATA'!M:M,'RAW DATA'!B153,'RAW DATA'!H:H))))</f>
        <v/>
      </c>
      <c r="G153" s="4" t="str">
        <f>IF($D152="TOTAL:",FIXED(ROUND(((SUM($G$4:$G151)/'RAW DATA'!$E$2)*100),1),1)&amp;"%",IF($D153="TOTAL:",SUM($G$4:$G152),IF(SUMIF('RAW DATA'!M:M,'RAW DATA'!B153,'RAW DATA'!I:I)=0,"",SUMIF('RAW DATA'!M:M,'RAW DATA'!B153,'RAW DATA'!I:I))))</f>
        <v/>
      </c>
      <c r="H153" s="4" t="str">
        <f>IF(SUM(SUMIF('RAW DATA'!M:M,'RAW DATA'!B153,'RAW DATA'!J:J),SUMIF('RAW DATA'!N:N,'RAW DATA'!B153,'RAW DATA'!J:J),SUMIF('RAW DATA'!O:O,'RAW DATA'!B153,'RAW DATA'!J:J),SUMIF('RAW DATA'!P:P,'RAW DATA'!B153,'RAW DATA'!J:J))=0, "", SUM(SUMIF('RAW DATA'!M:M,'RAW DATA'!B153,'RAW DATA'!J:J),SUMIF('RAW DATA'!N:N,'RAW DATA'!B153,'RAW DATA'!J:J),SUMIF('RAW DATA'!O:O,'RAW DATA'!B153,'RAW DATA'!J:J),SUMIF('RAW DATA'!P:P,'RAW DATA'!B153,'RAW DATA'!J:J)))</f>
        <v/>
      </c>
      <c r="I153" s="4" t="str">
        <f>IF(SUMIF('RAW DATA'!M:M,'RAW DATA'!B153, 'RAW DATA'!K:K)=0, "", SUMIF('RAW DATA'!M:M,'RAW DATA'!B153, 'RAW DATA'!K:K))</f>
        <v/>
      </c>
      <c r="J153" s="29" t="str">
        <f>IF('RAW DATA'!B153&lt;&gt;"",IF(OR('RAW DATA'!H153=1,'RAW DATA'!H153=2),1,IF(ISNUMBER(FIND("Medic",'RAW DATA'!E153)),1,"")),"")</f>
        <v/>
      </c>
      <c r="K153" s="29" t="str">
        <f>IF(AND('RAW DATA'!$B153&lt;&gt;"",'RAW DATA'!L153=1),1,"")</f>
        <v/>
      </c>
      <c r="L153" s="24" t="str">
        <f t="shared" si="5"/>
        <v/>
      </c>
    </row>
    <row r="154" spans="2:12" x14ac:dyDescent="0.25">
      <c r="B154" s="1" t="str">
        <f>IF('RAW DATA'!$C154&lt;&gt;"",'RAW DATA'!$C154,"")</f>
        <v/>
      </c>
      <c r="C154" s="1" t="str">
        <f>IF('RAW DATA'!$D154&lt;&gt;"",'RAW DATA'!$D154,"")</f>
        <v/>
      </c>
      <c r="D154" s="1" t="str">
        <f>IF(AND($B153&lt;&gt;"", $B154=""), "TOTAL:", IF($D153="TOTAL:","VESSEL TARGET "&amp;'RAW DATA'!$E$2&amp;":",IF('RAW DATA'!$E154&lt;&gt;"",'RAW DATA'!$E154,"")))</f>
        <v/>
      </c>
      <c r="E154" s="29" t="str">
        <f t="shared" si="4"/>
        <v/>
      </c>
      <c r="F154" s="4" t="str">
        <f>IF($D153="TOTAL:",FIXED(ROUND(((SUM($F$4:$F152)/'RAW DATA'!$E$2)*100),1),1)&amp;"%",IF($D154="TOTAL:",SUM($F$4:$F153),IF(SUMIF('RAW DATA'!M:M,'RAW DATA'!B154,'RAW DATA'!H:H)=0,"",SUMIF('RAW DATA'!M:M,'RAW DATA'!B154,'RAW DATA'!H:H))))</f>
        <v/>
      </c>
      <c r="G154" s="4" t="str">
        <f>IF($D153="TOTAL:",FIXED(ROUND(((SUM($G$4:$G152)/'RAW DATA'!$E$2)*100),1),1)&amp;"%",IF($D154="TOTAL:",SUM($G$4:$G153),IF(SUMIF('RAW DATA'!M:M,'RAW DATA'!B154,'RAW DATA'!I:I)=0,"",SUMIF('RAW DATA'!M:M,'RAW DATA'!B154,'RAW DATA'!I:I))))</f>
        <v/>
      </c>
      <c r="H154" s="4" t="str">
        <f>IF(SUM(SUMIF('RAW DATA'!M:M,'RAW DATA'!B154,'RAW DATA'!J:J),SUMIF('RAW DATA'!N:N,'RAW DATA'!B154,'RAW DATA'!J:J),SUMIF('RAW DATA'!O:O,'RAW DATA'!B154,'RAW DATA'!J:J),SUMIF('RAW DATA'!P:P,'RAW DATA'!B154,'RAW DATA'!J:J))=0, "", SUM(SUMIF('RAW DATA'!M:M,'RAW DATA'!B154,'RAW DATA'!J:J),SUMIF('RAW DATA'!N:N,'RAW DATA'!B154,'RAW DATA'!J:J),SUMIF('RAW DATA'!O:O,'RAW DATA'!B154,'RAW DATA'!J:J),SUMIF('RAW DATA'!P:P,'RAW DATA'!B154,'RAW DATA'!J:J)))</f>
        <v/>
      </c>
      <c r="I154" s="4" t="str">
        <f>IF(SUMIF('RAW DATA'!M:M,'RAW DATA'!B154, 'RAW DATA'!K:K)=0, "", SUMIF('RAW DATA'!M:M,'RAW DATA'!B154, 'RAW DATA'!K:K))</f>
        <v/>
      </c>
      <c r="J154" s="29" t="str">
        <f>IF('RAW DATA'!B154&lt;&gt;"",IF(OR('RAW DATA'!H154=1,'RAW DATA'!H154=2),1,IF(ISNUMBER(FIND("Medic",'RAW DATA'!E154)),1,"")),"")</f>
        <v/>
      </c>
      <c r="K154" s="29" t="str">
        <f>IF(AND('RAW DATA'!$B154&lt;&gt;"",'RAW DATA'!L154=1),1,"")</f>
        <v/>
      </c>
      <c r="L154" s="24" t="str">
        <f t="shared" si="5"/>
        <v/>
      </c>
    </row>
    <row r="155" spans="2:12" x14ac:dyDescent="0.25">
      <c r="B155" s="1" t="str">
        <f>IF('RAW DATA'!$C155&lt;&gt;"",'RAW DATA'!$C155,"")</f>
        <v/>
      </c>
      <c r="C155" s="1" t="str">
        <f>IF('RAW DATA'!$D155&lt;&gt;"",'RAW DATA'!$D155,"")</f>
        <v/>
      </c>
      <c r="D155" s="1" t="str">
        <f>IF(AND($B154&lt;&gt;"", $B155=""), "TOTAL:", IF($D154="TOTAL:","VESSEL TARGET "&amp;'RAW DATA'!$E$2&amp;":",IF('RAW DATA'!$E155&lt;&gt;"",'RAW DATA'!$E155,"")))</f>
        <v/>
      </c>
      <c r="E155" s="29" t="str">
        <f t="shared" si="4"/>
        <v/>
      </c>
      <c r="F155" s="4" t="str">
        <f>IF($D154="TOTAL:",FIXED(ROUND(((SUM($F$4:$F153)/'RAW DATA'!$E$2)*100),1),1)&amp;"%",IF($D155="TOTAL:",SUM($F$4:$F154),IF(SUMIF('RAW DATA'!M:M,'RAW DATA'!B155,'RAW DATA'!H:H)=0,"",SUMIF('RAW DATA'!M:M,'RAW DATA'!B155,'RAW DATA'!H:H))))</f>
        <v/>
      </c>
      <c r="G155" s="4" t="str">
        <f>IF($D154="TOTAL:",FIXED(ROUND(((SUM($G$4:$G153)/'RAW DATA'!$E$2)*100),1),1)&amp;"%",IF($D155="TOTAL:",SUM($G$4:$G154),IF(SUMIF('RAW DATA'!M:M,'RAW DATA'!B155,'RAW DATA'!I:I)=0,"",SUMIF('RAW DATA'!M:M,'RAW DATA'!B155,'RAW DATA'!I:I))))</f>
        <v/>
      </c>
      <c r="H155" s="4" t="str">
        <f>IF(SUM(SUMIF('RAW DATA'!M:M,'RAW DATA'!B155,'RAW DATA'!J:J),SUMIF('RAW DATA'!N:N,'RAW DATA'!B155,'RAW DATA'!J:J),SUMIF('RAW DATA'!O:O,'RAW DATA'!B155,'RAW DATA'!J:J),SUMIF('RAW DATA'!P:P,'RAW DATA'!B155,'RAW DATA'!J:J))=0, "", SUM(SUMIF('RAW DATA'!M:M,'RAW DATA'!B155,'RAW DATA'!J:J),SUMIF('RAW DATA'!N:N,'RAW DATA'!B155,'RAW DATA'!J:J),SUMIF('RAW DATA'!O:O,'RAW DATA'!B155,'RAW DATA'!J:J),SUMIF('RAW DATA'!P:P,'RAW DATA'!B155,'RAW DATA'!J:J)))</f>
        <v/>
      </c>
      <c r="I155" s="4" t="str">
        <f>IF(SUMIF('RAW DATA'!M:M,'RAW DATA'!B155, 'RAW DATA'!K:K)=0, "", SUMIF('RAW DATA'!M:M,'RAW DATA'!B155, 'RAW DATA'!K:K))</f>
        <v/>
      </c>
      <c r="J155" s="29" t="str">
        <f>IF('RAW DATA'!B155&lt;&gt;"",IF(OR('RAW DATA'!H155=1,'RAW DATA'!H155=2),1,IF(ISNUMBER(FIND("Medic",'RAW DATA'!E155)),1,"")),"")</f>
        <v/>
      </c>
      <c r="K155" s="29" t="str">
        <f>IF(AND('RAW DATA'!$B155&lt;&gt;"",'RAW DATA'!L155=1),1,"")</f>
        <v/>
      </c>
      <c r="L155" s="24" t="str">
        <f t="shared" si="5"/>
        <v/>
      </c>
    </row>
    <row r="156" spans="2:12" x14ac:dyDescent="0.25">
      <c r="B156" s="1" t="str">
        <f>IF('RAW DATA'!$C156&lt;&gt;"",'RAW DATA'!$C156,"")</f>
        <v/>
      </c>
      <c r="C156" s="1" t="str">
        <f>IF('RAW DATA'!$D156&lt;&gt;"",'RAW DATA'!$D156,"")</f>
        <v/>
      </c>
      <c r="D156" s="1" t="str">
        <f>IF(AND($B155&lt;&gt;"", $B156=""), "TOTAL:", IF($D155="TOTAL:","VESSEL TARGET "&amp;'RAW DATA'!$E$2&amp;":",IF('RAW DATA'!$E156&lt;&gt;"",'RAW DATA'!$E156,"")))</f>
        <v/>
      </c>
      <c r="E156" s="29" t="str">
        <f t="shared" si="4"/>
        <v/>
      </c>
      <c r="F156" s="4" t="str">
        <f>IF($D155="TOTAL:",FIXED(ROUND(((SUM($F$4:$F154)/'RAW DATA'!$E$2)*100),1),1)&amp;"%",IF($D156="TOTAL:",SUM($F$4:$F155),IF(SUMIF('RAW DATA'!M:M,'RAW DATA'!B156,'RAW DATA'!H:H)=0,"",SUMIF('RAW DATA'!M:M,'RAW DATA'!B156,'RAW DATA'!H:H))))</f>
        <v/>
      </c>
      <c r="G156" s="4" t="str">
        <f>IF($D155="TOTAL:",FIXED(ROUND(((SUM($G$4:$G154)/'RAW DATA'!$E$2)*100),1),1)&amp;"%",IF($D156="TOTAL:",SUM($G$4:$G155),IF(SUMIF('RAW DATA'!M:M,'RAW DATA'!B156,'RAW DATA'!I:I)=0,"",SUMIF('RAW DATA'!M:M,'RAW DATA'!B156,'RAW DATA'!I:I))))</f>
        <v/>
      </c>
      <c r="H156" s="4" t="str">
        <f>IF(SUM(SUMIF('RAW DATA'!M:M,'RAW DATA'!B156,'RAW DATA'!J:J),SUMIF('RAW DATA'!N:N,'RAW DATA'!B156,'RAW DATA'!J:J),SUMIF('RAW DATA'!O:O,'RAW DATA'!B156,'RAW DATA'!J:J),SUMIF('RAW DATA'!P:P,'RAW DATA'!B156,'RAW DATA'!J:J))=0, "", SUM(SUMIF('RAW DATA'!M:M,'RAW DATA'!B156,'RAW DATA'!J:J),SUMIF('RAW DATA'!N:N,'RAW DATA'!B156,'RAW DATA'!J:J),SUMIF('RAW DATA'!O:O,'RAW DATA'!B156,'RAW DATA'!J:J),SUMIF('RAW DATA'!P:P,'RAW DATA'!B156,'RAW DATA'!J:J)))</f>
        <v/>
      </c>
      <c r="I156" s="4" t="str">
        <f>IF(SUMIF('RAW DATA'!M:M,'RAW DATA'!B156, 'RAW DATA'!K:K)=0, "", SUMIF('RAW DATA'!M:M,'RAW DATA'!B156, 'RAW DATA'!K:K))</f>
        <v/>
      </c>
      <c r="J156" s="29" t="str">
        <f>IF('RAW DATA'!B156&lt;&gt;"",IF(OR('RAW DATA'!H156=1,'RAW DATA'!H156=2),1,IF(ISNUMBER(FIND("Medic",'RAW DATA'!E156)),1,"")),"")</f>
        <v/>
      </c>
      <c r="K156" s="29" t="str">
        <f>IF(AND('RAW DATA'!$B156&lt;&gt;"",'RAW DATA'!L156=1),1,"")</f>
        <v/>
      </c>
      <c r="L156" s="24" t="str">
        <f t="shared" si="5"/>
        <v/>
      </c>
    </row>
    <row r="157" spans="2:12" x14ac:dyDescent="0.25">
      <c r="B157" s="1" t="str">
        <f>IF('RAW DATA'!$C157&lt;&gt;"",'RAW DATA'!$C157,"")</f>
        <v/>
      </c>
      <c r="C157" s="1" t="str">
        <f>IF('RAW DATA'!$D157&lt;&gt;"",'RAW DATA'!$D157,"")</f>
        <v/>
      </c>
      <c r="D157" s="1" t="str">
        <f>IF(AND($B156&lt;&gt;"", $B157=""), "TOTAL:", IF($D156="TOTAL:","VESSEL TARGET "&amp;'RAW DATA'!$E$2&amp;":",IF('RAW DATA'!$E157&lt;&gt;"",'RAW DATA'!$E157,"")))</f>
        <v/>
      </c>
      <c r="E157" s="29" t="str">
        <f t="shared" si="4"/>
        <v/>
      </c>
      <c r="F157" s="4" t="str">
        <f>IF($D156="TOTAL:",FIXED(ROUND(((SUM($F$4:$F155)/'RAW DATA'!$E$2)*100),1),1)&amp;"%",IF($D157="TOTAL:",SUM($F$4:$F156),IF(SUMIF('RAW DATA'!M:M,'RAW DATA'!B157,'RAW DATA'!H:H)=0,"",SUMIF('RAW DATA'!M:M,'RAW DATA'!B157,'RAW DATA'!H:H))))</f>
        <v/>
      </c>
      <c r="G157" s="4" t="str">
        <f>IF($D156="TOTAL:",FIXED(ROUND(((SUM($G$4:$G155)/'RAW DATA'!$E$2)*100),1),1)&amp;"%",IF($D157="TOTAL:",SUM($G$4:$G156),IF(SUMIF('RAW DATA'!M:M,'RAW DATA'!B157,'RAW DATA'!I:I)=0,"",SUMIF('RAW DATA'!M:M,'RAW DATA'!B157,'RAW DATA'!I:I))))</f>
        <v/>
      </c>
      <c r="H157" s="4" t="str">
        <f>IF(SUM(SUMIF('RAW DATA'!M:M,'RAW DATA'!B157,'RAW DATA'!J:J),SUMIF('RAW DATA'!N:N,'RAW DATA'!B157,'RAW DATA'!J:J),SUMIF('RAW DATA'!O:O,'RAW DATA'!B157,'RAW DATA'!J:J),SUMIF('RAW DATA'!P:P,'RAW DATA'!B157,'RAW DATA'!J:J))=0, "", SUM(SUMIF('RAW DATA'!M:M,'RAW DATA'!B157,'RAW DATA'!J:J),SUMIF('RAW DATA'!N:N,'RAW DATA'!B157,'RAW DATA'!J:J),SUMIF('RAW DATA'!O:O,'RAW DATA'!B157,'RAW DATA'!J:J),SUMIF('RAW DATA'!P:P,'RAW DATA'!B157,'RAW DATA'!J:J)))</f>
        <v/>
      </c>
      <c r="I157" s="4" t="str">
        <f>IF(SUMIF('RAW DATA'!M:M,'RAW DATA'!B157, 'RAW DATA'!K:K)=0, "", SUMIF('RAW DATA'!M:M,'RAW DATA'!B157, 'RAW DATA'!K:K))</f>
        <v/>
      </c>
      <c r="J157" s="29" t="str">
        <f>IF('RAW DATA'!B157&lt;&gt;"",IF(OR('RAW DATA'!H157=1,'RAW DATA'!H157=2),1,IF(ISNUMBER(FIND("Medic",'RAW DATA'!E157)),1,"")),"")</f>
        <v/>
      </c>
      <c r="K157" s="29" t="str">
        <f>IF(AND('RAW DATA'!$B157&lt;&gt;"",'RAW DATA'!L157=1),1,"")</f>
        <v/>
      </c>
      <c r="L157" s="24" t="str">
        <f t="shared" si="5"/>
        <v/>
      </c>
    </row>
    <row r="158" spans="2:12" x14ac:dyDescent="0.25">
      <c r="B158" s="1" t="str">
        <f>IF('RAW DATA'!$C158&lt;&gt;"",'RAW DATA'!$C158,"")</f>
        <v/>
      </c>
      <c r="C158" s="1" t="str">
        <f>IF('RAW DATA'!$D158&lt;&gt;"",'RAW DATA'!$D158,"")</f>
        <v/>
      </c>
      <c r="D158" s="1" t="str">
        <f>IF(AND($B157&lt;&gt;"", $B158=""), "TOTAL:", IF($D157="TOTAL:","VESSEL TARGET "&amp;'RAW DATA'!$E$2&amp;":",IF('RAW DATA'!$E158&lt;&gt;"",'RAW DATA'!$E158,"")))</f>
        <v/>
      </c>
      <c r="E158" s="29" t="str">
        <f t="shared" si="4"/>
        <v/>
      </c>
      <c r="F158" s="4" t="str">
        <f>IF($D157="TOTAL:",FIXED(ROUND(((SUM($F$4:$F156)/'RAW DATA'!$E$2)*100),1),1)&amp;"%",IF($D158="TOTAL:",SUM($F$4:$F157),IF(SUMIF('RAW DATA'!M:M,'RAW DATA'!B158,'RAW DATA'!H:H)=0,"",SUMIF('RAW DATA'!M:M,'RAW DATA'!B158,'RAW DATA'!H:H))))</f>
        <v/>
      </c>
      <c r="G158" s="4" t="str">
        <f>IF($D157="TOTAL:",FIXED(ROUND(((SUM($G$4:$G156)/'RAW DATA'!$E$2)*100),1),1)&amp;"%",IF($D158="TOTAL:",SUM($G$4:$G157),IF(SUMIF('RAW DATA'!M:M,'RAW DATA'!B158,'RAW DATA'!I:I)=0,"",SUMIF('RAW DATA'!M:M,'RAW DATA'!B158,'RAW DATA'!I:I))))</f>
        <v/>
      </c>
      <c r="H158" s="4" t="str">
        <f>IF(SUM(SUMIF('RAW DATA'!M:M,'RAW DATA'!B158,'RAW DATA'!J:J),SUMIF('RAW DATA'!N:N,'RAW DATA'!B158,'RAW DATA'!J:J),SUMIF('RAW DATA'!O:O,'RAW DATA'!B158,'RAW DATA'!J:J),SUMIF('RAW DATA'!P:P,'RAW DATA'!B158,'RAW DATA'!J:J))=0, "", SUM(SUMIF('RAW DATA'!M:M,'RAW DATA'!B158,'RAW DATA'!J:J),SUMIF('RAW DATA'!N:N,'RAW DATA'!B158,'RAW DATA'!J:J),SUMIF('RAW DATA'!O:O,'RAW DATA'!B158,'RAW DATA'!J:J),SUMIF('RAW DATA'!P:P,'RAW DATA'!B158,'RAW DATA'!J:J)))</f>
        <v/>
      </c>
      <c r="I158" s="4" t="str">
        <f>IF(SUMIF('RAW DATA'!M:M,'RAW DATA'!B158, 'RAW DATA'!K:K)=0, "", SUMIF('RAW DATA'!M:M,'RAW DATA'!B158, 'RAW DATA'!K:K))</f>
        <v/>
      </c>
      <c r="J158" s="29" t="str">
        <f>IF('RAW DATA'!B158&lt;&gt;"",IF(OR('RAW DATA'!H158=1,'RAW DATA'!H158=2),1,IF(ISNUMBER(FIND("Medic",'RAW DATA'!E158)),1,"")),"")</f>
        <v/>
      </c>
      <c r="K158" s="29" t="str">
        <f>IF(AND('RAW DATA'!$B158&lt;&gt;"",'RAW DATA'!L158=1),1,"")</f>
        <v/>
      </c>
      <c r="L158" s="24" t="str">
        <f t="shared" si="5"/>
        <v/>
      </c>
    </row>
    <row r="159" spans="2:12" x14ac:dyDescent="0.25">
      <c r="B159" s="1" t="str">
        <f>IF('RAW DATA'!$C159&lt;&gt;"",'RAW DATA'!$C159,"")</f>
        <v/>
      </c>
      <c r="C159" s="1" t="str">
        <f>IF('RAW DATA'!$D159&lt;&gt;"",'RAW DATA'!$D159,"")</f>
        <v/>
      </c>
      <c r="D159" s="1" t="str">
        <f>IF(AND($B158&lt;&gt;"", $B159=""), "TOTAL:", IF($D158="TOTAL:","VESSEL TARGET "&amp;'RAW DATA'!$E$2&amp;":",IF('RAW DATA'!$E159&lt;&gt;"",'RAW DATA'!$E159,"")))</f>
        <v/>
      </c>
      <c r="E159" s="29" t="str">
        <f t="shared" si="4"/>
        <v/>
      </c>
      <c r="F159" s="4" t="str">
        <f>IF($D158="TOTAL:",FIXED(ROUND(((SUM($F$4:$F157)/'RAW DATA'!$E$2)*100),1),1)&amp;"%",IF($D159="TOTAL:",SUM($F$4:$F158),IF(SUMIF('RAW DATA'!M:M,'RAW DATA'!B159,'RAW DATA'!H:H)=0,"",SUMIF('RAW DATA'!M:M,'RAW DATA'!B159,'RAW DATA'!H:H))))</f>
        <v/>
      </c>
      <c r="G159" s="4" t="str">
        <f>IF($D158="TOTAL:",FIXED(ROUND(((SUM($G$4:$G157)/'RAW DATA'!$E$2)*100),1),1)&amp;"%",IF($D159="TOTAL:",SUM($G$4:$G158),IF(SUMIF('RAW DATA'!M:M,'RAW DATA'!B159,'RAW DATA'!I:I)=0,"",SUMIF('RAW DATA'!M:M,'RAW DATA'!B159,'RAW DATA'!I:I))))</f>
        <v/>
      </c>
      <c r="H159" s="4" t="str">
        <f>IF(SUM(SUMIF('RAW DATA'!M:M,'RAW DATA'!B159,'RAW DATA'!J:J),SUMIF('RAW DATA'!N:N,'RAW DATA'!B159,'RAW DATA'!J:J),SUMIF('RAW DATA'!O:O,'RAW DATA'!B159,'RAW DATA'!J:J),SUMIF('RAW DATA'!P:P,'RAW DATA'!B159,'RAW DATA'!J:J))=0, "", SUM(SUMIF('RAW DATA'!M:M,'RAW DATA'!B159,'RAW DATA'!J:J),SUMIF('RAW DATA'!N:N,'RAW DATA'!B159,'RAW DATA'!J:J),SUMIF('RAW DATA'!O:O,'RAW DATA'!B159,'RAW DATA'!J:J),SUMIF('RAW DATA'!P:P,'RAW DATA'!B159,'RAW DATA'!J:J)))</f>
        <v/>
      </c>
      <c r="I159" s="4" t="str">
        <f>IF(SUMIF('RAW DATA'!M:M,'RAW DATA'!B159, 'RAW DATA'!K:K)=0, "", SUMIF('RAW DATA'!M:M,'RAW DATA'!B159, 'RAW DATA'!K:K))</f>
        <v/>
      </c>
      <c r="J159" s="29" t="str">
        <f>IF('RAW DATA'!B159&lt;&gt;"",IF(OR('RAW DATA'!H159=1,'RAW DATA'!H159=2),1,IF(ISNUMBER(FIND("Medic",'RAW DATA'!E159)),1,"")),"")</f>
        <v/>
      </c>
      <c r="K159" s="29" t="str">
        <f>IF(AND('RAW DATA'!$B159&lt;&gt;"",'RAW DATA'!L159=1),1,"")</f>
        <v/>
      </c>
      <c r="L159" s="24" t="str">
        <f t="shared" si="5"/>
        <v/>
      </c>
    </row>
    <row r="160" spans="2:12" x14ac:dyDescent="0.25">
      <c r="B160" s="1" t="str">
        <f>IF('RAW DATA'!$C160&lt;&gt;"",'RAW DATA'!$C160,"")</f>
        <v/>
      </c>
      <c r="C160" s="1" t="str">
        <f>IF('RAW DATA'!$D160&lt;&gt;"",'RAW DATA'!$D160,"")</f>
        <v/>
      </c>
      <c r="D160" s="1" t="str">
        <f>IF(AND($B159&lt;&gt;"", $B160=""), "TOTAL:", IF($D159="TOTAL:","VESSEL TARGET "&amp;'RAW DATA'!$E$2&amp;":",IF('RAW DATA'!$E160&lt;&gt;"",'RAW DATA'!$E160,"")))</f>
        <v/>
      </c>
      <c r="E160" s="29" t="str">
        <f t="shared" si="4"/>
        <v/>
      </c>
      <c r="F160" s="4" t="str">
        <f>IF($D159="TOTAL:",FIXED(ROUND(((SUM($F$4:$F158)/'RAW DATA'!$E$2)*100),1),1)&amp;"%",IF($D160="TOTAL:",SUM($F$4:$F159),IF(SUMIF('RAW DATA'!M:M,'RAW DATA'!B160,'RAW DATA'!H:H)=0,"",SUMIF('RAW DATA'!M:M,'RAW DATA'!B160,'RAW DATA'!H:H))))</f>
        <v/>
      </c>
      <c r="G160" s="4" t="str">
        <f>IF($D159="TOTAL:",FIXED(ROUND(((SUM($G$4:$G158)/'RAW DATA'!$E$2)*100),1),1)&amp;"%",IF($D160="TOTAL:",SUM($G$4:$G159),IF(SUMIF('RAW DATA'!M:M,'RAW DATA'!B160,'RAW DATA'!I:I)=0,"",SUMIF('RAW DATA'!M:M,'RAW DATA'!B160,'RAW DATA'!I:I))))</f>
        <v/>
      </c>
      <c r="H160" s="4" t="str">
        <f>IF(SUM(SUMIF('RAW DATA'!M:M,'RAW DATA'!B160,'RAW DATA'!J:J),SUMIF('RAW DATA'!N:N,'RAW DATA'!B160,'RAW DATA'!J:J),SUMIF('RAW DATA'!O:O,'RAW DATA'!B160,'RAW DATA'!J:J),SUMIF('RAW DATA'!P:P,'RAW DATA'!B160,'RAW DATA'!J:J))=0, "", SUM(SUMIF('RAW DATA'!M:M,'RAW DATA'!B160,'RAW DATA'!J:J),SUMIF('RAW DATA'!N:N,'RAW DATA'!B160,'RAW DATA'!J:J),SUMIF('RAW DATA'!O:O,'RAW DATA'!B160,'RAW DATA'!J:J),SUMIF('RAW DATA'!P:P,'RAW DATA'!B160,'RAW DATA'!J:J)))</f>
        <v/>
      </c>
      <c r="I160" s="4" t="str">
        <f>IF(SUMIF('RAW DATA'!M:M,'RAW DATA'!B160, 'RAW DATA'!K:K)=0, "", SUMIF('RAW DATA'!M:M,'RAW DATA'!B160, 'RAW DATA'!K:K))</f>
        <v/>
      </c>
      <c r="J160" s="29" t="str">
        <f>IF('RAW DATA'!B160&lt;&gt;"",IF(OR('RAW DATA'!H160=1,'RAW DATA'!H160=2),1,IF(ISNUMBER(FIND("Medic",'RAW DATA'!E160)),1,"")),"")</f>
        <v/>
      </c>
      <c r="K160" s="29" t="str">
        <f>IF(AND('RAW DATA'!$B160&lt;&gt;"",'RAW DATA'!L160=1),1,"")</f>
        <v/>
      </c>
      <c r="L160" s="24" t="str">
        <f t="shared" si="5"/>
        <v/>
      </c>
    </row>
    <row r="161" spans="2:12" x14ac:dyDescent="0.25">
      <c r="B161" s="1" t="str">
        <f>IF('RAW DATA'!$C161&lt;&gt;"",'RAW DATA'!$C161,"")</f>
        <v/>
      </c>
      <c r="C161" s="1" t="str">
        <f>IF('RAW DATA'!$D161&lt;&gt;"",'RAW DATA'!$D161,"")</f>
        <v/>
      </c>
      <c r="D161" s="1" t="str">
        <f>IF(AND($B160&lt;&gt;"", $B161=""), "TOTAL:", IF($D160="TOTAL:","VESSEL TARGET "&amp;'RAW DATA'!$E$2&amp;":",IF('RAW DATA'!$E161&lt;&gt;"",'RAW DATA'!$E161,"")))</f>
        <v/>
      </c>
      <c r="E161" s="29" t="str">
        <f t="shared" si="4"/>
        <v/>
      </c>
      <c r="F161" s="4" t="str">
        <f>IF($D160="TOTAL:",FIXED(ROUND(((SUM($F$4:$F159)/'RAW DATA'!$E$2)*100),1),1)&amp;"%",IF($D161="TOTAL:",SUM($F$4:$F160),IF(SUMIF('RAW DATA'!M:M,'RAW DATA'!B161,'RAW DATA'!H:H)=0,"",SUMIF('RAW DATA'!M:M,'RAW DATA'!B161,'RAW DATA'!H:H))))</f>
        <v/>
      </c>
      <c r="G161" s="4" t="str">
        <f>IF($D160="TOTAL:",FIXED(ROUND(((SUM($G$4:$G159)/'RAW DATA'!$E$2)*100),1),1)&amp;"%",IF($D161="TOTAL:",SUM($G$4:$G160),IF(SUMIF('RAW DATA'!M:M,'RAW DATA'!B161,'RAW DATA'!I:I)=0,"",SUMIF('RAW DATA'!M:M,'RAW DATA'!B161,'RAW DATA'!I:I))))</f>
        <v/>
      </c>
      <c r="H161" s="4" t="str">
        <f>IF(SUM(SUMIF('RAW DATA'!M:M,'RAW DATA'!B161,'RAW DATA'!J:J),SUMIF('RAW DATA'!N:N,'RAW DATA'!B161,'RAW DATA'!J:J),SUMIF('RAW DATA'!O:O,'RAW DATA'!B161,'RAW DATA'!J:J),SUMIF('RAW DATA'!P:P,'RAW DATA'!B161,'RAW DATA'!J:J))=0, "", SUM(SUMIF('RAW DATA'!M:M,'RAW DATA'!B161,'RAW DATA'!J:J),SUMIF('RAW DATA'!N:N,'RAW DATA'!B161,'RAW DATA'!J:J),SUMIF('RAW DATA'!O:O,'RAW DATA'!B161,'RAW DATA'!J:J),SUMIF('RAW DATA'!P:P,'RAW DATA'!B161,'RAW DATA'!J:J)))</f>
        <v/>
      </c>
      <c r="I161" s="4" t="str">
        <f>IF(SUMIF('RAW DATA'!M:M,'RAW DATA'!B161, 'RAW DATA'!K:K)=0, "", SUMIF('RAW DATA'!M:M,'RAW DATA'!B161, 'RAW DATA'!K:K))</f>
        <v/>
      </c>
      <c r="J161" s="29" t="str">
        <f>IF('RAW DATA'!B161&lt;&gt;"",IF(OR('RAW DATA'!H161=1,'RAW DATA'!H161=2),1,IF(ISNUMBER(FIND("Medic",'RAW DATA'!E161)),1,"")),"")</f>
        <v/>
      </c>
      <c r="K161" s="29" t="str">
        <f>IF(AND('RAW DATA'!$B161&lt;&gt;"",'RAW DATA'!L161=1),1,"")</f>
        <v/>
      </c>
      <c r="L161" s="24" t="str">
        <f t="shared" si="5"/>
        <v/>
      </c>
    </row>
    <row r="162" spans="2:12" x14ac:dyDescent="0.25">
      <c r="B162" s="1" t="str">
        <f>IF('RAW DATA'!$C162&lt;&gt;"",'RAW DATA'!$C162,"")</f>
        <v/>
      </c>
      <c r="C162" s="1" t="str">
        <f>IF('RAW DATA'!$D162&lt;&gt;"",'RAW DATA'!$D162,"")</f>
        <v/>
      </c>
      <c r="D162" s="1" t="str">
        <f>IF(AND($B161&lt;&gt;"", $B162=""), "TOTAL:", IF($D161="TOTAL:","VESSEL TARGET "&amp;'RAW DATA'!$E$2&amp;":",IF('RAW DATA'!$E162&lt;&gt;"",'RAW DATA'!$E162,"")))</f>
        <v/>
      </c>
      <c r="E162" s="29" t="str">
        <f t="shared" si="4"/>
        <v/>
      </c>
      <c r="F162" s="4" t="str">
        <f>IF($D161="TOTAL:",FIXED(ROUND(((SUM($F$4:$F160)/'RAW DATA'!$E$2)*100),1),1)&amp;"%",IF($D162="TOTAL:",SUM($F$4:$F161),IF(SUMIF('RAW DATA'!M:M,'RAW DATA'!B162,'RAW DATA'!H:H)=0,"",SUMIF('RAW DATA'!M:M,'RAW DATA'!B162,'RAW DATA'!H:H))))</f>
        <v/>
      </c>
      <c r="G162" s="4" t="str">
        <f>IF($D161="TOTAL:",FIXED(ROUND(((SUM($G$4:$G160)/'RAW DATA'!$E$2)*100),1),1)&amp;"%",IF($D162="TOTAL:",SUM($G$4:$G161),IF(SUMIF('RAW DATA'!M:M,'RAW DATA'!B162,'RAW DATA'!I:I)=0,"",SUMIF('RAW DATA'!M:M,'RAW DATA'!B162,'RAW DATA'!I:I))))</f>
        <v/>
      </c>
      <c r="H162" s="4" t="str">
        <f>IF(SUM(SUMIF('RAW DATA'!M:M,'RAW DATA'!B162,'RAW DATA'!J:J),SUMIF('RAW DATA'!N:N,'RAW DATA'!B162,'RAW DATA'!J:J),SUMIF('RAW DATA'!O:O,'RAW DATA'!B162,'RAW DATA'!J:J),SUMIF('RAW DATA'!P:P,'RAW DATA'!B162,'RAW DATA'!J:J))=0, "", SUM(SUMIF('RAW DATA'!M:M,'RAW DATA'!B162,'RAW DATA'!J:J),SUMIF('RAW DATA'!N:N,'RAW DATA'!B162,'RAW DATA'!J:J),SUMIF('RAW DATA'!O:O,'RAW DATA'!B162,'RAW DATA'!J:J),SUMIF('RAW DATA'!P:P,'RAW DATA'!B162,'RAW DATA'!J:J)))</f>
        <v/>
      </c>
      <c r="I162" s="4" t="str">
        <f>IF(SUMIF('RAW DATA'!M:M,'RAW DATA'!B162, 'RAW DATA'!K:K)=0, "", SUMIF('RAW DATA'!M:M,'RAW DATA'!B162, 'RAW DATA'!K:K))</f>
        <v/>
      </c>
      <c r="J162" s="29" t="str">
        <f>IF('RAW DATA'!B162&lt;&gt;"",IF(OR('RAW DATA'!H162=1,'RAW DATA'!H162=2),1,IF(ISNUMBER(FIND("Medic",'RAW DATA'!E162)),1,"")),"")</f>
        <v/>
      </c>
      <c r="K162" s="29" t="str">
        <f>IF(AND('RAW DATA'!$B162&lt;&gt;"",'RAW DATA'!L162=1),1,"")</f>
        <v/>
      </c>
      <c r="L162" s="24" t="str">
        <f t="shared" si="5"/>
        <v/>
      </c>
    </row>
    <row r="163" spans="2:12" x14ac:dyDescent="0.25">
      <c r="B163" s="1" t="str">
        <f>IF('RAW DATA'!$C163&lt;&gt;"",'RAW DATA'!$C163,"")</f>
        <v/>
      </c>
      <c r="C163" s="1" t="str">
        <f>IF('RAW DATA'!$D163&lt;&gt;"",'RAW DATA'!$D163,"")</f>
        <v/>
      </c>
      <c r="D163" s="1" t="str">
        <f>IF(AND($B162&lt;&gt;"", $B163=""), "TOTAL:", IF($D162="TOTAL:","VESSEL TARGET "&amp;'RAW DATA'!$E$2&amp;":",IF('RAW DATA'!$E163&lt;&gt;"",'RAW DATA'!$E163,"")))</f>
        <v/>
      </c>
      <c r="E163" s="29" t="str">
        <f t="shared" si="4"/>
        <v/>
      </c>
      <c r="F163" s="4" t="str">
        <f>IF($D162="TOTAL:",FIXED(ROUND(((SUM($F$4:$F161)/'RAW DATA'!$E$2)*100),1),1)&amp;"%",IF($D163="TOTAL:",SUM($F$4:$F162),IF(SUMIF('RAW DATA'!M:M,'RAW DATA'!B163,'RAW DATA'!H:H)=0,"",SUMIF('RAW DATA'!M:M,'RAW DATA'!B163,'RAW DATA'!H:H))))</f>
        <v/>
      </c>
      <c r="G163" s="4" t="str">
        <f>IF($D162="TOTAL:",FIXED(ROUND(((SUM($G$4:$G161)/'RAW DATA'!$E$2)*100),1),1)&amp;"%",IF($D163="TOTAL:",SUM($G$4:$G162),IF(SUMIF('RAW DATA'!M:M,'RAW DATA'!B163,'RAW DATA'!I:I)=0,"",SUMIF('RAW DATA'!M:M,'RAW DATA'!B163,'RAW DATA'!I:I))))</f>
        <v/>
      </c>
      <c r="H163" s="4" t="str">
        <f>IF(SUM(SUMIF('RAW DATA'!M:M,'RAW DATA'!B163,'RAW DATA'!J:J),SUMIF('RAW DATA'!N:N,'RAW DATA'!B163,'RAW DATA'!J:J),SUMIF('RAW DATA'!O:O,'RAW DATA'!B163,'RAW DATA'!J:J),SUMIF('RAW DATA'!P:P,'RAW DATA'!B163,'RAW DATA'!J:J))=0, "", SUM(SUMIF('RAW DATA'!M:M,'RAW DATA'!B163,'RAW DATA'!J:J),SUMIF('RAW DATA'!N:N,'RAW DATA'!B163,'RAW DATA'!J:J),SUMIF('RAW DATA'!O:O,'RAW DATA'!B163,'RAW DATA'!J:J),SUMIF('RAW DATA'!P:P,'RAW DATA'!B163,'RAW DATA'!J:J)))</f>
        <v/>
      </c>
      <c r="I163" s="4" t="str">
        <f>IF(SUMIF('RAW DATA'!M:M,'RAW DATA'!B163, 'RAW DATA'!K:K)=0, "", SUMIF('RAW DATA'!M:M,'RAW DATA'!B163, 'RAW DATA'!K:K))</f>
        <v/>
      </c>
      <c r="J163" s="29" t="str">
        <f>IF('RAW DATA'!B163&lt;&gt;"",IF(OR('RAW DATA'!H163=1,'RAW DATA'!H163=2),1,IF(ISNUMBER(FIND("Medic",'RAW DATA'!E163)),1,"")),"")</f>
        <v/>
      </c>
      <c r="K163" s="29" t="str">
        <f>IF(AND('RAW DATA'!$B163&lt;&gt;"",'RAW DATA'!L163=1),1,"")</f>
        <v/>
      </c>
      <c r="L163" s="24" t="str">
        <f t="shared" si="5"/>
        <v/>
      </c>
    </row>
    <row r="164" spans="2:12" x14ac:dyDescent="0.25">
      <c r="B164" s="1" t="str">
        <f>IF('RAW DATA'!$C164&lt;&gt;"",'RAW DATA'!$C164,"")</f>
        <v/>
      </c>
      <c r="C164" s="1" t="str">
        <f>IF('RAW DATA'!$D164&lt;&gt;"",'RAW DATA'!$D164,"")</f>
        <v/>
      </c>
      <c r="D164" s="1" t="str">
        <f>IF(AND($B163&lt;&gt;"", $B164=""), "TOTAL:", IF($D163="TOTAL:","VESSEL TARGET "&amp;'RAW DATA'!$E$2&amp;":",IF('RAW DATA'!$E164&lt;&gt;"",'RAW DATA'!$E164,"")))</f>
        <v/>
      </c>
      <c r="E164" s="29" t="str">
        <f t="shared" si="4"/>
        <v/>
      </c>
      <c r="F164" s="4" t="str">
        <f>IF($D163="TOTAL:",FIXED(ROUND(((SUM($F$4:$F162)/'RAW DATA'!$E$2)*100),1),1)&amp;"%",IF($D164="TOTAL:",SUM($F$4:$F163),IF(SUMIF('RAW DATA'!M:M,'RAW DATA'!B164,'RAW DATA'!H:H)=0,"",SUMIF('RAW DATA'!M:M,'RAW DATA'!B164,'RAW DATA'!H:H))))</f>
        <v/>
      </c>
      <c r="G164" s="4" t="str">
        <f>IF($D163="TOTAL:",FIXED(ROUND(((SUM($G$4:$G162)/'RAW DATA'!$E$2)*100),1),1)&amp;"%",IF($D164="TOTAL:",SUM($G$4:$G163),IF(SUMIF('RAW DATA'!M:M,'RAW DATA'!B164,'RAW DATA'!I:I)=0,"",SUMIF('RAW DATA'!M:M,'RAW DATA'!B164,'RAW DATA'!I:I))))</f>
        <v/>
      </c>
      <c r="H164" s="4" t="str">
        <f>IF(SUM(SUMIF('RAW DATA'!M:M,'RAW DATA'!B164,'RAW DATA'!J:J),SUMIF('RAW DATA'!N:N,'RAW DATA'!B164,'RAW DATA'!J:J),SUMIF('RAW DATA'!O:O,'RAW DATA'!B164,'RAW DATA'!J:J),SUMIF('RAW DATA'!P:P,'RAW DATA'!B164,'RAW DATA'!J:J))=0, "", SUM(SUMIF('RAW DATA'!M:M,'RAW DATA'!B164,'RAW DATA'!J:J),SUMIF('RAW DATA'!N:N,'RAW DATA'!B164,'RAW DATA'!J:J),SUMIF('RAW DATA'!O:O,'RAW DATA'!B164,'RAW DATA'!J:J),SUMIF('RAW DATA'!P:P,'RAW DATA'!B164,'RAW DATA'!J:J)))</f>
        <v/>
      </c>
      <c r="I164" s="4" t="str">
        <f>IF(SUMIF('RAW DATA'!M:M,'RAW DATA'!B164, 'RAW DATA'!K:K)=0, "", SUMIF('RAW DATA'!M:M,'RAW DATA'!B164, 'RAW DATA'!K:K))</f>
        <v/>
      </c>
      <c r="J164" s="29" t="str">
        <f>IF('RAW DATA'!B164&lt;&gt;"",IF(OR('RAW DATA'!H164=1,'RAW DATA'!H164=2),1,IF(ISNUMBER(FIND("Medic",'RAW DATA'!E164)),1,"")),"")</f>
        <v/>
      </c>
      <c r="K164" s="29" t="str">
        <f>IF(AND('RAW DATA'!$B164&lt;&gt;"",'RAW DATA'!L164=1),1,"")</f>
        <v/>
      </c>
      <c r="L164" s="24" t="str">
        <f t="shared" si="5"/>
        <v/>
      </c>
    </row>
    <row r="165" spans="2:12" x14ac:dyDescent="0.25">
      <c r="B165" s="1" t="str">
        <f>IF('RAW DATA'!$C165&lt;&gt;"",'RAW DATA'!$C165,"")</f>
        <v/>
      </c>
      <c r="C165" s="1" t="str">
        <f>IF('RAW DATA'!$D165&lt;&gt;"",'RAW DATA'!$D165,"")</f>
        <v/>
      </c>
      <c r="D165" s="1" t="str">
        <f>IF(AND($B164&lt;&gt;"", $B165=""), "TOTAL:", IF($D164="TOTAL:","VESSEL TARGET "&amp;'RAW DATA'!$E$2&amp;":",IF('RAW DATA'!$E165&lt;&gt;"",'RAW DATA'!$E165,"")))</f>
        <v/>
      </c>
      <c r="E165" s="29" t="str">
        <f t="shared" si="4"/>
        <v/>
      </c>
      <c r="F165" s="4" t="str">
        <f>IF($D164="TOTAL:",FIXED(ROUND(((SUM($F$4:$F163)/'RAW DATA'!$E$2)*100),1),1)&amp;"%",IF($D165="TOTAL:",SUM($F$4:$F164),IF(SUMIF('RAW DATA'!M:M,'RAW DATA'!B165,'RAW DATA'!H:H)=0,"",SUMIF('RAW DATA'!M:M,'RAW DATA'!B165,'RAW DATA'!H:H))))</f>
        <v/>
      </c>
      <c r="G165" s="4" t="str">
        <f>IF($D164="TOTAL:",FIXED(ROUND(((SUM($G$4:$G163)/'RAW DATA'!$E$2)*100),1),1)&amp;"%",IF($D165="TOTAL:",SUM($G$4:$G164),IF(SUMIF('RAW DATA'!M:M,'RAW DATA'!B165,'RAW DATA'!I:I)=0,"",SUMIF('RAW DATA'!M:M,'RAW DATA'!B165,'RAW DATA'!I:I))))</f>
        <v/>
      </c>
      <c r="H165" s="4" t="str">
        <f>IF(SUM(SUMIF('RAW DATA'!M:M,'RAW DATA'!B165,'RAW DATA'!J:J),SUMIF('RAW DATA'!N:N,'RAW DATA'!B165,'RAW DATA'!J:J),SUMIF('RAW DATA'!O:O,'RAW DATA'!B165,'RAW DATA'!J:J),SUMIF('RAW DATA'!P:P,'RAW DATA'!B165,'RAW DATA'!J:J))=0, "", SUM(SUMIF('RAW DATA'!M:M,'RAW DATA'!B165,'RAW DATA'!J:J),SUMIF('RAW DATA'!N:N,'RAW DATA'!B165,'RAW DATA'!J:J),SUMIF('RAW DATA'!O:O,'RAW DATA'!B165,'RAW DATA'!J:J),SUMIF('RAW DATA'!P:P,'RAW DATA'!B165,'RAW DATA'!J:J)))</f>
        <v/>
      </c>
      <c r="I165" s="4" t="str">
        <f>IF(SUMIF('RAW DATA'!M:M,'RAW DATA'!B165, 'RAW DATA'!K:K)=0, "", SUMIF('RAW DATA'!M:M,'RAW DATA'!B165, 'RAW DATA'!K:K))</f>
        <v/>
      </c>
      <c r="J165" s="29" t="str">
        <f>IF('RAW DATA'!B165&lt;&gt;"",IF(OR('RAW DATA'!H165=1,'RAW DATA'!H165=2),1,IF(ISNUMBER(FIND("Medic",'RAW DATA'!E165)),1,"")),"")</f>
        <v/>
      </c>
      <c r="K165" s="29" t="str">
        <f>IF(AND('RAW DATA'!$B165&lt;&gt;"",'RAW DATA'!L165=1),1,"")</f>
        <v/>
      </c>
      <c r="L165" s="24" t="str">
        <f t="shared" si="5"/>
        <v/>
      </c>
    </row>
    <row r="166" spans="2:12" x14ac:dyDescent="0.25">
      <c r="B166" s="1" t="str">
        <f>IF('RAW DATA'!$C166&lt;&gt;"",'RAW DATA'!$C166,"")</f>
        <v/>
      </c>
      <c r="C166" s="1" t="str">
        <f>IF('RAW DATA'!$D166&lt;&gt;"",'RAW DATA'!$D166,"")</f>
        <v/>
      </c>
      <c r="D166" s="1" t="str">
        <f>IF(AND($B165&lt;&gt;"", $B166=""), "TOTAL:", IF($D165="TOTAL:","VESSEL TARGET "&amp;'RAW DATA'!$E$2&amp;":",IF('RAW DATA'!$E166&lt;&gt;"",'RAW DATA'!$E166,"")))</f>
        <v/>
      </c>
      <c r="E166" s="29" t="str">
        <f t="shared" si="4"/>
        <v/>
      </c>
      <c r="F166" s="4" t="str">
        <f>IF($D165="TOTAL:",FIXED(ROUND(((SUM($F$4:$F164)/'RAW DATA'!$E$2)*100),1),1)&amp;"%",IF($D166="TOTAL:",SUM($F$4:$F165),IF(SUMIF('RAW DATA'!M:M,'RAW DATA'!B166,'RAW DATA'!H:H)=0,"",SUMIF('RAW DATA'!M:M,'RAW DATA'!B166,'RAW DATA'!H:H))))</f>
        <v/>
      </c>
      <c r="G166" s="4" t="str">
        <f>IF($D165="TOTAL:",FIXED(ROUND(((SUM($G$4:$G164)/'RAW DATA'!$E$2)*100),1),1)&amp;"%",IF($D166="TOTAL:",SUM($G$4:$G165),IF(SUMIF('RAW DATA'!M:M,'RAW DATA'!B166,'RAW DATA'!I:I)=0,"",SUMIF('RAW DATA'!M:M,'RAW DATA'!B166,'RAW DATA'!I:I))))</f>
        <v/>
      </c>
      <c r="H166" s="4" t="str">
        <f>IF(SUM(SUMIF('RAW DATA'!M:M,'RAW DATA'!B166,'RAW DATA'!J:J),SUMIF('RAW DATA'!N:N,'RAW DATA'!B166,'RAW DATA'!J:J),SUMIF('RAW DATA'!O:O,'RAW DATA'!B166,'RAW DATA'!J:J),SUMIF('RAW DATA'!P:P,'RAW DATA'!B166,'RAW DATA'!J:J))=0, "", SUM(SUMIF('RAW DATA'!M:M,'RAW DATA'!B166,'RAW DATA'!J:J),SUMIF('RAW DATA'!N:N,'RAW DATA'!B166,'RAW DATA'!J:J),SUMIF('RAW DATA'!O:O,'RAW DATA'!B166,'RAW DATA'!J:J),SUMIF('RAW DATA'!P:P,'RAW DATA'!B166,'RAW DATA'!J:J)))</f>
        <v/>
      </c>
      <c r="I166" s="4" t="str">
        <f>IF(SUMIF('RAW DATA'!M:M,'RAW DATA'!B166, 'RAW DATA'!K:K)=0, "", SUMIF('RAW DATA'!M:M,'RAW DATA'!B166, 'RAW DATA'!K:K))</f>
        <v/>
      </c>
      <c r="J166" s="29" t="str">
        <f>IF('RAW DATA'!B166&lt;&gt;"",IF(OR('RAW DATA'!H166=1,'RAW DATA'!H166=2),1,IF(ISNUMBER(FIND("Medic",'RAW DATA'!E166)),1,"")),"")</f>
        <v/>
      </c>
      <c r="K166" s="29" t="str">
        <f>IF(AND('RAW DATA'!$B166&lt;&gt;"",'RAW DATA'!L166=1),1,"")</f>
        <v/>
      </c>
      <c r="L166" s="24" t="str">
        <f t="shared" si="5"/>
        <v/>
      </c>
    </row>
    <row r="167" spans="2:12" x14ac:dyDescent="0.25">
      <c r="B167" s="1" t="str">
        <f>IF('RAW DATA'!$C167&lt;&gt;"",'RAW DATA'!$C167,"")</f>
        <v/>
      </c>
      <c r="C167" s="1" t="str">
        <f>IF('RAW DATA'!$D167&lt;&gt;"",'RAW DATA'!$D167,"")</f>
        <v/>
      </c>
      <c r="D167" s="1" t="str">
        <f>IF(AND($B166&lt;&gt;"", $B167=""), "TOTAL:", IF($D166="TOTAL:","VESSEL TARGET "&amp;'RAW DATA'!$E$2&amp;":",IF('RAW DATA'!$E167&lt;&gt;"",'RAW DATA'!$E167,"")))</f>
        <v/>
      </c>
      <c r="E167" s="29" t="str">
        <f t="shared" si="4"/>
        <v/>
      </c>
      <c r="F167" s="4" t="str">
        <f>IF($D166="TOTAL:",FIXED(ROUND(((SUM($F$4:$F165)/'RAW DATA'!$E$2)*100),1),1)&amp;"%",IF($D167="TOTAL:",SUM($F$4:$F166),IF(SUMIF('RAW DATA'!M:M,'RAW DATA'!B167,'RAW DATA'!H:H)=0,"",SUMIF('RAW DATA'!M:M,'RAW DATA'!B167,'RAW DATA'!H:H))))</f>
        <v/>
      </c>
      <c r="G167" s="4" t="str">
        <f>IF($D166="TOTAL:",FIXED(ROUND(((SUM($G$4:$G165)/'RAW DATA'!$E$2)*100),1),1)&amp;"%",IF($D167="TOTAL:",SUM($G$4:$G166),IF(SUMIF('RAW DATA'!M:M,'RAW DATA'!B167,'RAW DATA'!I:I)=0,"",SUMIF('RAW DATA'!M:M,'RAW DATA'!B167,'RAW DATA'!I:I))))</f>
        <v/>
      </c>
      <c r="H167" s="4" t="str">
        <f>IF(SUM(SUMIF('RAW DATA'!M:M,'RAW DATA'!B167,'RAW DATA'!J:J),SUMIF('RAW DATA'!N:N,'RAW DATA'!B167,'RAW DATA'!J:J),SUMIF('RAW DATA'!O:O,'RAW DATA'!B167,'RAW DATA'!J:J),SUMIF('RAW DATA'!P:P,'RAW DATA'!B167,'RAW DATA'!J:J))=0, "", SUM(SUMIF('RAW DATA'!M:M,'RAW DATA'!B167,'RAW DATA'!J:J),SUMIF('RAW DATA'!N:N,'RAW DATA'!B167,'RAW DATA'!J:J),SUMIF('RAW DATA'!O:O,'RAW DATA'!B167,'RAW DATA'!J:J),SUMIF('RAW DATA'!P:P,'RAW DATA'!B167,'RAW DATA'!J:J)))</f>
        <v/>
      </c>
      <c r="I167" s="4" t="str">
        <f>IF(SUMIF('RAW DATA'!M:M,'RAW DATA'!B167, 'RAW DATA'!K:K)=0, "", SUMIF('RAW DATA'!M:M,'RAW DATA'!B167, 'RAW DATA'!K:K))</f>
        <v/>
      </c>
      <c r="J167" s="29" t="str">
        <f>IF('RAW DATA'!B167&lt;&gt;"",IF(OR('RAW DATA'!H167=1,'RAW DATA'!H167=2),1,IF(ISNUMBER(FIND("Medic",'RAW DATA'!E167)),1,"")),"")</f>
        <v/>
      </c>
      <c r="K167" s="29" t="str">
        <f>IF(AND('RAW DATA'!$B167&lt;&gt;"",'RAW DATA'!L167=1),1,"")</f>
        <v/>
      </c>
      <c r="L167" s="24" t="str">
        <f t="shared" si="5"/>
        <v/>
      </c>
    </row>
    <row r="168" spans="2:12" x14ac:dyDescent="0.25">
      <c r="B168" s="1" t="str">
        <f>IF('RAW DATA'!$C168&lt;&gt;"",'RAW DATA'!$C168,"")</f>
        <v/>
      </c>
      <c r="C168" s="1" t="str">
        <f>IF('RAW DATA'!$D168&lt;&gt;"",'RAW DATA'!$D168,"")</f>
        <v/>
      </c>
      <c r="D168" s="1" t="str">
        <f>IF(AND($B167&lt;&gt;"", $B168=""), "TOTAL:", IF($D167="TOTAL:","VESSEL TARGET "&amp;'RAW DATA'!$E$2&amp;":",IF('RAW DATA'!$E168&lt;&gt;"",'RAW DATA'!$E168,"")))</f>
        <v/>
      </c>
      <c r="E168" s="29" t="str">
        <f t="shared" si="4"/>
        <v/>
      </c>
      <c r="F168" s="4" t="str">
        <f>IF($D167="TOTAL:",FIXED(ROUND(((SUM($F$4:$F166)/'RAW DATA'!$E$2)*100),1),1)&amp;"%",IF($D168="TOTAL:",SUM($F$4:$F167),IF(SUMIF('RAW DATA'!M:M,'RAW DATA'!B168,'RAW DATA'!H:H)=0,"",SUMIF('RAW DATA'!M:M,'RAW DATA'!B168,'RAW DATA'!H:H))))</f>
        <v/>
      </c>
      <c r="G168" s="4" t="str">
        <f>IF($D167="TOTAL:",FIXED(ROUND(((SUM($G$4:$G166)/'RAW DATA'!$E$2)*100),1),1)&amp;"%",IF($D168="TOTAL:",SUM($G$4:$G167),IF(SUMIF('RAW DATA'!M:M,'RAW DATA'!B168,'RAW DATA'!I:I)=0,"",SUMIF('RAW DATA'!M:M,'RAW DATA'!B168,'RAW DATA'!I:I))))</f>
        <v/>
      </c>
      <c r="H168" s="4" t="str">
        <f>IF(SUM(SUMIF('RAW DATA'!M:M,'RAW DATA'!B168,'RAW DATA'!J:J),SUMIF('RAW DATA'!N:N,'RAW DATA'!B168,'RAW DATA'!J:J),SUMIF('RAW DATA'!O:O,'RAW DATA'!B168,'RAW DATA'!J:J),SUMIF('RAW DATA'!P:P,'RAW DATA'!B168,'RAW DATA'!J:J))=0, "", SUM(SUMIF('RAW DATA'!M:M,'RAW DATA'!B168,'RAW DATA'!J:J),SUMIF('RAW DATA'!N:N,'RAW DATA'!B168,'RAW DATA'!J:J),SUMIF('RAW DATA'!O:O,'RAW DATA'!B168,'RAW DATA'!J:J),SUMIF('RAW DATA'!P:P,'RAW DATA'!B168,'RAW DATA'!J:J)))</f>
        <v/>
      </c>
      <c r="I168" s="4" t="str">
        <f>IF(SUMIF('RAW DATA'!M:M,'RAW DATA'!B168, 'RAW DATA'!K:K)=0, "", SUMIF('RAW DATA'!M:M,'RAW DATA'!B168, 'RAW DATA'!K:K))</f>
        <v/>
      </c>
      <c r="J168" s="29" t="str">
        <f>IF('RAW DATA'!B168&lt;&gt;"",IF(OR('RAW DATA'!H168=1,'RAW DATA'!H168=2),1,IF(ISNUMBER(FIND("Medic",'RAW DATA'!E168)),1,"")),"")</f>
        <v/>
      </c>
      <c r="K168" s="29" t="str">
        <f>IF(AND('RAW DATA'!$B168&lt;&gt;"",'RAW DATA'!L168=1),1,"")</f>
        <v/>
      </c>
      <c r="L168" s="24" t="str">
        <f t="shared" si="5"/>
        <v/>
      </c>
    </row>
    <row r="169" spans="2:12" x14ac:dyDescent="0.25">
      <c r="B169" s="1" t="str">
        <f>IF('RAW DATA'!$C169&lt;&gt;"",'RAW DATA'!$C169,"")</f>
        <v/>
      </c>
      <c r="C169" s="1" t="str">
        <f>IF('RAW DATA'!$D169&lt;&gt;"",'RAW DATA'!$D169,"")</f>
        <v/>
      </c>
      <c r="D169" s="1" t="str">
        <f>IF(AND($B168&lt;&gt;"", $B169=""), "TOTAL:", IF($D168="TOTAL:","VESSEL TARGET "&amp;'RAW DATA'!$E$2&amp;":",IF('RAW DATA'!$E169&lt;&gt;"",'RAW DATA'!$E169,"")))</f>
        <v/>
      </c>
      <c r="E169" s="29" t="str">
        <f t="shared" si="4"/>
        <v/>
      </c>
      <c r="F169" s="4" t="str">
        <f>IF($D168="TOTAL:",FIXED(ROUND(((SUM($F$4:$F167)/'RAW DATA'!$E$2)*100),1),1)&amp;"%",IF($D169="TOTAL:",SUM($F$4:$F168),IF(SUMIF('RAW DATA'!M:M,'RAW DATA'!B169,'RAW DATA'!H:H)=0,"",SUMIF('RAW DATA'!M:M,'RAW DATA'!B169,'RAW DATA'!H:H))))</f>
        <v/>
      </c>
      <c r="G169" s="4" t="str">
        <f>IF($D168="TOTAL:",FIXED(ROUND(((SUM($G$4:$G167)/'RAW DATA'!$E$2)*100),1),1)&amp;"%",IF($D169="TOTAL:",SUM($G$4:$G168),IF(SUMIF('RAW DATA'!M:M,'RAW DATA'!B169,'RAW DATA'!I:I)=0,"",SUMIF('RAW DATA'!M:M,'RAW DATA'!B169,'RAW DATA'!I:I))))</f>
        <v/>
      </c>
      <c r="H169" s="4" t="str">
        <f>IF(SUM(SUMIF('RAW DATA'!M:M,'RAW DATA'!B169,'RAW DATA'!J:J),SUMIF('RAW DATA'!N:N,'RAW DATA'!B169,'RAW DATA'!J:J),SUMIF('RAW DATA'!O:O,'RAW DATA'!B169,'RAW DATA'!J:J),SUMIF('RAW DATA'!P:P,'RAW DATA'!B169,'RAW DATA'!J:J))=0, "", SUM(SUMIF('RAW DATA'!M:M,'RAW DATA'!B169,'RAW DATA'!J:J),SUMIF('RAW DATA'!N:N,'RAW DATA'!B169,'RAW DATA'!J:J),SUMIF('RAW DATA'!O:O,'RAW DATA'!B169,'RAW DATA'!J:J),SUMIF('RAW DATA'!P:P,'RAW DATA'!B169,'RAW DATA'!J:J)))</f>
        <v/>
      </c>
      <c r="I169" s="4" t="str">
        <f>IF(SUMIF('RAW DATA'!M:M,'RAW DATA'!B169, 'RAW DATA'!K:K)=0, "", SUMIF('RAW DATA'!M:M,'RAW DATA'!B169, 'RAW DATA'!K:K))</f>
        <v/>
      </c>
      <c r="J169" s="29" t="str">
        <f>IF('RAW DATA'!B169&lt;&gt;"",IF(OR('RAW DATA'!H169=1,'RAW DATA'!H169=2),1,IF(ISNUMBER(FIND("Medic",'RAW DATA'!E169)),1,"")),"")</f>
        <v/>
      </c>
      <c r="K169" s="29" t="str">
        <f>IF(AND('RAW DATA'!$B169&lt;&gt;"",'RAW DATA'!L169=1),1,"")</f>
        <v/>
      </c>
      <c r="L169" s="24" t="str">
        <f t="shared" si="5"/>
        <v/>
      </c>
    </row>
    <row r="170" spans="2:12" x14ac:dyDescent="0.25">
      <c r="B170" s="1" t="str">
        <f>IF('RAW DATA'!$C170&lt;&gt;"",'RAW DATA'!$C170,"")</f>
        <v/>
      </c>
      <c r="C170" s="1" t="str">
        <f>IF('RAW DATA'!$D170&lt;&gt;"",'RAW DATA'!$D170,"")</f>
        <v/>
      </c>
      <c r="D170" s="1" t="str">
        <f>IF(AND($B169&lt;&gt;"", $B170=""), "TOTAL:", IF($D169="TOTAL:","VESSEL TARGET "&amp;'RAW DATA'!$E$2&amp;":",IF('RAW DATA'!$E170&lt;&gt;"",'RAW DATA'!$E170,"")))</f>
        <v/>
      </c>
      <c r="E170" s="29" t="str">
        <f t="shared" si="4"/>
        <v/>
      </c>
      <c r="F170" s="4" t="str">
        <f>IF($D169="TOTAL:",FIXED(ROUND(((SUM($F$4:$F168)/'RAW DATA'!$E$2)*100),1),1)&amp;"%",IF($D170="TOTAL:",SUM($F$4:$F169),IF(SUMIF('RAW DATA'!M:M,'RAW DATA'!B170,'RAW DATA'!H:H)=0,"",SUMIF('RAW DATA'!M:M,'RAW DATA'!B170,'RAW DATA'!H:H))))</f>
        <v/>
      </c>
      <c r="G170" s="4" t="str">
        <f>IF($D169="TOTAL:",FIXED(ROUND(((SUM($G$4:$G168)/'RAW DATA'!$E$2)*100),1),1)&amp;"%",IF($D170="TOTAL:",SUM($G$4:$G169),IF(SUMIF('RAW DATA'!M:M,'RAW DATA'!B170,'RAW DATA'!I:I)=0,"",SUMIF('RAW DATA'!M:M,'RAW DATA'!B170,'RAW DATA'!I:I))))</f>
        <v/>
      </c>
      <c r="H170" s="4" t="str">
        <f>IF(SUM(SUMIF('RAW DATA'!M:M,'RAW DATA'!B170,'RAW DATA'!J:J),SUMIF('RAW DATA'!N:N,'RAW DATA'!B170,'RAW DATA'!J:J),SUMIF('RAW DATA'!O:O,'RAW DATA'!B170,'RAW DATA'!J:J),SUMIF('RAW DATA'!P:P,'RAW DATA'!B170,'RAW DATA'!J:J))=0, "", SUM(SUMIF('RAW DATA'!M:M,'RAW DATA'!B170,'RAW DATA'!J:J),SUMIF('RAW DATA'!N:N,'RAW DATA'!B170,'RAW DATA'!J:J),SUMIF('RAW DATA'!O:O,'RAW DATA'!B170,'RAW DATA'!J:J),SUMIF('RAW DATA'!P:P,'RAW DATA'!B170,'RAW DATA'!J:J)))</f>
        <v/>
      </c>
      <c r="I170" s="4" t="str">
        <f>IF(SUMIF('RAW DATA'!M:M,'RAW DATA'!B170, 'RAW DATA'!K:K)=0, "", SUMIF('RAW DATA'!M:M,'RAW DATA'!B170, 'RAW DATA'!K:K))</f>
        <v/>
      </c>
      <c r="J170" s="29" t="str">
        <f>IF('RAW DATA'!B170&lt;&gt;"",IF(OR('RAW DATA'!H170=1,'RAW DATA'!H170=2),1,IF(ISNUMBER(FIND("Medic",'RAW DATA'!E170)),1,"")),"")</f>
        <v/>
      </c>
      <c r="K170" s="29" t="str">
        <f>IF(AND('RAW DATA'!$B170&lt;&gt;"",'RAW DATA'!L170=1),1,"")</f>
        <v/>
      </c>
      <c r="L170" s="24" t="str">
        <f t="shared" si="5"/>
        <v/>
      </c>
    </row>
    <row r="171" spans="2:12" x14ac:dyDescent="0.25">
      <c r="B171" s="1" t="str">
        <f>IF('RAW DATA'!$C171&lt;&gt;"",'RAW DATA'!$C171,"")</f>
        <v/>
      </c>
      <c r="C171" s="1" t="str">
        <f>IF('RAW DATA'!$D171&lt;&gt;"",'RAW DATA'!$D171,"")</f>
        <v/>
      </c>
      <c r="D171" s="1" t="str">
        <f>IF(AND($B170&lt;&gt;"", $B171=""), "TOTAL:", IF($D170="TOTAL:","VESSEL TARGET "&amp;'RAW DATA'!$E$2&amp;":",IF('RAW DATA'!$E171&lt;&gt;"",'RAW DATA'!$E171,"")))</f>
        <v/>
      </c>
      <c r="E171" s="29" t="str">
        <f t="shared" si="4"/>
        <v/>
      </c>
      <c r="F171" s="4" t="str">
        <f>IF($D170="TOTAL:",FIXED(ROUND(((SUM($F$4:$F169)/'RAW DATA'!$E$2)*100),1),1)&amp;"%",IF($D171="TOTAL:",SUM($F$4:$F170),IF(SUMIF('RAW DATA'!M:M,'RAW DATA'!B171,'RAW DATA'!H:H)=0,"",SUMIF('RAW DATA'!M:M,'RAW DATA'!B171,'RAW DATA'!H:H))))</f>
        <v/>
      </c>
      <c r="G171" s="4" t="str">
        <f>IF($D170="TOTAL:",FIXED(ROUND(((SUM($G$4:$G169)/'RAW DATA'!$E$2)*100),1),1)&amp;"%",IF($D171="TOTAL:",SUM($G$4:$G170),IF(SUMIF('RAW DATA'!M:M,'RAW DATA'!B171,'RAW DATA'!I:I)=0,"",SUMIF('RAW DATA'!M:M,'RAW DATA'!B171,'RAW DATA'!I:I))))</f>
        <v/>
      </c>
      <c r="H171" s="4" t="str">
        <f>IF(SUM(SUMIF('RAW DATA'!M:M,'RAW DATA'!B171,'RAW DATA'!J:J),SUMIF('RAW DATA'!N:N,'RAW DATA'!B171,'RAW DATA'!J:J),SUMIF('RAW DATA'!O:O,'RAW DATA'!B171,'RAW DATA'!J:J),SUMIF('RAW DATA'!P:P,'RAW DATA'!B171,'RAW DATA'!J:J))=0, "", SUM(SUMIF('RAW DATA'!M:M,'RAW DATA'!B171,'RAW DATA'!J:J),SUMIF('RAW DATA'!N:N,'RAW DATA'!B171,'RAW DATA'!J:J),SUMIF('RAW DATA'!O:O,'RAW DATA'!B171,'RAW DATA'!J:J),SUMIF('RAW DATA'!P:P,'RAW DATA'!B171,'RAW DATA'!J:J)))</f>
        <v/>
      </c>
      <c r="I171" s="4" t="str">
        <f>IF(SUMIF('RAW DATA'!M:M,'RAW DATA'!B171, 'RAW DATA'!K:K)=0, "", SUMIF('RAW DATA'!M:M,'RAW DATA'!B171, 'RAW DATA'!K:K))</f>
        <v/>
      </c>
      <c r="J171" s="29" t="str">
        <f>IF('RAW DATA'!B171&lt;&gt;"",IF(OR('RAW DATA'!H171=1,'RAW DATA'!H171=2),1,IF(ISNUMBER(FIND("Medic",'RAW DATA'!E171)),1,"")),"")</f>
        <v/>
      </c>
      <c r="K171" s="29" t="str">
        <f>IF(AND('RAW DATA'!$B171&lt;&gt;"",'RAW DATA'!L171=1),1,"")</f>
        <v/>
      </c>
      <c r="L171" s="24" t="str">
        <f t="shared" si="5"/>
        <v/>
      </c>
    </row>
    <row r="172" spans="2:12" x14ac:dyDescent="0.25">
      <c r="B172" s="1" t="str">
        <f>IF('RAW DATA'!$C172&lt;&gt;"",'RAW DATA'!$C172,"")</f>
        <v/>
      </c>
      <c r="C172" s="1" t="str">
        <f>IF('RAW DATA'!$D172&lt;&gt;"",'RAW DATA'!$D172,"")</f>
        <v/>
      </c>
      <c r="D172" s="1" t="str">
        <f>IF(AND($B171&lt;&gt;"", $B172=""), "TOTAL:", IF($D171="TOTAL:","VESSEL TARGET "&amp;'RAW DATA'!$E$2&amp;":",IF('RAW DATA'!$E172&lt;&gt;"",'RAW DATA'!$E172,"")))</f>
        <v/>
      </c>
      <c r="E172" s="29" t="str">
        <f t="shared" si="4"/>
        <v/>
      </c>
      <c r="F172" s="4" t="str">
        <f>IF($D171="TOTAL:",FIXED(ROUND(((SUM($F$4:$F170)/'RAW DATA'!$E$2)*100),1),1)&amp;"%",IF($D172="TOTAL:",SUM($F$4:$F171),IF(SUMIF('RAW DATA'!M:M,'RAW DATA'!B172,'RAW DATA'!H:H)=0,"",SUMIF('RAW DATA'!M:M,'RAW DATA'!B172,'RAW DATA'!H:H))))</f>
        <v/>
      </c>
      <c r="G172" s="4" t="str">
        <f>IF($D171="TOTAL:",FIXED(ROUND(((SUM($G$4:$G170)/'RAW DATA'!$E$2)*100),1),1)&amp;"%",IF($D172="TOTAL:",SUM($G$4:$G171),IF(SUMIF('RAW DATA'!M:M,'RAW DATA'!B172,'RAW DATA'!I:I)=0,"",SUMIF('RAW DATA'!M:M,'RAW DATA'!B172,'RAW DATA'!I:I))))</f>
        <v/>
      </c>
      <c r="H172" s="4" t="str">
        <f>IF(SUM(SUMIF('RAW DATA'!M:M,'RAW DATA'!B172,'RAW DATA'!J:J),SUMIF('RAW DATA'!N:N,'RAW DATA'!B172,'RAW DATA'!J:J),SUMIF('RAW DATA'!O:O,'RAW DATA'!B172,'RAW DATA'!J:J),SUMIF('RAW DATA'!P:P,'RAW DATA'!B172,'RAW DATA'!J:J))=0, "", SUM(SUMIF('RAW DATA'!M:M,'RAW DATA'!B172,'RAW DATA'!J:J),SUMIF('RAW DATA'!N:N,'RAW DATA'!B172,'RAW DATA'!J:J),SUMIF('RAW DATA'!O:O,'RAW DATA'!B172,'RAW DATA'!J:J),SUMIF('RAW DATA'!P:P,'RAW DATA'!B172,'RAW DATA'!J:J)))</f>
        <v/>
      </c>
      <c r="I172" s="4" t="str">
        <f>IF(SUMIF('RAW DATA'!M:M,'RAW DATA'!B172, 'RAW DATA'!K:K)=0, "", SUMIF('RAW DATA'!M:M,'RAW DATA'!B172, 'RAW DATA'!K:K))</f>
        <v/>
      </c>
      <c r="J172" s="29" t="str">
        <f>IF('RAW DATA'!B172&lt;&gt;"",IF(OR('RAW DATA'!H172=1,'RAW DATA'!H172=2),1,IF(ISNUMBER(FIND("Medic",'RAW DATA'!E172)),1,"")),"")</f>
        <v/>
      </c>
      <c r="K172" s="29" t="str">
        <f>IF(AND('RAW DATA'!$B172&lt;&gt;"",'RAW DATA'!L172=1),1,"")</f>
        <v/>
      </c>
      <c r="L172" s="24" t="str">
        <f t="shared" si="5"/>
        <v/>
      </c>
    </row>
    <row r="173" spans="2:12" x14ac:dyDescent="0.25">
      <c r="B173" s="1" t="str">
        <f>IF('RAW DATA'!$C173&lt;&gt;"",'RAW DATA'!$C173,"")</f>
        <v/>
      </c>
      <c r="C173" s="1" t="str">
        <f>IF('RAW DATA'!$D173&lt;&gt;"",'RAW DATA'!$D173,"")</f>
        <v/>
      </c>
      <c r="D173" s="1" t="str">
        <f>IF(AND($B172&lt;&gt;"", $B173=""), "TOTAL:", IF($D172="TOTAL:","VESSEL TARGET "&amp;'RAW DATA'!$E$2&amp;":",IF('RAW DATA'!$E173&lt;&gt;"",'RAW DATA'!$E173,"")))</f>
        <v/>
      </c>
      <c r="E173" s="29" t="str">
        <f t="shared" si="4"/>
        <v/>
      </c>
      <c r="F173" s="4" t="str">
        <f>IF($D172="TOTAL:",FIXED(ROUND(((SUM($F$4:$F171)/'RAW DATA'!$E$2)*100),1),1)&amp;"%",IF($D173="TOTAL:",SUM($F$4:$F172),IF(SUMIF('RAW DATA'!M:M,'RAW DATA'!B173,'RAW DATA'!H:H)=0,"",SUMIF('RAW DATA'!M:M,'RAW DATA'!B173,'RAW DATA'!H:H))))</f>
        <v/>
      </c>
      <c r="G173" s="4" t="str">
        <f>IF($D172="TOTAL:",FIXED(ROUND(((SUM($G$4:$G171)/'RAW DATA'!$E$2)*100),1),1)&amp;"%",IF($D173="TOTAL:",SUM($G$4:$G172),IF(SUMIF('RAW DATA'!M:M,'RAW DATA'!B173,'RAW DATA'!I:I)=0,"",SUMIF('RAW DATA'!M:M,'RAW DATA'!B173,'RAW DATA'!I:I))))</f>
        <v/>
      </c>
      <c r="H173" s="4" t="str">
        <f>IF(SUM(SUMIF('RAW DATA'!M:M,'RAW DATA'!B173,'RAW DATA'!J:J),SUMIF('RAW DATA'!N:N,'RAW DATA'!B173,'RAW DATA'!J:J),SUMIF('RAW DATA'!O:O,'RAW DATA'!B173,'RAW DATA'!J:J),SUMIF('RAW DATA'!P:P,'RAW DATA'!B173,'RAW DATA'!J:J))=0, "", SUM(SUMIF('RAW DATA'!M:M,'RAW DATA'!B173,'RAW DATA'!J:J),SUMIF('RAW DATA'!N:N,'RAW DATA'!B173,'RAW DATA'!J:J),SUMIF('RAW DATA'!O:O,'RAW DATA'!B173,'RAW DATA'!J:J),SUMIF('RAW DATA'!P:P,'RAW DATA'!B173,'RAW DATA'!J:J)))</f>
        <v/>
      </c>
      <c r="I173" s="4" t="str">
        <f>IF(SUMIF('RAW DATA'!M:M,'RAW DATA'!B173, 'RAW DATA'!K:K)=0, "", SUMIF('RAW DATA'!M:M,'RAW DATA'!B173, 'RAW DATA'!K:K))</f>
        <v/>
      </c>
      <c r="J173" s="29" t="str">
        <f>IF('RAW DATA'!B173&lt;&gt;"",IF(OR('RAW DATA'!H173=1,'RAW DATA'!H173=2),1,IF(ISNUMBER(FIND("Medic",'RAW DATA'!E173)),1,"")),"")</f>
        <v/>
      </c>
      <c r="K173" s="29" t="str">
        <f>IF(AND('RAW DATA'!$B173&lt;&gt;"",'RAW DATA'!L173=1),1,"")</f>
        <v/>
      </c>
      <c r="L173" s="24" t="str">
        <f t="shared" si="5"/>
        <v/>
      </c>
    </row>
    <row r="174" spans="2:12" x14ac:dyDescent="0.25">
      <c r="B174" s="1" t="str">
        <f>IF('RAW DATA'!$C174&lt;&gt;"",'RAW DATA'!$C174,"")</f>
        <v/>
      </c>
      <c r="C174" s="1" t="str">
        <f>IF('RAW DATA'!$D174&lt;&gt;"",'RAW DATA'!$D174,"")</f>
        <v/>
      </c>
      <c r="D174" s="1" t="str">
        <f>IF(AND($B173&lt;&gt;"", $B174=""), "TOTAL:", IF($D173="TOTAL:","VESSEL TARGET "&amp;'RAW DATA'!$E$2&amp;":",IF('RAW DATA'!$E174&lt;&gt;"",'RAW DATA'!$E174,"")))</f>
        <v/>
      </c>
      <c r="E174" s="29" t="str">
        <f t="shared" si="4"/>
        <v/>
      </c>
      <c r="F174" s="4" t="str">
        <f>IF($D173="TOTAL:",FIXED(ROUND(((SUM($F$4:$F172)/'RAW DATA'!$E$2)*100),1),1)&amp;"%",IF($D174="TOTAL:",SUM($F$4:$F173),IF(SUMIF('RAW DATA'!M:M,'RAW DATA'!B174,'RAW DATA'!H:H)=0,"",SUMIF('RAW DATA'!M:M,'RAW DATA'!B174,'RAW DATA'!H:H))))</f>
        <v/>
      </c>
      <c r="G174" s="4" t="str">
        <f>IF($D173="TOTAL:",FIXED(ROUND(((SUM($G$4:$G172)/'RAW DATA'!$E$2)*100),1),1)&amp;"%",IF($D174="TOTAL:",SUM($G$4:$G173),IF(SUMIF('RAW DATA'!M:M,'RAW DATA'!B174,'RAW DATA'!I:I)=0,"",SUMIF('RAW DATA'!M:M,'RAW DATA'!B174,'RAW DATA'!I:I))))</f>
        <v/>
      </c>
      <c r="H174" s="4" t="str">
        <f>IF(SUM(SUMIF('RAW DATA'!M:M,'RAW DATA'!B174,'RAW DATA'!J:J),SUMIF('RAW DATA'!N:N,'RAW DATA'!B174,'RAW DATA'!J:J),SUMIF('RAW DATA'!O:O,'RAW DATA'!B174,'RAW DATA'!J:J),SUMIF('RAW DATA'!P:P,'RAW DATA'!B174,'RAW DATA'!J:J))=0, "", SUM(SUMIF('RAW DATA'!M:M,'RAW DATA'!B174,'RAW DATA'!J:J),SUMIF('RAW DATA'!N:N,'RAW DATA'!B174,'RAW DATA'!J:J),SUMIF('RAW DATA'!O:O,'RAW DATA'!B174,'RAW DATA'!J:J),SUMIF('RAW DATA'!P:P,'RAW DATA'!B174,'RAW DATA'!J:J)))</f>
        <v/>
      </c>
      <c r="I174" s="4" t="str">
        <f>IF(SUMIF('RAW DATA'!M:M,'RAW DATA'!B174, 'RAW DATA'!K:K)=0, "", SUMIF('RAW DATA'!M:M,'RAW DATA'!B174, 'RAW DATA'!K:K))</f>
        <v/>
      </c>
      <c r="J174" s="29" t="str">
        <f>IF('RAW DATA'!B174&lt;&gt;"",IF(OR('RAW DATA'!H174=1,'RAW DATA'!H174=2),1,IF(ISNUMBER(FIND("Medic",'RAW DATA'!E174)),1,"")),"")</f>
        <v/>
      </c>
      <c r="K174" s="29" t="str">
        <f>IF(AND('RAW DATA'!$B174&lt;&gt;"",'RAW DATA'!L174=1),1,"")</f>
        <v/>
      </c>
      <c r="L174" s="24" t="str">
        <f t="shared" si="5"/>
        <v/>
      </c>
    </row>
    <row r="175" spans="2:12" x14ac:dyDescent="0.25">
      <c r="B175" s="1" t="str">
        <f>IF('RAW DATA'!$C175&lt;&gt;"",'RAW DATA'!$C175,"")</f>
        <v/>
      </c>
      <c r="C175" s="1" t="str">
        <f>IF('RAW DATA'!$D175&lt;&gt;"",'RAW DATA'!$D175,"")</f>
        <v/>
      </c>
      <c r="D175" s="1" t="str">
        <f>IF(AND($B174&lt;&gt;"", $B175=""), "TOTAL:", IF($D174="TOTAL:","VESSEL TARGET "&amp;'RAW DATA'!$E$2&amp;":",IF('RAW DATA'!$E175&lt;&gt;"",'RAW DATA'!$E175,"")))</f>
        <v/>
      </c>
      <c r="E175" s="29" t="str">
        <f t="shared" si="4"/>
        <v/>
      </c>
      <c r="F175" s="4" t="str">
        <f>IF($D174="TOTAL:",FIXED(ROUND(((SUM($F$4:$F173)/'RAW DATA'!$E$2)*100),1),1)&amp;"%",IF($D175="TOTAL:",SUM($F$4:$F174),IF(SUMIF('RAW DATA'!M:M,'RAW DATA'!B175,'RAW DATA'!H:H)=0,"",SUMIF('RAW DATA'!M:M,'RAW DATA'!B175,'RAW DATA'!H:H))))</f>
        <v/>
      </c>
      <c r="G175" s="4" t="str">
        <f>IF($D174="TOTAL:",FIXED(ROUND(((SUM($G$4:$G173)/'RAW DATA'!$E$2)*100),1),1)&amp;"%",IF($D175="TOTAL:",SUM($G$4:$G174),IF(SUMIF('RAW DATA'!M:M,'RAW DATA'!B175,'RAW DATA'!I:I)=0,"",SUMIF('RAW DATA'!M:M,'RAW DATA'!B175,'RAW DATA'!I:I))))</f>
        <v/>
      </c>
      <c r="H175" s="4" t="str">
        <f>IF(SUM(SUMIF('RAW DATA'!M:M,'RAW DATA'!B175,'RAW DATA'!J:J),SUMIF('RAW DATA'!N:N,'RAW DATA'!B175,'RAW DATA'!J:J),SUMIF('RAW DATA'!O:O,'RAW DATA'!B175,'RAW DATA'!J:J),SUMIF('RAW DATA'!P:P,'RAW DATA'!B175,'RAW DATA'!J:J))=0, "", SUM(SUMIF('RAW DATA'!M:M,'RAW DATA'!B175,'RAW DATA'!J:J),SUMIF('RAW DATA'!N:N,'RAW DATA'!B175,'RAW DATA'!J:J),SUMIF('RAW DATA'!O:O,'RAW DATA'!B175,'RAW DATA'!J:J),SUMIF('RAW DATA'!P:P,'RAW DATA'!B175,'RAW DATA'!J:J)))</f>
        <v/>
      </c>
      <c r="I175" s="4" t="str">
        <f>IF(SUMIF('RAW DATA'!M:M,'RAW DATA'!B175, 'RAW DATA'!K:K)=0, "", SUMIF('RAW DATA'!M:M,'RAW DATA'!B175, 'RAW DATA'!K:K))</f>
        <v/>
      </c>
      <c r="J175" s="29" t="str">
        <f>IF('RAW DATA'!B175&lt;&gt;"",IF(OR('RAW DATA'!H175=1,'RAW DATA'!H175=2),1,IF(ISNUMBER(FIND("Medic",'RAW DATA'!E175)),1,"")),"")</f>
        <v/>
      </c>
      <c r="K175" s="29" t="str">
        <f>IF(AND('RAW DATA'!$B175&lt;&gt;"",'RAW DATA'!L175=1),1,"")</f>
        <v/>
      </c>
      <c r="L175" s="24" t="str">
        <f t="shared" si="5"/>
        <v/>
      </c>
    </row>
    <row r="176" spans="2:12" x14ac:dyDescent="0.25">
      <c r="B176" s="1" t="str">
        <f>IF('RAW DATA'!$C176&lt;&gt;"",'RAW DATA'!$C176,"")</f>
        <v/>
      </c>
      <c r="C176" s="1" t="str">
        <f>IF('RAW DATA'!$D176&lt;&gt;"",'RAW DATA'!$D176,"")</f>
        <v/>
      </c>
      <c r="D176" s="1" t="str">
        <f>IF(AND($B175&lt;&gt;"", $B176=""), "TOTAL:", IF($D175="TOTAL:","VESSEL TARGET "&amp;'RAW DATA'!$E$2&amp;":",IF('RAW DATA'!$E176&lt;&gt;"",'RAW DATA'!$E176,"")))</f>
        <v/>
      </c>
      <c r="E176" s="29" t="str">
        <f t="shared" si="4"/>
        <v/>
      </c>
      <c r="F176" s="4" t="str">
        <f>IF($D175="TOTAL:",FIXED(ROUND(((SUM($F$4:$F174)/'RAW DATA'!$E$2)*100),1),1)&amp;"%",IF($D176="TOTAL:",SUM($F$4:$F175),IF(SUMIF('RAW DATA'!M:M,'RAW DATA'!B176,'RAW DATA'!H:H)=0,"",SUMIF('RAW DATA'!M:M,'RAW DATA'!B176,'RAW DATA'!H:H))))</f>
        <v/>
      </c>
      <c r="G176" s="4" t="str">
        <f>IF($D175="TOTAL:",FIXED(ROUND(((SUM($G$4:$G174)/'RAW DATA'!$E$2)*100),1),1)&amp;"%",IF($D176="TOTAL:",SUM($G$4:$G175),IF(SUMIF('RAW DATA'!M:M,'RAW DATA'!B176,'RAW DATA'!I:I)=0,"",SUMIF('RAW DATA'!M:M,'RAW DATA'!B176,'RAW DATA'!I:I))))</f>
        <v/>
      </c>
      <c r="H176" s="4" t="str">
        <f>IF(SUM(SUMIF('RAW DATA'!M:M,'RAW DATA'!B176,'RAW DATA'!J:J),SUMIF('RAW DATA'!N:N,'RAW DATA'!B176,'RAW DATA'!J:J),SUMIF('RAW DATA'!O:O,'RAW DATA'!B176,'RAW DATA'!J:J),SUMIF('RAW DATA'!P:P,'RAW DATA'!B176,'RAW DATA'!J:J))=0, "", SUM(SUMIF('RAW DATA'!M:M,'RAW DATA'!B176,'RAW DATA'!J:J),SUMIF('RAW DATA'!N:N,'RAW DATA'!B176,'RAW DATA'!J:J),SUMIF('RAW DATA'!O:O,'RAW DATA'!B176,'RAW DATA'!J:J),SUMIF('RAW DATA'!P:P,'RAW DATA'!B176,'RAW DATA'!J:J)))</f>
        <v/>
      </c>
      <c r="I176" s="4" t="str">
        <f>IF(SUMIF('RAW DATA'!M:M,'RAW DATA'!B176, 'RAW DATA'!K:K)=0, "", SUMIF('RAW DATA'!M:M,'RAW DATA'!B176, 'RAW DATA'!K:K))</f>
        <v/>
      </c>
      <c r="J176" s="29" t="str">
        <f>IF('RAW DATA'!B176&lt;&gt;"",IF(OR('RAW DATA'!H176=1,'RAW DATA'!H176=2),1,IF(ISNUMBER(FIND("Medic",'RAW DATA'!E176)),1,"")),"")</f>
        <v/>
      </c>
      <c r="K176" s="29" t="str">
        <f>IF(AND('RAW DATA'!$B176&lt;&gt;"",'RAW DATA'!L176=1),1,"")</f>
        <v/>
      </c>
      <c r="L176" s="24" t="str">
        <f t="shared" si="5"/>
        <v/>
      </c>
    </row>
    <row r="177" spans="2:12" x14ac:dyDescent="0.25">
      <c r="B177" s="1" t="str">
        <f>IF('RAW DATA'!$C177&lt;&gt;"",'RAW DATA'!$C177,"")</f>
        <v/>
      </c>
      <c r="C177" s="1" t="str">
        <f>IF('RAW DATA'!$D177&lt;&gt;"",'RAW DATA'!$D177,"")</f>
        <v/>
      </c>
      <c r="D177" s="1" t="str">
        <f>IF(AND($B176&lt;&gt;"", $B177=""), "TOTAL:", IF($D176="TOTAL:","VESSEL TARGET "&amp;'RAW DATA'!$E$2&amp;":",IF('RAW DATA'!$E177&lt;&gt;"",'RAW DATA'!$E177,"")))</f>
        <v/>
      </c>
      <c r="E177" s="29" t="str">
        <f t="shared" si="4"/>
        <v/>
      </c>
      <c r="F177" s="4" t="str">
        <f>IF($D176="TOTAL:",FIXED(ROUND(((SUM($F$4:$F175)/'RAW DATA'!$E$2)*100),1),1)&amp;"%",IF($D177="TOTAL:",SUM($F$4:$F176),IF(SUMIF('RAW DATA'!M:M,'RAW DATA'!B177,'RAW DATA'!H:H)=0,"",SUMIF('RAW DATA'!M:M,'RAW DATA'!B177,'RAW DATA'!H:H))))</f>
        <v/>
      </c>
      <c r="G177" s="4" t="str">
        <f>IF($D176="TOTAL:",FIXED(ROUND(((SUM($G$4:$G175)/'RAW DATA'!$E$2)*100),1),1)&amp;"%",IF($D177="TOTAL:",SUM($G$4:$G176),IF(SUMIF('RAW DATA'!M:M,'RAW DATA'!B177,'RAW DATA'!I:I)=0,"",SUMIF('RAW DATA'!M:M,'RAW DATA'!B177,'RAW DATA'!I:I))))</f>
        <v/>
      </c>
      <c r="H177" s="4" t="str">
        <f>IF(SUM(SUMIF('RAW DATA'!M:M,'RAW DATA'!B177,'RAW DATA'!J:J),SUMIF('RAW DATA'!N:N,'RAW DATA'!B177,'RAW DATA'!J:J),SUMIF('RAW DATA'!O:O,'RAW DATA'!B177,'RAW DATA'!J:J),SUMIF('RAW DATA'!P:P,'RAW DATA'!B177,'RAW DATA'!J:J))=0, "", SUM(SUMIF('RAW DATA'!M:M,'RAW DATA'!B177,'RAW DATA'!J:J),SUMIF('RAW DATA'!N:N,'RAW DATA'!B177,'RAW DATA'!J:J),SUMIF('RAW DATA'!O:O,'RAW DATA'!B177,'RAW DATA'!J:J),SUMIF('RAW DATA'!P:P,'RAW DATA'!B177,'RAW DATA'!J:J)))</f>
        <v/>
      </c>
      <c r="I177" s="4" t="str">
        <f>IF(SUMIF('RAW DATA'!M:M,'RAW DATA'!B177, 'RAW DATA'!K:K)=0, "", SUMIF('RAW DATA'!M:M,'RAW DATA'!B177, 'RAW DATA'!K:K))</f>
        <v/>
      </c>
      <c r="J177" s="29" t="str">
        <f>IF('RAW DATA'!B177&lt;&gt;"",IF(OR('RAW DATA'!H177=1,'RAW DATA'!H177=2),1,IF(ISNUMBER(FIND("Medic",'RAW DATA'!E177)),1,"")),"")</f>
        <v/>
      </c>
      <c r="K177" s="29" t="str">
        <f>IF(AND('RAW DATA'!$B177&lt;&gt;"",'RAW DATA'!L177=1),1,"")</f>
        <v/>
      </c>
      <c r="L177" s="24" t="str">
        <f t="shared" si="5"/>
        <v/>
      </c>
    </row>
    <row r="178" spans="2:12" x14ac:dyDescent="0.25">
      <c r="B178" s="1" t="str">
        <f>IF('RAW DATA'!$C178&lt;&gt;"",'RAW DATA'!$C178,"")</f>
        <v/>
      </c>
      <c r="C178" s="1" t="str">
        <f>IF('RAW DATA'!$D178&lt;&gt;"",'RAW DATA'!$D178,"")</f>
        <v/>
      </c>
      <c r="D178" s="1" t="str">
        <f>IF(AND($B177&lt;&gt;"", $B178=""), "TOTAL:", IF($D177="TOTAL:","VESSEL TARGET "&amp;'RAW DATA'!$E$2&amp;":",IF('RAW DATA'!$E178&lt;&gt;"",'RAW DATA'!$E178,"")))</f>
        <v/>
      </c>
      <c r="E178" s="29" t="str">
        <f t="shared" si="4"/>
        <v/>
      </c>
      <c r="F178" s="4" t="str">
        <f>IF($D177="TOTAL:",FIXED(ROUND(((SUM($F$4:$F176)/'RAW DATA'!$E$2)*100),1),1)&amp;"%",IF($D178="TOTAL:",SUM($F$4:$F177),IF(SUMIF('RAW DATA'!M:M,'RAW DATA'!B178,'RAW DATA'!H:H)=0,"",SUMIF('RAW DATA'!M:M,'RAW DATA'!B178,'RAW DATA'!H:H))))</f>
        <v/>
      </c>
      <c r="G178" s="4" t="str">
        <f>IF($D177="TOTAL:",FIXED(ROUND(((SUM($G$4:$G176)/'RAW DATA'!$E$2)*100),1),1)&amp;"%",IF($D178="TOTAL:",SUM($G$4:$G177),IF(SUMIF('RAW DATA'!M:M,'RAW DATA'!B178,'RAW DATA'!I:I)=0,"",SUMIF('RAW DATA'!M:M,'RAW DATA'!B178,'RAW DATA'!I:I))))</f>
        <v/>
      </c>
      <c r="H178" s="4" t="str">
        <f>IF(SUM(SUMIF('RAW DATA'!M:M,'RAW DATA'!B178,'RAW DATA'!J:J),SUMIF('RAW DATA'!N:N,'RAW DATA'!B178,'RAW DATA'!J:J),SUMIF('RAW DATA'!O:O,'RAW DATA'!B178,'RAW DATA'!J:J),SUMIF('RAW DATA'!P:P,'RAW DATA'!B178,'RAW DATA'!J:J))=0, "", SUM(SUMIF('RAW DATA'!M:M,'RAW DATA'!B178,'RAW DATA'!J:J),SUMIF('RAW DATA'!N:N,'RAW DATA'!B178,'RAW DATA'!J:J),SUMIF('RAW DATA'!O:O,'RAW DATA'!B178,'RAW DATA'!J:J),SUMIF('RAW DATA'!P:P,'RAW DATA'!B178,'RAW DATA'!J:J)))</f>
        <v/>
      </c>
      <c r="I178" s="4" t="str">
        <f>IF(SUMIF('RAW DATA'!M:M,'RAW DATA'!B178, 'RAW DATA'!K:K)=0, "", SUMIF('RAW DATA'!M:M,'RAW DATA'!B178, 'RAW DATA'!K:K))</f>
        <v/>
      </c>
      <c r="J178" s="29" t="str">
        <f>IF('RAW DATA'!B178&lt;&gt;"",IF(OR('RAW DATA'!H178=1,'RAW DATA'!H178=2),1,IF(ISNUMBER(FIND("Medic",'RAW DATA'!E178)),1,"")),"")</f>
        <v/>
      </c>
      <c r="K178" s="29" t="str">
        <f>IF(AND('RAW DATA'!$B178&lt;&gt;"",'RAW DATA'!L178=1),1,"")</f>
        <v/>
      </c>
      <c r="L178" s="24" t="str">
        <f t="shared" si="5"/>
        <v/>
      </c>
    </row>
    <row r="179" spans="2:12" x14ac:dyDescent="0.25">
      <c r="B179" s="1" t="str">
        <f>IF('RAW DATA'!$C179&lt;&gt;"",'RAW DATA'!$C179,"")</f>
        <v/>
      </c>
      <c r="C179" s="1" t="str">
        <f>IF('RAW DATA'!$D179&lt;&gt;"",'RAW DATA'!$D179,"")</f>
        <v/>
      </c>
      <c r="D179" s="1" t="str">
        <f>IF(AND($B178&lt;&gt;"", $B179=""), "TOTAL:", IF($D178="TOTAL:","VESSEL TARGET "&amp;'RAW DATA'!$E$2&amp;":",IF('RAW DATA'!$E179&lt;&gt;"",'RAW DATA'!$E179,"")))</f>
        <v/>
      </c>
      <c r="E179" s="29" t="str">
        <f t="shared" si="4"/>
        <v/>
      </c>
      <c r="F179" s="4" t="str">
        <f>IF($D178="TOTAL:",FIXED(ROUND(((SUM($F$4:$F177)/'RAW DATA'!$E$2)*100),1),1)&amp;"%",IF($D179="TOTAL:",SUM($F$4:$F178),IF(SUMIF('RAW DATA'!M:M,'RAW DATA'!B179,'RAW DATA'!H:H)=0,"",SUMIF('RAW DATA'!M:M,'RAW DATA'!B179,'RAW DATA'!H:H))))</f>
        <v/>
      </c>
      <c r="G179" s="4" t="str">
        <f>IF($D178="TOTAL:",FIXED(ROUND(((SUM($G$4:$G177)/'RAW DATA'!$E$2)*100),1),1)&amp;"%",IF($D179="TOTAL:",SUM($G$4:$G178),IF(SUMIF('RAW DATA'!M:M,'RAW DATA'!B179,'RAW DATA'!I:I)=0,"",SUMIF('RAW DATA'!M:M,'RAW DATA'!B179,'RAW DATA'!I:I))))</f>
        <v/>
      </c>
      <c r="H179" s="4" t="str">
        <f>IF(SUM(SUMIF('RAW DATA'!M:M,'RAW DATA'!B179,'RAW DATA'!J:J),SUMIF('RAW DATA'!N:N,'RAW DATA'!B179,'RAW DATA'!J:J),SUMIF('RAW DATA'!O:O,'RAW DATA'!B179,'RAW DATA'!J:J),SUMIF('RAW DATA'!P:P,'RAW DATA'!B179,'RAW DATA'!J:J))=0, "", SUM(SUMIF('RAW DATA'!M:M,'RAW DATA'!B179,'RAW DATA'!J:J),SUMIF('RAW DATA'!N:N,'RAW DATA'!B179,'RAW DATA'!J:J),SUMIF('RAW DATA'!O:O,'RAW DATA'!B179,'RAW DATA'!J:J),SUMIF('RAW DATA'!P:P,'RAW DATA'!B179,'RAW DATA'!J:J)))</f>
        <v/>
      </c>
      <c r="I179" s="4" t="str">
        <f>IF(SUMIF('RAW DATA'!M:M,'RAW DATA'!B179, 'RAW DATA'!K:K)=0, "", SUMIF('RAW DATA'!M:M,'RAW DATA'!B179, 'RAW DATA'!K:K))</f>
        <v/>
      </c>
      <c r="J179" s="29" t="str">
        <f>IF('RAW DATA'!B179&lt;&gt;"",IF(OR('RAW DATA'!H179=1,'RAW DATA'!H179=2),1,IF(ISNUMBER(FIND("Medic",'RAW DATA'!E179)),1,"")),"")</f>
        <v/>
      </c>
      <c r="K179" s="29" t="str">
        <f>IF(AND('RAW DATA'!$B179&lt;&gt;"",'RAW DATA'!L179=1),1,"")</f>
        <v/>
      </c>
      <c r="L179" s="24" t="str">
        <f t="shared" si="5"/>
        <v/>
      </c>
    </row>
    <row r="180" spans="2:12" x14ac:dyDescent="0.25">
      <c r="B180" s="1" t="str">
        <f>IF('RAW DATA'!$C182&lt;&gt;"",'RAW DATA'!$C182,"")</f>
        <v/>
      </c>
      <c r="C180" s="1" t="str">
        <f>IF('RAW DATA'!$D182&lt;&gt;"",'RAW DATA'!$D182,"")</f>
        <v/>
      </c>
      <c r="D180" s="1" t="str">
        <f>IF(AND($B179&lt;&gt;"", $B180=""), "TOTAL:", IF($D179="TOTAL:","VESSEL TARGET "&amp;'RAW DATA'!$E$2&amp;":",IF('RAW DATA'!$E180&lt;&gt;"",'RAW DATA'!$E180,"")))</f>
        <v/>
      </c>
      <c r="E180" s="29" t="str">
        <f t="shared" si="4"/>
        <v/>
      </c>
      <c r="F180" s="4" t="str">
        <f>IF($D179="TOTAL:",FIXED(ROUND(((SUM($F$4:$F178)/'RAW DATA'!$E$2)*100),1),1)&amp;"%",IF($D180="TOTAL:",SUM($F$4:$F179),IF(SUMIF('RAW DATA'!M:M,'RAW DATA'!B180,'RAW DATA'!H:H)=0,"",SUMIF('RAW DATA'!M:M,'RAW DATA'!B180,'RAW DATA'!H:H))))</f>
        <v/>
      </c>
      <c r="G180" s="4" t="str">
        <f>IF($D179="TOTAL:",FIXED(ROUND(((SUM($G$4:$G178)/'RAW DATA'!$E$2)*100),1),1)&amp;"%",IF($D180="TOTAL:",SUM($G$4:$G179),IF(SUMIF('RAW DATA'!M:M,'RAW DATA'!B180,'RAW DATA'!I:I)=0,"",SUMIF('RAW DATA'!M:M,'RAW DATA'!B180,'RAW DATA'!I:I))))</f>
        <v/>
      </c>
      <c r="H180" s="4" t="str">
        <f>IF(SUM(SUMIF('RAW DATA'!M:M,'RAW DATA'!B180,'RAW DATA'!J:J),SUMIF('RAW DATA'!N:N,'RAW DATA'!B180,'RAW DATA'!J:J),SUMIF('RAW DATA'!O:O,'RAW DATA'!B180,'RAW DATA'!J:J),SUMIF('RAW DATA'!P:P,'RAW DATA'!B180,'RAW DATA'!J:J))=0, "", SUM(SUMIF('RAW DATA'!M:M,'RAW DATA'!B180,'RAW DATA'!J:J),SUMIF('RAW DATA'!N:N,'RAW DATA'!B180,'RAW DATA'!J:J),SUMIF('RAW DATA'!O:O,'RAW DATA'!B180,'RAW DATA'!J:J),SUMIF('RAW DATA'!P:P,'RAW DATA'!B180,'RAW DATA'!J:J)))</f>
        <v/>
      </c>
      <c r="I180" s="4" t="str">
        <f>IF(SUMIF('RAW DATA'!M:M,'RAW DATA'!B180, 'RAW DATA'!K:K)=0, "", SUMIF('RAW DATA'!M:M,'RAW DATA'!B180, 'RAW DATA'!K:K))</f>
        <v/>
      </c>
      <c r="J180" s="29" t="str">
        <f>IF('RAW DATA'!B180&lt;&gt;"",IF(OR('RAW DATA'!H180=1,'RAW DATA'!H180=2),1,IF(ISNUMBER(FIND("Medic",'RAW DATA'!E180)),1,"")),"")</f>
        <v/>
      </c>
      <c r="K180" s="29" t="str">
        <f>IF(AND('RAW DATA'!$B180&lt;&gt;"",'RAW DATA'!L180=1),1,"")</f>
        <v/>
      </c>
      <c r="L180" s="24" t="str">
        <f t="shared" si="5"/>
        <v/>
      </c>
    </row>
    <row r="181" spans="2:12" x14ac:dyDescent="0.25">
      <c r="B181" s="1" t="str">
        <f>IF('RAW DATA'!$C183&lt;&gt;"",'RAW DATA'!$C183,"")</f>
        <v/>
      </c>
      <c r="C181" s="1" t="str">
        <f>IF('RAW DATA'!$D183&lt;&gt;"",'RAW DATA'!$D183,"")</f>
        <v/>
      </c>
      <c r="D181" s="1" t="str">
        <f>IF(AND($B180&lt;&gt;"", $B181=""), "TOTAL:", IF($D180="TOTAL:","VESSEL TARGET "&amp;'RAW DATA'!$E$2&amp;":",IF('RAW DATA'!$E181&lt;&gt;"",'RAW DATA'!$E181,"")))</f>
        <v/>
      </c>
      <c r="E181" s="29" t="str">
        <f t="shared" si="4"/>
        <v/>
      </c>
      <c r="F181" s="4" t="str">
        <f>IF($D180="TOTAL:",FIXED(ROUND(((SUM($F$4:$F179)/'RAW DATA'!$E$2)*100),1),1)&amp;"%",IF($D181="TOTAL:",SUM($F$4:$F180),IF(SUMIF('RAW DATA'!M:M,'RAW DATA'!B181,'RAW DATA'!H:H)=0,"",SUMIF('RAW DATA'!M:M,'RAW DATA'!B181,'RAW DATA'!H:H))))</f>
        <v/>
      </c>
      <c r="G181" s="4" t="str">
        <f>IF($D180="TOTAL:",FIXED(ROUND(((SUM($G$4:$G179)/'RAW DATA'!$E$2)*100),1),1)&amp;"%",IF($D181="TOTAL:",SUM($G$4:$G180),IF(SUMIF('RAW DATA'!M:M,'RAW DATA'!B181,'RAW DATA'!I:I)=0,"",SUMIF('RAW DATA'!M:M,'RAW DATA'!B181,'RAW DATA'!I:I))))</f>
        <v/>
      </c>
      <c r="H181" s="4" t="str">
        <f>IF(SUM(SUMIF('RAW DATA'!M:M,'RAW DATA'!B181,'RAW DATA'!J:J),SUMIF('RAW DATA'!N:N,'RAW DATA'!B181,'RAW DATA'!J:J),SUMIF('RAW DATA'!O:O,'RAW DATA'!B181,'RAW DATA'!J:J),SUMIF('RAW DATA'!P:P,'RAW DATA'!B181,'RAW DATA'!J:J))=0, "", SUM(SUMIF('RAW DATA'!M:M,'RAW DATA'!B181,'RAW DATA'!J:J),SUMIF('RAW DATA'!N:N,'RAW DATA'!B181,'RAW DATA'!J:J),SUMIF('RAW DATA'!O:O,'RAW DATA'!B181,'RAW DATA'!J:J),SUMIF('RAW DATA'!P:P,'RAW DATA'!B181,'RAW DATA'!J:J)))</f>
        <v/>
      </c>
      <c r="I181" s="4" t="str">
        <f>IF(SUMIF('RAW DATA'!M:M,'RAW DATA'!B181, 'RAW DATA'!K:K)=0, "", SUMIF('RAW DATA'!M:M,'RAW DATA'!B181, 'RAW DATA'!K:K))</f>
        <v/>
      </c>
      <c r="J181" s="29" t="str">
        <f>IF('RAW DATA'!B181&lt;&gt;"",IF(OR('RAW DATA'!H181=1,'RAW DATA'!H181=2),1,IF(ISNUMBER(FIND("Medic",'RAW DATA'!E181)),1,"")),"")</f>
        <v/>
      </c>
      <c r="K181" s="29" t="str">
        <f>IF(AND('RAW DATA'!$B181&lt;&gt;"",'RAW DATA'!L181=1),1,"")</f>
        <v/>
      </c>
      <c r="L181" s="24" t="str">
        <f t="shared" si="5"/>
        <v/>
      </c>
    </row>
    <row r="182" spans="2:12" x14ac:dyDescent="0.25">
      <c r="B182" s="1" t="str">
        <f>IF('RAW DATA'!$C184&lt;&gt;"",'RAW DATA'!$C184,"")</f>
        <v/>
      </c>
      <c r="C182" s="1" t="str">
        <f>IF('RAW DATA'!$D184&lt;&gt;"",'RAW DATA'!$D184,"")</f>
        <v/>
      </c>
      <c r="D182" s="1" t="str">
        <f>IF(AND($B181&lt;&gt;"", $B182=""), "TOTAL:", IF($D181="TOTAL:","VESSEL TARGET "&amp;'RAW DATA'!$E$2&amp;":",IF('RAW DATA'!$E182&lt;&gt;"",'RAW DATA'!$E182,"")))</f>
        <v/>
      </c>
      <c r="E182" s="29" t="str">
        <f t="shared" si="4"/>
        <v/>
      </c>
      <c r="F182" s="4" t="str">
        <f>IF($D181="TOTAL:",FIXED(ROUND(((SUM($F$4:$F180)/'RAW DATA'!$E$2)*100),1),1)&amp;"%",IF($D182="TOTAL:",SUM($F$4:$F181),IF(SUMIF('RAW DATA'!M:M,'RAW DATA'!B182,'RAW DATA'!H:H)=0,"",SUMIF('RAW DATA'!M:M,'RAW DATA'!B182,'RAW DATA'!H:H))))</f>
        <v/>
      </c>
      <c r="G182" s="4" t="str">
        <f>IF($D181="TOTAL:",FIXED(ROUND(((SUM($G$4:$G180)/'RAW DATA'!$E$2)*100),1),1)&amp;"%",IF($D182="TOTAL:",SUM($G$4:$G181),IF(SUMIF('RAW DATA'!M:M,'RAW DATA'!B182,'RAW DATA'!I:I)=0,"",SUMIF('RAW DATA'!M:M,'RAW DATA'!B182,'RAW DATA'!I:I))))</f>
        <v/>
      </c>
      <c r="H182" s="4" t="str">
        <f>IF(SUM(SUMIF('RAW DATA'!M:M,'RAW DATA'!B182,'RAW DATA'!J:J),SUMIF('RAW DATA'!N:N,'RAW DATA'!B182,'RAW DATA'!J:J),SUMIF('RAW DATA'!O:O,'RAW DATA'!B182,'RAW DATA'!J:J),SUMIF('RAW DATA'!P:P,'RAW DATA'!B182,'RAW DATA'!J:J))=0, "", SUM(SUMIF('RAW DATA'!M:M,'RAW DATA'!B182,'RAW DATA'!J:J),SUMIF('RAW DATA'!N:N,'RAW DATA'!B182,'RAW DATA'!J:J),SUMIF('RAW DATA'!O:O,'RAW DATA'!B182,'RAW DATA'!J:J),SUMIF('RAW DATA'!P:P,'RAW DATA'!B182,'RAW DATA'!J:J)))</f>
        <v/>
      </c>
      <c r="I182" s="4" t="str">
        <f>IF(SUMIF('RAW DATA'!M:M,'RAW DATA'!B182, 'RAW DATA'!K:K)=0, "", SUMIF('RAW DATA'!M:M,'RAW DATA'!B182, 'RAW DATA'!K:K))</f>
        <v/>
      </c>
      <c r="J182" s="29" t="str">
        <f>IF('RAW DATA'!B182&lt;&gt;"",IF(OR('RAW DATA'!H182=1,'RAW DATA'!H182=2),1,IF(ISNUMBER(FIND("Medic",'RAW DATA'!E182)),1,"")),"")</f>
        <v/>
      </c>
      <c r="K182" s="29" t="str">
        <f>IF(AND('RAW DATA'!$B182&lt;&gt;"",'RAW DATA'!L182=1),1,"")</f>
        <v/>
      </c>
      <c r="L182" s="24" t="str">
        <f t="shared" si="5"/>
        <v/>
      </c>
    </row>
    <row r="183" spans="2:12" x14ac:dyDescent="0.25">
      <c r="B183" s="1" t="str">
        <f>IF('RAW DATA'!$C185&lt;&gt;"",'RAW DATA'!$C185,"")</f>
        <v/>
      </c>
      <c r="C183" s="1" t="str">
        <f>IF('RAW DATA'!$D185&lt;&gt;"",'RAW DATA'!$D185,"")</f>
        <v/>
      </c>
      <c r="D183" s="1" t="str">
        <f>IF(AND($B182&lt;&gt;"", $B183=""), "TOTAL:", IF($D182="TOTAL:","VESSEL TARGET "&amp;'RAW DATA'!$E$2&amp;":",IF('RAW DATA'!$E183&lt;&gt;"",'RAW DATA'!$E183,"")))</f>
        <v/>
      </c>
      <c r="E183" s="29" t="str">
        <f t="shared" si="4"/>
        <v/>
      </c>
      <c r="F183" s="4" t="str">
        <f>IF($D182="TOTAL:",FIXED(ROUND(((SUM($F$4:$F181)/'RAW DATA'!$E$2)*100),1),1)&amp;"%",IF($D183="TOTAL:",SUM($F$4:$F182),IF(SUMIF('RAW DATA'!M:M,'RAW DATA'!B183,'RAW DATA'!H:H)=0,"",SUMIF('RAW DATA'!M:M,'RAW DATA'!B183,'RAW DATA'!H:H))))</f>
        <v/>
      </c>
      <c r="G183" s="4" t="str">
        <f>IF($D182="TOTAL:",FIXED(ROUND(((SUM($G$4:$G181)/'RAW DATA'!$E$2)*100),1),1)&amp;"%",IF($D183="TOTAL:",SUM($G$4:$G182),IF(SUMIF('RAW DATA'!M:M,'RAW DATA'!B183,'RAW DATA'!I:I)=0,"",SUMIF('RAW DATA'!M:M,'RAW DATA'!B183,'RAW DATA'!I:I))))</f>
        <v/>
      </c>
      <c r="H183" s="4" t="str">
        <f>IF(SUM(SUMIF('RAW DATA'!M:M,'RAW DATA'!B183,'RAW DATA'!J:J),SUMIF('RAW DATA'!N:N,'RAW DATA'!B183,'RAW DATA'!J:J),SUMIF('RAW DATA'!O:O,'RAW DATA'!B183,'RAW DATA'!J:J),SUMIF('RAW DATA'!P:P,'RAW DATA'!B183,'RAW DATA'!J:J))=0, "", SUM(SUMIF('RAW DATA'!M:M,'RAW DATA'!B183,'RAW DATA'!J:J),SUMIF('RAW DATA'!N:N,'RAW DATA'!B183,'RAW DATA'!J:J),SUMIF('RAW DATA'!O:O,'RAW DATA'!B183,'RAW DATA'!J:J),SUMIF('RAW DATA'!P:P,'RAW DATA'!B183,'RAW DATA'!J:J)))</f>
        <v/>
      </c>
      <c r="I183" s="4" t="str">
        <f>IF(SUMIF('RAW DATA'!M:M,'RAW DATA'!B183, 'RAW DATA'!K:K)=0, "", SUMIF('RAW DATA'!M:M,'RAW DATA'!B183, 'RAW DATA'!K:K))</f>
        <v/>
      </c>
      <c r="J183" s="29" t="str">
        <f>IF('RAW DATA'!B183&lt;&gt;"",IF(OR('RAW DATA'!H183=1,'RAW DATA'!H183=2),1,IF(ISNUMBER(FIND("Medic",'RAW DATA'!E183)),1,"")),"")</f>
        <v/>
      </c>
      <c r="K183" s="29" t="str">
        <f>IF(AND('RAW DATA'!$B183&lt;&gt;"",'RAW DATA'!L183=1),1,"")</f>
        <v/>
      </c>
      <c r="L183" s="24" t="str">
        <f t="shared" si="5"/>
        <v/>
      </c>
    </row>
    <row r="184" spans="2:12" x14ac:dyDescent="0.25">
      <c r="B184" s="1" t="str">
        <f>IF('RAW DATA'!$C186&lt;&gt;"",'RAW DATA'!$C186,"")</f>
        <v/>
      </c>
      <c r="C184" s="1" t="str">
        <f>IF('RAW DATA'!$D186&lt;&gt;"",'RAW DATA'!$D186,"")</f>
        <v/>
      </c>
      <c r="D184" s="1" t="str">
        <f>IF(AND($B183&lt;&gt;"", $B184=""), "TOTAL:", IF($D183="TOTAL:","VESSEL TARGET "&amp;'RAW DATA'!$E$2&amp;":",IF('RAW DATA'!$E184&lt;&gt;"",'RAW DATA'!$E184,"")))</f>
        <v/>
      </c>
      <c r="E184" s="29" t="str">
        <f t="shared" si="4"/>
        <v/>
      </c>
      <c r="F184" s="4" t="str">
        <f>IF($D183="TOTAL:",FIXED(ROUND(((SUM($F$4:$F182)/'RAW DATA'!$E$2)*100),1),1)&amp;"%",IF($D184="TOTAL:",SUM($F$4:$F183),IF(SUMIF('RAW DATA'!M:M,'RAW DATA'!B184,'RAW DATA'!H:H)=0,"",SUMIF('RAW DATA'!M:M,'RAW DATA'!B184,'RAW DATA'!H:H))))</f>
        <v/>
      </c>
      <c r="G184" s="4" t="str">
        <f>IF($D183="TOTAL:",FIXED(ROUND(((SUM($G$4:$G182)/'RAW DATA'!$E$2)*100),1),1)&amp;"%",IF($D184="TOTAL:",SUM($G$4:$G183),IF(SUMIF('RAW DATA'!M:M,'RAW DATA'!B184,'RAW DATA'!I:I)=0,"",SUMIF('RAW DATA'!M:M,'RAW DATA'!B184,'RAW DATA'!I:I))))</f>
        <v/>
      </c>
      <c r="H184" s="4" t="str">
        <f>IF(SUM(SUMIF('RAW DATA'!M:M,'RAW DATA'!B184,'RAW DATA'!J:J),SUMIF('RAW DATA'!N:N,'RAW DATA'!B184,'RAW DATA'!J:J),SUMIF('RAW DATA'!O:O,'RAW DATA'!B184,'RAW DATA'!J:J),SUMIF('RAW DATA'!P:P,'RAW DATA'!B184,'RAW DATA'!J:J))=0, "", SUM(SUMIF('RAW DATA'!M:M,'RAW DATA'!B184,'RAW DATA'!J:J),SUMIF('RAW DATA'!N:N,'RAW DATA'!B184,'RAW DATA'!J:J),SUMIF('RAW DATA'!O:O,'RAW DATA'!B184,'RAW DATA'!J:J),SUMIF('RAW DATA'!P:P,'RAW DATA'!B184,'RAW DATA'!J:J)))</f>
        <v/>
      </c>
      <c r="I184" s="4" t="str">
        <f>IF(SUMIF('RAW DATA'!M:M,'RAW DATA'!B184, 'RAW DATA'!K:K)=0, "", SUMIF('RAW DATA'!M:M,'RAW DATA'!B184, 'RAW DATA'!K:K))</f>
        <v/>
      </c>
      <c r="J184" s="29" t="str">
        <f>IF('RAW DATA'!B184&lt;&gt;"",IF(OR('RAW DATA'!H184=1,'RAW DATA'!H184=2),1,IF(ISNUMBER(FIND("Medic",'RAW DATA'!E184)),1,"")),"")</f>
        <v/>
      </c>
      <c r="K184" s="29" t="str">
        <f>IF(AND('RAW DATA'!$B184&lt;&gt;"",'RAW DATA'!L184=1),1,"")</f>
        <v/>
      </c>
      <c r="L184" s="24" t="str">
        <f t="shared" si="5"/>
        <v/>
      </c>
    </row>
    <row r="185" spans="2:12" x14ac:dyDescent="0.25">
      <c r="B185" s="1" t="str">
        <f>IF('RAW DATA'!$C187&lt;&gt;"",'RAW DATA'!$C187,"")</f>
        <v/>
      </c>
      <c r="C185" s="1" t="str">
        <f>IF('RAW DATA'!$D187&lt;&gt;"",'RAW DATA'!$D187,"")</f>
        <v/>
      </c>
      <c r="D185" s="1" t="str">
        <f>IF(AND($B184&lt;&gt;"", $B185=""), "TOTAL:", IF($D184="TOTAL:","VESSEL TARGET "&amp;'RAW DATA'!$E$2&amp;":",IF('RAW DATA'!$E185&lt;&gt;"",'RAW DATA'!$E185,"")))</f>
        <v/>
      </c>
      <c r="E185" s="29" t="str">
        <f t="shared" si="4"/>
        <v/>
      </c>
      <c r="F185" s="4" t="str">
        <f>IF($D184="TOTAL:",FIXED(ROUND(((SUM($F$4:$F183)/'RAW DATA'!$E$2)*100),1),1)&amp;"%",IF($D185="TOTAL:",SUM($F$4:$F184),IF(SUMIF('RAW DATA'!M:M,'RAW DATA'!B185,'RAW DATA'!H:H)=0,"",SUMIF('RAW DATA'!M:M,'RAW DATA'!B185,'RAW DATA'!H:H))))</f>
        <v/>
      </c>
      <c r="G185" s="4" t="str">
        <f>IF($D184="TOTAL:",FIXED(ROUND(((SUM($G$4:$G183)/'RAW DATA'!$E$2)*100),1),1)&amp;"%",IF($D185="TOTAL:",SUM($G$4:$G184),IF(SUMIF('RAW DATA'!M:M,'RAW DATA'!B185,'RAW DATA'!I:I)=0,"",SUMIF('RAW DATA'!M:M,'RAW DATA'!B185,'RAW DATA'!I:I))))</f>
        <v/>
      </c>
      <c r="H185" s="4" t="str">
        <f>IF(SUM(SUMIF('RAW DATA'!M:M,'RAW DATA'!B185,'RAW DATA'!J:J),SUMIF('RAW DATA'!N:N,'RAW DATA'!B185,'RAW DATA'!J:J),SUMIF('RAW DATA'!O:O,'RAW DATA'!B185,'RAW DATA'!J:J),SUMIF('RAW DATA'!P:P,'RAW DATA'!B185,'RAW DATA'!J:J))=0, "", SUM(SUMIF('RAW DATA'!M:M,'RAW DATA'!B185,'RAW DATA'!J:J),SUMIF('RAW DATA'!N:N,'RAW DATA'!B185,'RAW DATA'!J:J),SUMIF('RAW DATA'!O:O,'RAW DATA'!B185,'RAW DATA'!J:J),SUMIF('RAW DATA'!P:P,'RAW DATA'!B185,'RAW DATA'!J:J)))</f>
        <v/>
      </c>
      <c r="I185" s="4" t="str">
        <f>IF(SUMIF('RAW DATA'!M:M,'RAW DATA'!B185, 'RAW DATA'!K:K)=0, "", SUMIF('RAW DATA'!M:M,'RAW DATA'!B185, 'RAW DATA'!K:K))</f>
        <v/>
      </c>
      <c r="J185" s="29" t="str">
        <f>IF('RAW DATA'!B185&lt;&gt;"",IF(OR('RAW DATA'!H185=1,'RAW DATA'!H185=2),1,IF(ISNUMBER(FIND("Medic",'RAW DATA'!E185)),1,"")),"")</f>
        <v/>
      </c>
      <c r="K185" s="29" t="str">
        <f>IF(AND('RAW DATA'!$B185&lt;&gt;"",'RAW DATA'!L185=1),1,"")</f>
        <v/>
      </c>
      <c r="L185" s="24" t="str">
        <f t="shared" si="5"/>
        <v/>
      </c>
    </row>
    <row r="186" spans="2:12" x14ac:dyDescent="0.25">
      <c r="B186" s="1" t="str">
        <f>IF('RAW DATA'!$C188&lt;&gt;"",'RAW DATA'!$C188,"")</f>
        <v/>
      </c>
      <c r="C186" s="1" t="str">
        <f>IF('RAW DATA'!$D188&lt;&gt;"",'RAW DATA'!$D188,"")</f>
        <v/>
      </c>
      <c r="D186" s="1" t="str">
        <f>IF(AND($B185&lt;&gt;"", $B186=""), "TOTAL:", IF($D185="TOTAL:","VESSEL TARGET "&amp;'RAW DATA'!$E$2&amp;":",IF('RAW DATA'!$E186&lt;&gt;"",'RAW DATA'!$E186,"")))</f>
        <v/>
      </c>
      <c r="E186" s="29" t="str">
        <f t="shared" si="4"/>
        <v/>
      </c>
      <c r="F186" s="4" t="str">
        <f>IF($D185="TOTAL:",FIXED(ROUND(((SUM($F$4:$F184)/'RAW DATA'!$E$2)*100),1),1)&amp;"%",IF($D186="TOTAL:",SUM($F$4:$F185),IF(SUMIF('RAW DATA'!M:M,'RAW DATA'!B186,'RAW DATA'!H:H)=0,"",SUMIF('RAW DATA'!M:M,'RAW DATA'!B186,'RAW DATA'!H:H))))</f>
        <v/>
      </c>
      <c r="G186" s="4" t="str">
        <f>IF($D185="TOTAL:",FIXED(ROUND(((SUM($G$4:$G184)/'RAW DATA'!$E$2)*100),1),1)&amp;"%",IF($D186="TOTAL:",SUM($G$4:$G185),IF(SUMIF('RAW DATA'!M:M,'RAW DATA'!B186,'RAW DATA'!I:I)=0,"",SUMIF('RAW DATA'!M:M,'RAW DATA'!B186,'RAW DATA'!I:I))))</f>
        <v/>
      </c>
      <c r="H186" s="4" t="str">
        <f>IF(SUM(SUMIF('RAW DATA'!M:M,'RAW DATA'!B186,'RAW DATA'!J:J),SUMIF('RAW DATA'!N:N,'RAW DATA'!B186,'RAW DATA'!J:J),SUMIF('RAW DATA'!O:O,'RAW DATA'!B186,'RAW DATA'!J:J),SUMIF('RAW DATA'!P:P,'RAW DATA'!B186,'RAW DATA'!J:J))=0, "", SUM(SUMIF('RAW DATA'!M:M,'RAW DATA'!B186,'RAW DATA'!J:J),SUMIF('RAW DATA'!N:N,'RAW DATA'!B186,'RAW DATA'!J:J),SUMIF('RAW DATA'!O:O,'RAW DATA'!B186,'RAW DATA'!J:J),SUMIF('RAW DATA'!P:P,'RAW DATA'!B186,'RAW DATA'!J:J)))</f>
        <v/>
      </c>
      <c r="I186" s="4" t="str">
        <f>IF(SUMIF('RAW DATA'!M:M,'RAW DATA'!B186, 'RAW DATA'!K:K)=0, "", SUMIF('RAW DATA'!M:M,'RAW DATA'!B186, 'RAW DATA'!K:K))</f>
        <v/>
      </c>
      <c r="J186" s="29" t="str">
        <f>IF('RAW DATA'!B186&lt;&gt;"",IF(OR('RAW DATA'!H186=1,'RAW DATA'!H186=2),1,IF(ISNUMBER(FIND("Medic",'RAW DATA'!E186)),1,"")),"")</f>
        <v/>
      </c>
      <c r="K186" s="29" t="str">
        <f>IF(AND('RAW DATA'!$B186&lt;&gt;"",'RAW DATA'!L186=1),1,"")</f>
        <v/>
      </c>
      <c r="L186" s="24" t="str">
        <f t="shared" si="5"/>
        <v/>
      </c>
    </row>
    <row r="187" spans="2:12" x14ac:dyDescent="0.25">
      <c r="B187" s="1" t="str">
        <f>IF('RAW DATA'!$C189&lt;&gt;"",'RAW DATA'!$C189,"")</f>
        <v/>
      </c>
      <c r="C187" s="1" t="str">
        <f>IF('RAW DATA'!$D189&lt;&gt;"",'RAW DATA'!$D189,"")</f>
        <v/>
      </c>
      <c r="D187" s="1" t="str">
        <f>IF(AND($B186&lt;&gt;"", $B187=""), "TOTAL:", IF($D186="TOTAL:","VESSEL TARGET "&amp;'RAW DATA'!$E$2&amp;":",IF('RAW DATA'!$E187&lt;&gt;"",'RAW DATA'!$E187,"")))</f>
        <v/>
      </c>
      <c r="E187" s="29" t="str">
        <f t="shared" si="4"/>
        <v/>
      </c>
      <c r="F187" s="4" t="str">
        <f>IF($D186="TOTAL:",FIXED(ROUND(((SUM($F$4:$F185)/'RAW DATA'!$E$2)*100),1),1)&amp;"%",IF($D187="TOTAL:",SUM($F$4:$F186),IF(SUMIF('RAW DATA'!M:M,'RAW DATA'!B187,'RAW DATA'!H:H)=0,"",SUMIF('RAW DATA'!M:M,'RAW DATA'!B187,'RAW DATA'!H:H))))</f>
        <v/>
      </c>
      <c r="G187" s="4" t="str">
        <f>IF($D186="TOTAL:",FIXED(ROUND(((SUM($G$4:$G185)/'RAW DATA'!$E$2)*100),1),1)&amp;"%",IF($D187="TOTAL:",SUM($G$4:$G186),IF(SUMIF('RAW DATA'!M:M,'RAW DATA'!B187,'RAW DATA'!I:I)=0,"",SUMIF('RAW DATA'!M:M,'RAW DATA'!B187,'RAW DATA'!I:I))))</f>
        <v/>
      </c>
      <c r="H187" s="4" t="str">
        <f>IF(SUM(SUMIF('RAW DATA'!M:M,'RAW DATA'!B187,'RAW DATA'!J:J),SUMIF('RAW DATA'!N:N,'RAW DATA'!B187,'RAW DATA'!J:J),SUMIF('RAW DATA'!O:O,'RAW DATA'!B187,'RAW DATA'!J:J),SUMIF('RAW DATA'!P:P,'RAW DATA'!B187,'RAW DATA'!J:J))=0, "", SUM(SUMIF('RAW DATA'!M:M,'RAW DATA'!B187,'RAW DATA'!J:J),SUMIF('RAW DATA'!N:N,'RAW DATA'!B187,'RAW DATA'!J:J),SUMIF('RAW DATA'!O:O,'RAW DATA'!B187,'RAW DATA'!J:J),SUMIF('RAW DATA'!P:P,'RAW DATA'!B187,'RAW DATA'!J:J)))</f>
        <v/>
      </c>
      <c r="I187" s="4" t="str">
        <f>IF(SUMIF('RAW DATA'!M:M,'RAW DATA'!B187, 'RAW DATA'!K:K)=0, "", SUMIF('RAW DATA'!M:M,'RAW DATA'!B187, 'RAW DATA'!K:K))</f>
        <v/>
      </c>
      <c r="J187" s="29" t="str">
        <f>IF('RAW DATA'!B187&lt;&gt;"",IF(OR('RAW DATA'!H187=1,'RAW DATA'!H187=2),1,IF(ISNUMBER(FIND("Medic",'RAW DATA'!E187)),1,"")),"")</f>
        <v/>
      </c>
      <c r="K187" s="29" t="str">
        <f>IF(AND('RAW DATA'!$B187&lt;&gt;"",'RAW DATA'!L187=1),1,"")</f>
        <v/>
      </c>
      <c r="L187" s="24" t="str">
        <f t="shared" si="5"/>
        <v/>
      </c>
    </row>
    <row r="188" spans="2:12" x14ac:dyDescent="0.25">
      <c r="B188" s="1" t="str">
        <f>IF('RAW DATA'!$C190&lt;&gt;"",'RAW DATA'!$C190,"")</f>
        <v/>
      </c>
      <c r="C188" s="1" t="str">
        <f>IF('RAW DATA'!$D190&lt;&gt;"",'RAW DATA'!$D190,"")</f>
        <v/>
      </c>
      <c r="D188" s="1" t="str">
        <f>IF(AND($B187&lt;&gt;"", $B188=""), "TOTAL:", IF($D187="TOTAL:","VESSEL TARGET "&amp;'RAW DATA'!$E$2&amp;":",IF('RAW DATA'!$E188&lt;&gt;"",'RAW DATA'!$E188,"")))</f>
        <v/>
      </c>
      <c r="E188" s="29" t="str">
        <f t="shared" si="4"/>
        <v/>
      </c>
      <c r="F188" s="4" t="str">
        <f>IF($D187="TOTAL:",FIXED(ROUND(((SUM($F$4:$F186)/'RAW DATA'!$E$2)*100),1),1)&amp;"%",IF($D188="TOTAL:",SUM($F$4:$F187),IF(SUMIF('RAW DATA'!M:M,'RAW DATA'!B188,'RAW DATA'!H:H)=0,"",SUMIF('RAW DATA'!M:M,'RAW DATA'!B188,'RAW DATA'!H:H))))</f>
        <v/>
      </c>
      <c r="G188" s="4" t="str">
        <f>IF($D187="TOTAL:",FIXED(ROUND(((SUM($G$4:$G186)/'RAW DATA'!$E$2)*100),1),1)&amp;"%",IF($D188="TOTAL:",SUM($G$4:$G187),IF(SUMIF('RAW DATA'!M:M,'RAW DATA'!B188,'RAW DATA'!I:I)=0,"",SUMIF('RAW DATA'!M:M,'RAW DATA'!B188,'RAW DATA'!I:I))))</f>
        <v/>
      </c>
      <c r="H188" s="4" t="str">
        <f>IF(SUM(SUMIF('RAW DATA'!M:M,'RAW DATA'!B188,'RAW DATA'!J:J),SUMIF('RAW DATA'!N:N,'RAW DATA'!B188,'RAW DATA'!J:J),SUMIF('RAW DATA'!O:O,'RAW DATA'!B188,'RAW DATA'!J:J),SUMIF('RAW DATA'!P:P,'RAW DATA'!B188,'RAW DATA'!J:J))=0, "", SUM(SUMIF('RAW DATA'!M:M,'RAW DATA'!B188,'RAW DATA'!J:J),SUMIF('RAW DATA'!N:N,'RAW DATA'!B188,'RAW DATA'!J:J),SUMIF('RAW DATA'!O:O,'RAW DATA'!B188,'RAW DATA'!J:J),SUMIF('RAW DATA'!P:P,'RAW DATA'!B188,'RAW DATA'!J:J)))</f>
        <v/>
      </c>
      <c r="I188" s="4" t="str">
        <f>IF(SUMIF('RAW DATA'!M:M,'RAW DATA'!B188, 'RAW DATA'!K:K)=0, "", SUMIF('RAW DATA'!M:M,'RAW DATA'!B188, 'RAW DATA'!K:K))</f>
        <v/>
      </c>
      <c r="J188" s="29" t="str">
        <f>IF('RAW DATA'!B188&lt;&gt;"",IF(OR('RAW DATA'!H188=1,'RAW DATA'!H188=2),1,IF(ISNUMBER(FIND("Medic",'RAW DATA'!E188)),1,"")),"")</f>
        <v/>
      </c>
      <c r="K188" s="29" t="str">
        <f>IF(AND('RAW DATA'!$B188&lt;&gt;"",'RAW DATA'!L188=1),1,"")</f>
        <v/>
      </c>
      <c r="L188" s="24" t="str">
        <f t="shared" si="5"/>
        <v/>
      </c>
    </row>
    <row r="189" spans="2:12" x14ac:dyDescent="0.25">
      <c r="B189" s="1" t="str">
        <f>IF('RAW DATA'!$C191&lt;&gt;"",'RAW DATA'!$C191,"")</f>
        <v/>
      </c>
      <c r="C189" s="1" t="str">
        <f>IF('RAW DATA'!$D191&lt;&gt;"",'RAW DATA'!$D191,"")</f>
        <v/>
      </c>
      <c r="D189" s="1" t="str">
        <f>IF(AND($B188&lt;&gt;"", $B189=""), "TOTAL:", IF($D188="TOTAL:","VESSEL TARGET "&amp;'RAW DATA'!$E$2&amp;":",IF('RAW DATA'!$E189&lt;&gt;"",'RAW DATA'!$E189,"")))</f>
        <v/>
      </c>
      <c r="E189" s="29" t="str">
        <f t="shared" si="4"/>
        <v/>
      </c>
      <c r="F189" s="4" t="str">
        <f>IF($D188="TOTAL:",FIXED(ROUND(((SUM($F$4:$F187)/'RAW DATA'!$E$2)*100),1),1)&amp;"%",IF($D189="TOTAL:",SUM($F$4:$F188),IF(SUMIF('RAW DATA'!M:M,'RAW DATA'!B189,'RAW DATA'!H:H)=0,"",SUMIF('RAW DATA'!M:M,'RAW DATA'!B189,'RAW DATA'!H:H))))</f>
        <v/>
      </c>
      <c r="G189" s="4" t="str">
        <f>IF($D188="TOTAL:",FIXED(ROUND(((SUM($G$4:$G187)/'RAW DATA'!$E$2)*100),1),1)&amp;"%",IF($D189="TOTAL:",SUM($G$4:$G188),IF(SUMIF('RAW DATA'!M:M,'RAW DATA'!B189,'RAW DATA'!I:I)=0,"",SUMIF('RAW DATA'!M:M,'RAW DATA'!B189,'RAW DATA'!I:I))))</f>
        <v/>
      </c>
      <c r="H189" s="4" t="str">
        <f>IF(SUM(SUMIF('RAW DATA'!M:M,'RAW DATA'!B189,'RAW DATA'!J:J),SUMIF('RAW DATA'!N:N,'RAW DATA'!B189,'RAW DATA'!J:J),SUMIF('RAW DATA'!O:O,'RAW DATA'!B189,'RAW DATA'!J:J),SUMIF('RAW DATA'!P:P,'RAW DATA'!B189,'RAW DATA'!J:J))=0, "", SUM(SUMIF('RAW DATA'!M:M,'RAW DATA'!B189,'RAW DATA'!J:J),SUMIF('RAW DATA'!N:N,'RAW DATA'!B189,'RAW DATA'!J:J),SUMIF('RAW DATA'!O:O,'RAW DATA'!B189,'RAW DATA'!J:J),SUMIF('RAW DATA'!P:P,'RAW DATA'!B189,'RAW DATA'!J:J)))</f>
        <v/>
      </c>
      <c r="I189" s="4" t="str">
        <f>IF(SUMIF('RAW DATA'!M:M,'RAW DATA'!B189, 'RAW DATA'!K:K)=0, "", SUMIF('RAW DATA'!M:M,'RAW DATA'!B189, 'RAW DATA'!K:K))</f>
        <v/>
      </c>
      <c r="J189" s="29" t="str">
        <f>IF('RAW DATA'!B189&lt;&gt;"",IF(OR('RAW DATA'!H189=1,'RAW DATA'!H189=2),1,IF(ISNUMBER(FIND("Medic",'RAW DATA'!E189)),1,"")),"")</f>
        <v/>
      </c>
      <c r="K189" s="29" t="str">
        <f>IF(AND('RAW DATA'!$B189&lt;&gt;"",'RAW DATA'!L189=1),1,"")</f>
        <v/>
      </c>
      <c r="L189" s="24" t="str">
        <f t="shared" si="5"/>
        <v/>
      </c>
    </row>
    <row r="190" spans="2:12" x14ac:dyDescent="0.25">
      <c r="B190" s="1" t="str">
        <f>IF('RAW DATA'!$C192&lt;&gt;"",'RAW DATA'!$C192,"")</f>
        <v/>
      </c>
      <c r="C190" s="1" t="str">
        <f>IF('RAW DATA'!$D192&lt;&gt;"",'RAW DATA'!$D192,"")</f>
        <v/>
      </c>
      <c r="D190" s="1" t="str">
        <f>IF(AND($B189&lt;&gt;"", $B190=""), "TOTAL:", IF($D189="TOTAL:","VESSEL TARGET "&amp;'RAW DATA'!$E$2&amp;":",IF('RAW DATA'!$E190&lt;&gt;"",'RAW DATA'!$E190,"")))</f>
        <v/>
      </c>
      <c r="E190" s="29" t="str">
        <f t="shared" si="4"/>
        <v/>
      </c>
      <c r="F190" s="4" t="str">
        <f>IF($D189="TOTAL:",FIXED(ROUND(((SUM($F$4:$F188)/'RAW DATA'!$E$2)*100),1),1)&amp;"%",IF($D190="TOTAL:",SUM($F$4:$F189),IF(SUMIF('RAW DATA'!M:M,'RAW DATA'!B190,'RAW DATA'!H:H)=0,"",SUMIF('RAW DATA'!M:M,'RAW DATA'!B190,'RAW DATA'!H:H))))</f>
        <v/>
      </c>
      <c r="G190" s="4" t="str">
        <f>IF($D189="TOTAL:",FIXED(ROUND(((SUM($G$4:$G188)/'RAW DATA'!$E$2)*100),1),1)&amp;"%",IF($D190="TOTAL:",SUM($G$4:$G189),IF(SUMIF('RAW DATA'!M:M,'RAW DATA'!B190,'RAW DATA'!I:I)=0,"",SUMIF('RAW DATA'!M:M,'RAW DATA'!B190,'RAW DATA'!I:I))))</f>
        <v/>
      </c>
      <c r="H190" s="4" t="str">
        <f>IF(SUM(SUMIF('RAW DATA'!M:M,'RAW DATA'!B190,'RAW DATA'!J:J),SUMIF('RAW DATA'!N:N,'RAW DATA'!B190,'RAW DATA'!J:J),SUMIF('RAW DATA'!O:O,'RAW DATA'!B190,'RAW DATA'!J:J),SUMIF('RAW DATA'!P:P,'RAW DATA'!B190,'RAW DATA'!J:J))=0, "", SUM(SUMIF('RAW DATA'!M:M,'RAW DATA'!B190,'RAW DATA'!J:J),SUMIF('RAW DATA'!N:N,'RAW DATA'!B190,'RAW DATA'!J:J),SUMIF('RAW DATA'!O:O,'RAW DATA'!B190,'RAW DATA'!J:J),SUMIF('RAW DATA'!P:P,'RAW DATA'!B190,'RAW DATA'!J:J)))</f>
        <v/>
      </c>
      <c r="I190" s="4" t="str">
        <f>IF(SUMIF('RAW DATA'!M:M,'RAW DATA'!B190, 'RAW DATA'!K:K)=0, "", SUMIF('RAW DATA'!M:M,'RAW DATA'!B190, 'RAW DATA'!K:K))</f>
        <v/>
      </c>
      <c r="J190" s="29" t="str">
        <f>IF('RAW DATA'!B190&lt;&gt;"",IF(OR('RAW DATA'!H190=1,'RAW DATA'!H190=2),1,IF(ISNUMBER(FIND("Medic",'RAW DATA'!E190)),1,"")),"")</f>
        <v/>
      </c>
      <c r="K190" s="29" t="str">
        <f>IF(AND('RAW DATA'!$B190&lt;&gt;"",'RAW DATA'!L190=1),1,"")</f>
        <v/>
      </c>
      <c r="L190" s="24" t="str">
        <f t="shared" si="5"/>
        <v/>
      </c>
    </row>
    <row r="191" spans="2:12" x14ac:dyDescent="0.25">
      <c r="B191" s="1" t="str">
        <f>IF('RAW DATA'!$C193&lt;&gt;"",'RAW DATA'!$C193,"")</f>
        <v/>
      </c>
      <c r="C191" s="1" t="str">
        <f>IF('RAW DATA'!$D193&lt;&gt;"",'RAW DATA'!$D193,"")</f>
        <v/>
      </c>
      <c r="D191" s="1" t="str">
        <f>IF(AND($B190&lt;&gt;"", $B191=""), "TOTAL:", IF($D190="TOTAL:","VESSEL TARGET "&amp;'RAW DATA'!$E$2&amp;":",IF('RAW DATA'!$E191&lt;&gt;"",'RAW DATA'!$E191,"")))</f>
        <v/>
      </c>
      <c r="E191" s="29" t="str">
        <f t="shared" si="4"/>
        <v/>
      </c>
      <c r="F191" s="4" t="str">
        <f>IF($D190="TOTAL:",FIXED(ROUND(((SUM($F$4:$F189)/'RAW DATA'!$E$2)*100),1),1)&amp;"%",IF($D191="TOTAL:",SUM($F$4:$F190),IF(SUMIF('RAW DATA'!M:M,'RAW DATA'!B191,'RAW DATA'!H:H)=0,"",SUMIF('RAW DATA'!M:M,'RAW DATA'!B191,'RAW DATA'!H:H))))</f>
        <v/>
      </c>
      <c r="G191" s="4" t="str">
        <f>IF($D190="TOTAL:",FIXED(ROUND(((SUM($G$4:$G189)/'RAW DATA'!$E$2)*100),1),1)&amp;"%",IF($D191="TOTAL:",SUM($G$4:$G190),IF(SUMIF('RAW DATA'!M:M,'RAW DATA'!B191,'RAW DATA'!I:I)=0,"",SUMIF('RAW DATA'!M:M,'RAW DATA'!B191,'RAW DATA'!I:I))))</f>
        <v/>
      </c>
      <c r="H191" s="4" t="str">
        <f>IF(SUM(SUMIF('RAW DATA'!M:M,'RAW DATA'!B191,'RAW DATA'!J:J),SUMIF('RAW DATA'!N:N,'RAW DATA'!B191,'RAW DATA'!J:J),SUMIF('RAW DATA'!O:O,'RAW DATA'!B191,'RAW DATA'!J:J),SUMIF('RAW DATA'!P:P,'RAW DATA'!B191,'RAW DATA'!J:J))=0, "", SUM(SUMIF('RAW DATA'!M:M,'RAW DATA'!B191,'RAW DATA'!J:J),SUMIF('RAW DATA'!N:N,'RAW DATA'!B191,'RAW DATA'!J:J),SUMIF('RAW DATA'!O:O,'RAW DATA'!B191,'RAW DATA'!J:J),SUMIF('RAW DATA'!P:P,'RAW DATA'!B191,'RAW DATA'!J:J)))</f>
        <v/>
      </c>
      <c r="I191" s="4" t="str">
        <f>IF(SUMIF('RAW DATA'!M:M,'RAW DATA'!B191, 'RAW DATA'!K:K)=0, "", SUMIF('RAW DATA'!M:M,'RAW DATA'!B191, 'RAW DATA'!K:K))</f>
        <v/>
      </c>
      <c r="J191" s="29" t="str">
        <f>IF('RAW DATA'!B191&lt;&gt;"",IF(OR('RAW DATA'!H191=1,'RAW DATA'!H191=2),1,IF(ISNUMBER(FIND("Medic",'RAW DATA'!E191)),1,"")),"")</f>
        <v/>
      </c>
      <c r="K191" s="29" t="str">
        <f>IF(AND('RAW DATA'!$B191&lt;&gt;"",'RAW DATA'!L191=1),1,"")</f>
        <v/>
      </c>
      <c r="L191" s="24" t="str">
        <f t="shared" si="5"/>
        <v/>
      </c>
    </row>
    <row r="192" spans="2:12" x14ac:dyDescent="0.25">
      <c r="B192" s="1" t="str">
        <f>IF('RAW DATA'!$C194&lt;&gt;"",'RAW DATA'!$C194,"")</f>
        <v/>
      </c>
      <c r="C192" s="1" t="str">
        <f>IF('RAW DATA'!$D194&lt;&gt;"",'RAW DATA'!$D194,"")</f>
        <v/>
      </c>
      <c r="D192" s="1" t="str">
        <f>IF(AND($B191&lt;&gt;"", $B192=""), "TOTAL:", IF($D191="TOTAL:","VESSEL TARGET "&amp;'RAW DATA'!$E$2&amp;":",IF('RAW DATA'!$E192&lt;&gt;"",'RAW DATA'!$E192,"")))</f>
        <v/>
      </c>
      <c r="E192" s="29" t="str">
        <f t="shared" si="4"/>
        <v/>
      </c>
      <c r="F192" s="4" t="str">
        <f>IF($D191="TOTAL:",FIXED(ROUND(((SUM($F$4:$F190)/'RAW DATA'!$E$2)*100),1),1)&amp;"%",IF($D192="TOTAL:",SUM($F$4:$F191),IF(SUMIF('RAW DATA'!M:M,'RAW DATA'!B192,'RAW DATA'!H:H)=0,"",SUMIF('RAW DATA'!M:M,'RAW DATA'!B192,'RAW DATA'!H:H))))</f>
        <v/>
      </c>
      <c r="G192" s="4" t="str">
        <f>IF($D191="TOTAL:",FIXED(ROUND(((SUM($G$4:$G190)/'RAW DATA'!$E$2)*100),1),1)&amp;"%",IF($D192="TOTAL:",SUM($G$4:$G191),IF(SUMIF('RAW DATA'!M:M,'RAW DATA'!B192,'RAW DATA'!I:I)=0,"",SUMIF('RAW DATA'!M:M,'RAW DATA'!B192,'RAW DATA'!I:I))))</f>
        <v/>
      </c>
      <c r="H192" s="4" t="str">
        <f>IF(SUM(SUMIF('RAW DATA'!M:M,'RAW DATA'!B192,'RAW DATA'!J:J),SUMIF('RAW DATA'!N:N,'RAW DATA'!B192,'RAW DATA'!J:J),SUMIF('RAW DATA'!O:O,'RAW DATA'!B192,'RAW DATA'!J:J),SUMIF('RAW DATA'!P:P,'RAW DATA'!B192,'RAW DATA'!J:J))=0, "", SUM(SUMIF('RAW DATA'!M:M,'RAW DATA'!B192,'RAW DATA'!J:J),SUMIF('RAW DATA'!N:N,'RAW DATA'!B192,'RAW DATA'!J:J),SUMIF('RAW DATA'!O:O,'RAW DATA'!B192,'RAW DATA'!J:J),SUMIF('RAW DATA'!P:P,'RAW DATA'!B192,'RAW DATA'!J:J)))</f>
        <v/>
      </c>
      <c r="I192" s="4" t="str">
        <f>IF(SUMIF('RAW DATA'!M:M,'RAW DATA'!B192, 'RAW DATA'!K:K)=0, "", SUMIF('RAW DATA'!M:M,'RAW DATA'!B192, 'RAW DATA'!K:K))</f>
        <v/>
      </c>
      <c r="J192" s="29" t="str">
        <f>IF('RAW DATA'!B192&lt;&gt;"",IF(OR('RAW DATA'!H192=1,'RAW DATA'!H192=2),1,IF(ISNUMBER(FIND("Medic",'RAW DATA'!E192)),1,"")),"")</f>
        <v/>
      </c>
      <c r="K192" s="29" t="str">
        <f>IF(AND('RAW DATA'!$B192&lt;&gt;"",'RAW DATA'!L192=1),1,"")</f>
        <v/>
      </c>
      <c r="L192" s="24" t="str">
        <f t="shared" si="5"/>
        <v/>
      </c>
    </row>
    <row r="193" spans="2:12" x14ac:dyDescent="0.25">
      <c r="B193" s="1" t="str">
        <f>IF('RAW DATA'!$C195&lt;&gt;"",'RAW DATA'!$C195,"")</f>
        <v/>
      </c>
      <c r="C193" s="1" t="str">
        <f>IF('RAW DATA'!$D195&lt;&gt;"",'RAW DATA'!$D195,"")</f>
        <v/>
      </c>
      <c r="D193" s="1" t="str">
        <f>IF(AND($B192&lt;&gt;"", $B193=""), "TOTAL:", IF($D192="TOTAL:","VESSEL TARGET "&amp;'RAW DATA'!$E$2&amp;":",IF('RAW DATA'!$E193&lt;&gt;"",'RAW DATA'!$E193,"")))</f>
        <v/>
      </c>
      <c r="E193" s="29" t="str">
        <f t="shared" si="4"/>
        <v/>
      </c>
      <c r="F193" s="4" t="str">
        <f>IF($D192="TOTAL:",FIXED(ROUND(((SUM($F$4:$F191)/'RAW DATA'!$E$2)*100),1),1)&amp;"%",IF($D193="TOTAL:",SUM($F$4:$F192),IF(SUMIF('RAW DATA'!M:M,'RAW DATA'!B193,'RAW DATA'!H:H)=0,"",SUMIF('RAW DATA'!M:M,'RAW DATA'!B193,'RAW DATA'!H:H))))</f>
        <v/>
      </c>
      <c r="G193" s="4" t="str">
        <f>IF($D192="TOTAL:",FIXED(ROUND(((SUM($G$4:$G191)/'RAW DATA'!$E$2)*100),1),1)&amp;"%",IF($D193="TOTAL:",SUM($G$4:$G192),IF(SUMIF('RAW DATA'!M:M,'RAW DATA'!B193,'RAW DATA'!I:I)=0,"",SUMIF('RAW DATA'!M:M,'RAW DATA'!B193,'RAW DATA'!I:I))))</f>
        <v/>
      </c>
      <c r="H193" s="4" t="str">
        <f>IF(SUM(SUMIF('RAW DATA'!M:M,'RAW DATA'!B193,'RAW DATA'!J:J),SUMIF('RAW DATA'!N:N,'RAW DATA'!B193,'RAW DATA'!J:J),SUMIF('RAW DATA'!O:O,'RAW DATA'!B193,'RAW DATA'!J:J),SUMIF('RAW DATA'!P:P,'RAW DATA'!B193,'RAW DATA'!J:J))=0, "", SUM(SUMIF('RAW DATA'!M:M,'RAW DATA'!B193,'RAW DATA'!J:J),SUMIF('RAW DATA'!N:N,'RAW DATA'!B193,'RAW DATA'!J:J),SUMIF('RAW DATA'!O:O,'RAW DATA'!B193,'RAW DATA'!J:J),SUMIF('RAW DATA'!P:P,'RAW DATA'!B193,'RAW DATA'!J:J)))</f>
        <v/>
      </c>
      <c r="I193" s="4" t="str">
        <f>IF(SUMIF('RAW DATA'!M:M,'RAW DATA'!B193, 'RAW DATA'!K:K)=0, "", SUMIF('RAW DATA'!M:M,'RAW DATA'!B193, 'RAW DATA'!K:K))</f>
        <v/>
      </c>
      <c r="J193" s="29" t="str">
        <f>IF('RAW DATA'!B193&lt;&gt;"",IF(OR('RAW DATA'!H193=1,'RAW DATA'!H193=2),1,IF(ISNUMBER(FIND("Medic",'RAW DATA'!E193)),1,"")),"")</f>
        <v/>
      </c>
      <c r="K193" s="29" t="str">
        <f>IF(AND('RAW DATA'!$B193&lt;&gt;"",'RAW DATA'!L193=1),1,"")</f>
        <v/>
      </c>
      <c r="L193" s="24" t="str">
        <f t="shared" si="5"/>
        <v/>
      </c>
    </row>
    <row r="194" spans="2:12" x14ac:dyDescent="0.25">
      <c r="B194" s="1" t="str">
        <f>IF('RAW DATA'!$C196&lt;&gt;"",'RAW DATA'!$C196,"")</f>
        <v/>
      </c>
      <c r="C194" s="1" t="str">
        <f>IF('RAW DATA'!$D196&lt;&gt;"",'RAW DATA'!$D196,"")</f>
        <v/>
      </c>
      <c r="D194" s="1" t="str">
        <f>IF(AND($B193&lt;&gt;"", $B194=""), "TOTAL:", IF($D193="TOTAL:","VESSEL TARGET "&amp;'RAW DATA'!$E$2&amp;":",IF('RAW DATA'!$E194&lt;&gt;"",'RAW DATA'!$E194,"")))</f>
        <v/>
      </c>
      <c r="E194" s="29" t="str">
        <f t="shared" si="4"/>
        <v/>
      </c>
      <c r="F194" s="4" t="str">
        <f>IF($D193="TOTAL:",FIXED(ROUND(((SUM($F$4:$F192)/'RAW DATA'!$E$2)*100),1),1)&amp;"%",IF($D194="TOTAL:",SUM($F$4:$F193),IF(SUMIF('RAW DATA'!M:M,'RAW DATA'!B194,'RAW DATA'!H:H)=0,"",SUMIF('RAW DATA'!M:M,'RAW DATA'!B194,'RAW DATA'!H:H))))</f>
        <v/>
      </c>
      <c r="G194" s="4" t="str">
        <f>IF($D193="TOTAL:",FIXED(ROUND(((SUM($G$4:$G192)/'RAW DATA'!$E$2)*100),1),1)&amp;"%",IF($D194="TOTAL:",SUM($G$4:$G193),IF(SUMIF('RAW DATA'!M:M,'RAW DATA'!B194,'RAW DATA'!I:I)=0,"",SUMIF('RAW DATA'!M:M,'RAW DATA'!B194,'RAW DATA'!I:I))))</f>
        <v/>
      </c>
      <c r="H194" s="4" t="str">
        <f>IF(SUM(SUMIF('RAW DATA'!M:M,'RAW DATA'!B194,'RAW DATA'!J:J),SUMIF('RAW DATA'!N:N,'RAW DATA'!B194,'RAW DATA'!J:J),SUMIF('RAW DATA'!O:O,'RAW DATA'!B194,'RAW DATA'!J:J),SUMIF('RAW DATA'!P:P,'RAW DATA'!B194,'RAW DATA'!J:J))=0, "", SUM(SUMIF('RAW DATA'!M:M,'RAW DATA'!B194,'RAW DATA'!J:J),SUMIF('RAW DATA'!N:N,'RAW DATA'!B194,'RAW DATA'!J:J),SUMIF('RAW DATA'!O:O,'RAW DATA'!B194,'RAW DATA'!J:J),SUMIF('RAW DATA'!P:P,'RAW DATA'!B194,'RAW DATA'!J:J)))</f>
        <v/>
      </c>
      <c r="I194" s="4" t="str">
        <f>IF(SUMIF('RAW DATA'!M:M,'RAW DATA'!B194, 'RAW DATA'!K:K)=0, "", SUMIF('RAW DATA'!M:M,'RAW DATA'!B194, 'RAW DATA'!K:K))</f>
        <v/>
      </c>
      <c r="J194" s="29" t="str">
        <f>IF('RAW DATA'!B194&lt;&gt;"",IF(OR('RAW DATA'!H194=1,'RAW DATA'!H194=2),1,IF(ISNUMBER(FIND("Medic",'RAW DATA'!E194)),1,"")),"")</f>
        <v/>
      </c>
      <c r="K194" s="29" t="str">
        <f>IF(AND('RAW DATA'!$B194&lt;&gt;"",'RAW DATA'!L194=1),1,"")</f>
        <v/>
      </c>
      <c r="L194" s="24" t="str">
        <f t="shared" si="5"/>
        <v/>
      </c>
    </row>
    <row r="195" spans="2:12" x14ac:dyDescent="0.25">
      <c r="B195" s="1" t="str">
        <f>IF('RAW DATA'!$C197&lt;&gt;"",'RAW DATA'!$C197,"")</f>
        <v/>
      </c>
      <c r="C195" s="1" t="str">
        <f>IF('RAW DATA'!$D197&lt;&gt;"",'RAW DATA'!$D197,"")</f>
        <v/>
      </c>
      <c r="D195" s="1" t="str">
        <f>IF(AND($B194&lt;&gt;"", $B195=""), "TOTAL:", IF($D194="TOTAL:","VESSEL TARGET "&amp;'RAW DATA'!$E$2&amp;":",IF('RAW DATA'!$E195&lt;&gt;"",'RAW DATA'!$E195,"")))</f>
        <v/>
      </c>
      <c r="E195" s="29" t="str">
        <f t="shared" si="4"/>
        <v/>
      </c>
      <c r="F195" s="4" t="str">
        <f>IF($D194="TOTAL:",FIXED(ROUND(((SUM($F$4:$F193)/'RAW DATA'!$E$2)*100),1),1)&amp;"%",IF($D195="TOTAL:",SUM($F$4:$F194),IF(SUMIF('RAW DATA'!M:M,'RAW DATA'!B195,'RAW DATA'!H:H)=0,"",SUMIF('RAW DATA'!M:M,'RAW DATA'!B195,'RAW DATA'!H:H))))</f>
        <v/>
      </c>
      <c r="G195" s="4" t="str">
        <f>IF($D194="TOTAL:",FIXED(ROUND(((SUM($G$4:$G193)/'RAW DATA'!$E$2)*100),1),1)&amp;"%",IF($D195="TOTAL:",SUM($G$4:$G194),IF(SUMIF('RAW DATA'!M:M,'RAW DATA'!B195,'RAW DATA'!I:I)=0,"",SUMIF('RAW DATA'!M:M,'RAW DATA'!B195,'RAW DATA'!I:I))))</f>
        <v/>
      </c>
      <c r="H195" s="4" t="str">
        <f>IF(SUM(SUMIF('RAW DATA'!M:M,'RAW DATA'!B195,'RAW DATA'!J:J),SUMIF('RAW DATA'!N:N,'RAW DATA'!B195,'RAW DATA'!J:J),SUMIF('RAW DATA'!O:O,'RAW DATA'!B195,'RAW DATA'!J:J),SUMIF('RAW DATA'!P:P,'RAW DATA'!B195,'RAW DATA'!J:J))=0, "", SUM(SUMIF('RAW DATA'!M:M,'RAW DATA'!B195,'RAW DATA'!J:J),SUMIF('RAW DATA'!N:N,'RAW DATA'!B195,'RAW DATA'!J:J),SUMIF('RAW DATA'!O:O,'RAW DATA'!B195,'RAW DATA'!J:J),SUMIF('RAW DATA'!P:P,'RAW DATA'!B195,'RAW DATA'!J:J)))</f>
        <v/>
      </c>
      <c r="I195" s="4" t="str">
        <f>IF(SUMIF('RAW DATA'!M:M,'RAW DATA'!B195, 'RAW DATA'!K:K)=0, "", SUMIF('RAW DATA'!M:M,'RAW DATA'!B195, 'RAW DATA'!K:K))</f>
        <v/>
      </c>
      <c r="J195" s="29" t="str">
        <f>IF('RAW DATA'!B195&lt;&gt;"",IF(OR('RAW DATA'!H195=1,'RAW DATA'!H195=2),1,IF(ISNUMBER(FIND("Medic",'RAW DATA'!E195)),1,"")),"")</f>
        <v/>
      </c>
      <c r="K195" s="29" t="str">
        <f>IF(AND('RAW DATA'!$B195&lt;&gt;"",'RAW DATA'!L195=1),1,"")</f>
        <v/>
      </c>
      <c r="L195" s="24" t="str">
        <f t="shared" si="5"/>
        <v/>
      </c>
    </row>
    <row r="196" spans="2:12" x14ac:dyDescent="0.25">
      <c r="B196" s="1" t="str">
        <f>IF('RAW DATA'!$C198&lt;&gt;"",'RAW DATA'!$C198,"")</f>
        <v/>
      </c>
      <c r="C196" s="1" t="str">
        <f>IF('RAW DATA'!$D198&lt;&gt;"",'RAW DATA'!$D198,"")</f>
        <v/>
      </c>
      <c r="D196" s="1" t="str">
        <f>IF(AND($B195&lt;&gt;"", $B196=""), "TOTAL:", IF($D195="TOTAL:","VESSEL TARGET "&amp;'RAW DATA'!$E$2&amp;":",IF('RAW DATA'!$E196&lt;&gt;"",'RAW DATA'!$E196,"")))</f>
        <v/>
      </c>
      <c r="E196" s="29" t="str">
        <f t="shared" si="4"/>
        <v/>
      </c>
      <c r="F196" s="4" t="str">
        <f>IF($D195="TOTAL:",FIXED(ROUND(((SUM($F$4:$F194)/'RAW DATA'!$E$2)*100),1),1)&amp;"%",IF($D196="TOTAL:",SUM($F$4:$F195),IF(SUMIF('RAW DATA'!M:M,'RAW DATA'!B196,'RAW DATA'!H:H)=0,"",SUMIF('RAW DATA'!M:M,'RAW DATA'!B196,'RAW DATA'!H:H))))</f>
        <v/>
      </c>
      <c r="G196" s="4" t="str">
        <f>IF($D195="TOTAL:",FIXED(ROUND(((SUM($G$4:$G194)/'RAW DATA'!$E$2)*100),1),1)&amp;"%",IF($D196="TOTAL:",SUM($G$4:$G195),IF(SUMIF('RAW DATA'!M:M,'RAW DATA'!B196,'RAW DATA'!I:I)=0,"",SUMIF('RAW DATA'!M:M,'RAW DATA'!B196,'RAW DATA'!I:I))))</f>
        <v/>
      </c>
      <c r="H196" s="4" t="str">
        <f>IF(SUM(SUMIF('RAW DATA'!M:M,'RAW DATA'!B196,'RAW DATA'!J:J),SUMIF('RAW DATA'!N:N,'RAW DATA'!B196,'RAW DATA'!J:J),SUMIF('RAW DATA'!O:O,'RAW DATA'!B196,'RAW DATA'!J:J),SUMIF('RAW DATA'!P:P,'RAW DATA'!B196,'RAW DATA'!J:J))=0, "", SUM(SUMIF('RAW DATA'!M:M,'RAW DATA'!B196,'RAW DATA'!J:J),SUMIF('RAW DATA'!N:N,'RAW DATA'!B196,'RAW DATA'!J:J),SUMIF('RAW DATA'!O:O,'RAW DATA'!B196,'RAW DATA'!J:J),SUMIF('RAW DATA'!P:P,'RAW DATA'!B196,'RAW DATA'!J:J)))</f>
        <v/>
      </c>
      <c r="I196" s="4" t="str">
        <f>IF(SUMIF('RAW DATA'!M:M,'RAW DATA'!B196, 'RAW DATA'!K:K)=0, "", SUMIF('RAW DATA'!M:M,'RAW DATA'!B196, 'RAW DATA'!K:K))</f>
        <v/>
      </c>
      <c r="J196" s="29" t="str">
        <f>IF('RAW DATA'!B196&lt;&gt;"",IF(OR('RAW DATA'!H196=1,'RAW DATA'!H196=2),1,IF(ISNUMBER(FIND("Medic",'RAW DATA'!E196)),1,"")),"")</f>
        <v/>
      </c>
      <c r="K196" s="29" t="str">
        <f>IF(AND('RAW DATA'!$B196&lt;&gt;"",'RAW DATA'!L196=1),1,"")</f>
        <v/>
      </c>
      <c r="L196" s="24" t="str">
        <f t="shared" si="5"/>
        <v/>
      </c>
    </row>
    <row r="197" spans="2:12" x14ac:dyDescent="0.25">
      <c r="B197" s="1" t="str">
        <f>IF('RAW DATA'!$C199&lt;&gt;"",'RAW DATA'!$C199,"")</f>
        <v/>
      </c>
      <c r="C197" s="1" t="str">
        <f>IF('RAW DATA'!$D199&lt;&gt;"",'RAW DATA'!$D199,"")</f>
        <v/>
      </c>
      <c r="D197" s="1" t="str">
        <f>IF(AND($B196&lt;&gt;"", $B197=""), "TOTAL:", IF($D196="TOTAL:","VESSEL TARGET "&amp;'RAW DATA'!$E$2&amp;":",IF('RAW DATA'!$E197&lt;&gt;"",'RAW DATA'!$E197,"")))</f>
        <v/>
      </c>
      <c r="E197" s="29" t="str">
        <f t="shared" ref="E197:E260" si="6">IF(B197&lt;&gt;"",IF(SUM(FLOOR(SUM(F197)/3,1)*10,FLOOR(SUM(G197)/3,1)*10, IF(SUM(H197)&gt;=1,5,0), IF(SUM(I197)&gt;=2,5,0), IF(SUM(J197)&gt;=1,5,0), IF(SUM(K197)&gt;=1,15,0))&gt;0, SUM(FLOOR(SUM(F197)/3,1)*10,FLOOR(SUM(G197)/3,1)*10, IF(SUM(H197)&gt;=1,5,0), IF(SUM(I197)&gt;=2,5,0), IF(SUM(J197)&gt;=1,5,0), IF(SUM(K197)&gt;=1,15,0)),""),"")</f>
        <v/>
      </c>
      <c r="F197" s="4" t="str">
        <f>IF($D196="TOTAL:",FIXED(ROUND(((SUM($F$4:$F195)/'RAW DATA'!$E$2)*100),1),1)&amp;"%",IF($D197="TOTAL:",SUM($F$4:$F196),IF(SUMIF('RAW DATA'!M:M,'RAW DATA'!B197,'RAW DATA'!H:H)=0,"",SUMIF('RAW DATA'!M:M,'RAW DATA'!B197,'RAW DATA'!H:H))))</f>
        <v/>
      </c>
      <c r="G197" s="4" t="str">
        <f>IF($D196="TOTAL:",FIXED(ROUND(((SUM($G$4:$G195)/'RAW DATA'!$E$2)*100),1),1)&amp;"%",IF($D197="TOTAL:",SUM($G$4:$G196),IF(SUMIF('RAW DATA'!M:M,'RAW DATA'!B197,'RAW DATA'!I:I)=0,"",SUMIF('RAW DATA'!M:M,'RAW DATA'!B197,'RAW DATA'!I:I))))</f>
        <v/>
      </c>
      <c r="H197" s="4" t="str">
        <f>IF(SUM(SUMIF('RAW DATA'!M:M,'RAW DATA'!B197,'RAW DATA'!J:J),SUMIF('RAW DATA'!N:N,'RAW DATA'!B197,'RAW DATA'!J:J),SUMIF('RAW DATA'!O:O,'RAW DATA'!B197,'RAW DATA'!J:J),SUMIF('RAW DATA'!P:P,'RAW DATA'!B197,'RAW DATA'!J:J))=0, "", SUM(SUMIF('RAW DATA'!M:M,'RAW DATA'!B197,'RAW DATA'!J:J),SUMIF('RAW DATA'!N:N,'RAW DATA'!B197,'RAW DATA'!J:J),SUMIF('RAW DATA'!O:O,'RAW DATA'!B197,'RAW DATA'!J:J),SUMIF('RAW DATA'!P:P,'RAW DATA'!B197,'RAW DATA'!J:J)))</f>
        <v/>
      </c>
      <c r="I197" s="4" t="str">
        <f>IF(SUMIF('RAW DATA'!M:M,'RAW DATA'!B197, 'RAW DATA'!K:K)=0, "", SUMIF('RAW DATA'!M:M,'RAW DATA'!B197, 'RAW DATA'!K:K))</f>
        <v/>
      </c>
      <c r="J197" s="29" t="str">
        <f>IF('RAW DATA'!B197&lt;&gt;"",IF(OR('RAW DATA'!H197=1,'RAW DATA'!H197=2),1,IF(ISNUMBER(FIND("Medic",'RAW DATA'!E197)),1,"")),"")</f>
        <v/>
      </c>
      <c r="K197" s="29" t="str">
        <f>IF(AND('RAW DATA'!$B197&lt;&gt;"",'RAW DATA'!L197=1),1,"")</f>
        <v/>
      </c>
      <c r="L197" s="24" t="str">
        <f t="shared" ref="L197:L260" si="7">IF(OR($B197="", $F197="",$G197=""),"",IF(AND($F197&gt;=2,$G197&gt;=2),1,""))</f>
        <v/>
      </c>
    </row>
    <row r="198" spans="2:12" x14ac:dyDescent="0.25">
      <c r="B198" s="1" t="str">
        <f>IF('RAW DATA'!$C200&lt;&gt;"",'RAW DATA'!$C200,"")</f>
        <v/>
      </c>
      <c r="C198" s="1" t="str">
        <f>IF('RAW DATA'!$D200&lt;&gt;"",'RAW DATA'!$D200,"")</f>
        <v/>
      </c>
      <c r="D198" s="1" t="str">
        <f>IF(AND($B197&lt;&gt;"", $B198=""), "TOTAL:", IF($D197="TOTAL:","VESSEL TARGET "&amp;'RAW DATA'!$E$2&amp;":",IF('RAW DATA'!$E198&lt;&gt;"",'RAW DATA'!$E198,"")))</f>
        <v/>
      </c>
      <c r="E198" s="29" t="str">
        <f t="shared" si="6"/>
        <v/>
      </c>
      <c r="F198" s="4" t="str">
        <f>IF($D197="TOTAL:",FIXED(ROUND(((SUM($F$4:$F196)/'RAW DATA'!$E$2)*100),1),1)&amp;"%",IF($D198="TOTAL:",SUM($F$4:$F197),IF(SUMIF('RAW DATA'!M:M,'RAW DATA'!B198,'RAW DATA'!H:H)=0,"",SUMIF('RAW DATA'!M:M,'RAW DATA'!B198,'RAW DATA'!H:H))))</f>
        <v/>
      </c>
      <c r="G198" s="4" t="str">
        <f>IF($D197="TOTAL:",FIXED(ROUND(((SUM($G$4:$G196)/'RAW DATA'!$E$2)*100),1),1)&amp;"%",IF($D198="TOTAL:",SUM($G$4:$G197),IF(SUMIF('RAW DATA'!M:M,'RAW DATA'!B198,'RAW DATA'!I:I)=0,"",SUMIF('RAW DATA'!M:M,'RAW DATA'!B198,'RAW DATA'!I:I))))</f>
        <v/>
      </c>
      <c r="H198" s="4" t="str">
        <f>IF(SUM(SUMIF('RAW DATA'!M:M,'RAW DATA'!B198,'RAW DATA'!J:J),SUMIF('RAW DATA'!N:N,'RAW DATA'!B198,'RAW DATA'!J:J),SUMIF('RAW DATA'!O:O,'RAW DATA'!B198,'RAW DATA'!J:J),SUMIF('RAW DATA'!P:P,'RAW DATA'!B198,'RAW DATA'!J:J))=0, "", SUM(SUMIF('RAW DATA'!M:M,'RAW DATA'!B198,'RAW DATA'!J:J),SUMIF('RAW DATA'!N:N,'RAW DATA'!B198,'RAW DATA'!J:J),SUMIF('RAW DATA'!O:O,'RAW DATA'!B198,'RAW DATA'!J:J),SUMIF('RAW DATA'!P:P,'RAW DATA'!B198,'RAW DATA'!J:J)))</f>
        <v/>
      </c>
      <c r="I198" s="4" t="str">
        <f>IF(SUMIF('RAW DATA'!M:M,'RAW DATA'!B198, 'RAW DATA'!K:K)=0, "", SUMIF('RAW DATA'!M:M,'RAW DATA'!B198, 'RAW DATA'!K:K))</f>
        <v/>
      </c>
      <c r="J198" s="29" t="str">
        <f>IF('RAW DATA'!B198&lt;&gt;"",IF(OR('RAW DATA'!H198=1,'RAW DATA'!H198=2),1,IF(ISNUMBER(FIND("Medic",'RAW DATA'!E198)),1,"")),"")</f>
        <v/>
      </c>
      <c r="K198" s="29" t="str">
        <f>IF(AND('RAW DATA'!$B198&lt;&gt;"",'RAW DATA'!L198=1),1,"")</f>
        <v/>
      </c>
      <c r="L198" s="24" t="str">
        <f t="shared" si="7"/>
        <v/>
      </c>
    </row>
    <row r="199" spans="2:12" x14ac:dyDescent="0.25">
      <c r="B199" s="1" t="str">
        <f>IF('RAW DATA'!$C201&lt;&gt;"",'RAW DATA'!$C201,"")</f>
        <v/>
      </c>
      <c r="C199" s="1" t="str">
        <f>IF('RAW DATA'!$D201&lt;&gt;"",'RAW DATA'!$D201,"")</f>
        <v/>
      </c>
      <c r="D199" s="1" t="str">
        <f>IF(AND($B198&lt;&gt;"", $B199=""), "TOTAL:", IF($D198="TOTAL:","VESSEL TARGET "&amp;'RAW DATA'!$E$2&amp;":",IF('RAW DATA'!$E199&lt;&gt;"",'RAW DATA'!$E199,"")))</f>
        <v/>
      </c>
      <c r="E199" s="29" t="str">
        <f t="shared" si="6"/>
        <v/>
      </c>
      <c r="F199" s="4" t="str">
        <f>IF($D198="TOTAL:",FIXED(ROUND(((SUM($F$4:$F197)/'RAW DATA'!$E$2)*100),1),1)&amp;"%",IF($D199="TOTAL:",SUM($F$4:$F198),IF(SUMIF('RAW DATA'!M:M,'RAW DATA'!B199,'RAW DATA'!H:H)=0,"",SUMIF('RAW DATA'!M:M,'RAW DATA'!B199,'RAW DATA'!H:H))))</f>
        <v/>
      </c>
      <c r="G199" s="4" t="str">
        <f>IF($D198="TOTAL:",FIXED(ROUND(((SUM($G$4:$G197)/'RAW DATA'!$E$2)*100),1),1)&amp;"%",IF($D199="TOTAL:",SUM($G$4:$G198),IF(SUMIF('RAW DATA'!M:M,'RAW DATA'!B199,'RAW DATA'!I:I)=0,"",SUMIF('RAW DATA'!M:M,'RAW DATA'!B199,'RAW DATA'!I:I))))</f>
        <v/>
      </c>
      <c r="H199" s="4" t="str">
        <f>IF(SUM(SUMIF('RAW DATA'!M:M,'RAW DATA'!B199,'RAW DATA'!J:J),SUMIF('RAW DATA'!N:N,'RAW DATA'!B199,'RAW DATA'!J:J),SUMIF('RAW DATA'!O:O,'RAW DATA'!B199,'RAW DATA'!J:J),SUMIF('RAW DATA'!P:P,'RAW DATA'!B199,'RAW DATA'!J:J))=0, "", SUM(SUMIF('RAW DATA'!M:M,'RAW DATA'!B199,'RAW DATA'!J:J),SUMIF('RAW DATA'!N:N,'RAW DATA'!B199,'RAW DATA'!J:J),SUMIF('RAW DATA'!O:O,'RAW DATA'!B199,'RAW DATA'!J:J),SUMIF('RAW DATA'!P:P,'RAW DATA'!B199,'RAW DATA'!J:J)))</f>
        <v/>
      </c>
      <c r="I199" s="4" t="str">
        <f>IF(SUMIF('RAW DATA'!M:M,'RAW DATA'!B199, 'RAW DATA'!K:K)=0, "", SUMIF('RAW DATA'!M:M,'RAW DATA'!B199, 'RAW DATA'!K:K))</f>
        <v/>
      </c>
      <c r="J199" s="29" t="str">
        <f>IF('RAW DATA'!B199&lt;&gt;"",IF(OR('RAW DATA'!H199=1,'RAW DATA'!H199=2),1,IF(ISNUMBER(FIND("Medic",'RAW DATA'!E199)),1,"")),"")</f>
        <v/>
      </c>
      <c r="K199" s="29" t="str">
        <f>IF(AND('RAW DATA'!$B199&lt;&gt;"",'RAW DATA'!L199=1),1,"")</f>
        <v/>
      </c>
      <c r="L199" s="24" t="str">
        <f t="shared" si="7"/>
        <v/>
      </c>
    </row>
    <row r="200" spans="2:12" x14ac:dyDescent="0.25">
      <c r="B200" s="1" t="str">
        <f>IF('RAW DATA'!$C202&lt;&gt;"",'RAW DATA'!$C202,"")</f>
        <v/>
      </c>
      <c r="C200" s="1" t="str">
        <f>IF('RAW DATA'!$D202&lt;&gt;"",'RAW DATA'!$D202,"")</f>
        <v/>
      </c>
      <c r="D200" s="1" t="str">
        <f>IF(AND($B199&lt;&gt;"", $B200=""), "TOTAL:", IF($D199="TOTAL:","VESSEL TARGET "&amp;'RAW DATA'!$E$2&amp;":",IF('RAW DATA'!$E200&lt;&gt;"",'RAW DATA'!$E200,"")))</f>
        <v/>
      </c>
      <c r="E200" s="29" t="str">
        <f t="shared" si="6"/>
        <v/>
      </c>
      <c r="F200" s="4" t="str">
        <f>IF($D199="TOTAL:",FIXED(ROUND(((SUM($F$4:$F198)/'RAW DATA'!$E$2)*100),1),1)&amp;"%",IF($D200="TOTAL:",SUM($F$4:$F199),IF(SUMIF('RAW DATA'!M:M,'RAW DATA'!B200,'RAW DATA'!H:H)=0,"",SUMIF('RAW DATA'!M:M,'RAW DATA'!B200,'RAW DATA'!H:H))))</f>
        <v/>
      </c>
      <c r="G200" s="4" t="str">
        <f>IF($D199="TOTAL:",FIXED(ROUND(((SUM($G$4:$G198)/'RAW DATA'!$E$2)*100),1),1)&amp;"%",IF($D200="TOTAL:",SUM($G$4:$G199),IF(SUMIF('RAW DATA'!M:M,'RAW DATA'!B200,'RAW DATA'!I:I)=0,"",SUMIF('RAW DATA'!M:M,'RAW DATA'!B200,'RAW DATA'!I:I))))</f>
        <v/>
      </c>
      <c r="H200" s="4" t="str">
        <f>IF(SUM(SUMIF('RAW DATA'!M:M,'RAW DATA'!B200,'RAW DATA'!J:J),SUMIF('RAW DATA'!N:N,'RAW DATA'!B200,'RAW DATA'!J:J),SUMIF('RAW DATA'!O:O,'RAW DATA'!B200,'RAW DATA'!J:J),SUMIF('RAW DATA'!P:P,'RAW DATA'!B200,'RAW DATA'!J:J))=0, "", SUM(SUMIF('RAW DATA'!M:M,'RAW DATA'!B200,'RAW DATA'!J:J),SUMIF('RAW DATA'!N:N,'RAW DATA'!B200,'RAW DATA'!J:J),SUMIF('RAW DATA'!O:O,'RAW DATA'!B200,'RAW DATA'!J:J),SUMIF('RAW DATA'!P:P,'RAW DATA'!B200,'RAW DATA'!J:J)))</f>
        <v/>
      </c>
      <c r="I200" s="4" t="str">
        <f>IF(SUMIF('RAW DATA'!M:M,'RAW DATA'!B200, 'RAW DATA'!K:K)=0, "", SUMIF('RAW DATA'!M:M,'RAW DATA'!B200, 'RAW DATA'!K:K))</f>
        <v/>
      </c>
      <c r="J200" s="29" t="str">
        <f>IF('RAW DATA'!B200&lt;&gt;"",IF(OR('RAW DATA'!H200=1,'RAW DATA'!H200=2),1,IF(ISNUMBER(FIND("Medic",'RAW DATA'!E200)),1,"")),"")</f>
        <v/>
      </c>
      <c r="K200" s="29" t="str">
        <f>IF(AND('RAW DATA'!$B200&lt;&gt;"",'RAW DATA'!L200=1),1,"")</f>
        <v/>
      </c>
      <c r="L200" s="24" t="str">
        <f t="shared" si="7"/>
        <v/>
      </c>
    </row>
    <row r="201" spans="2:12" x14ac:dyDescent="0.25">
      <c r="B201" s="1" t="str">
        <f>IF('RAW DATA'!$C203&lt;&gt;"",'RAW DATA'!$C203,"")</f>
        <v/>
      </c>
      <c r="C201" s="1" t="str">
        <f>IF('RAW DATA'!$D203&lt;&gt;"",'RAW DATA'!$D203,"")</f>
        <v/>
      </c>
      <c r="D201" s="1" t="str">
        <f>IF(AND($B200&lt;&gt;"", $B201=""), "TOTAL:", IF($D200="TOTAL:","VESSEL TARGET "&amp;'RAW DATA'!$E$2&amp;":",IF('RAW DATA'!$E201&lt;&gt;"",'RAW DATA'!$E201,"")))</f>
        <v/>
      </c>
      <c r="E201" s="29" t="str">
        <f t="shared" si="6"/>
        <v/>
      </c>
      <c r="F201" s="4" t="str">
        <f>IF($D200="TOTAL:",FIXED(ROUND(((SUM($F$4:$F199)/'RAW DATA'!$E$2)*100),1),1)&amp;"%",IF($D201="TOTAL:",SUM($F$4:$F200),IF(SUMIF('RAW DATA'!M:M,'RAW DATA'!B201,'RAW DATA'!H:H)=0,"",SUMIF('RAW DATA'!M:M,'RAW DATA'!B201,'RAW DATA'!H:H))))</f>
        <v/>
      </c>
      <c r="G201" s="4" t="str">
        <f>IF($D200="TOTAL:",FIXED(ROUND(((SUM($G$4:$G199)/'RAW DATA'!$E$2)*100),1),1)&amp;"%",IF($D201="TOTAL:",SUM($G$4:$G200),IF(SUMIF('RAW DATA'!M:M,'RAW DATA'!B201,'RAW DATA'!I:I)=0,"",SUMIF('RAW DATA'!M:M,'RAW DATA'!B201,'RAW DATA'!I:I))))</f>
        <v/>
      </c>
      <c r="H201" s="4" t="str">
        <f>IF(SUM(SUMIF('RAW DATA'!M:M,'RAW DATA'!B201,'RAW DATA'!J:J),SUMIF('RAW DATA'!N:N,'RAW DATA'!B201,'RAW DATA'!J:J),SUMIF('RAW DATA'!O:O,'RAW DATA'!B201,'RAW DATA'!J:J),SUMIF('RAW DATA'!P:P,'RAW DATA'!B201,'RAW DATA'!J:J))=0, "", SUM(SUMIF('RAW DATA'!M:M,'RAW DATA'!B201,'RAW DATA'!J:J),SUMIF('RAW DATA'!N:N,'RAW DATA'!B201,'RAW DATA'!J:J),SUMIF('RAW DATA'!O:O,'RAW DATA'!B201,'RAW DATA'!J:J),SUMIF('RAW DATA'!P:P,'RAW DATA'!B201,'RAW DATA'!J:J)))</f>
        <v/>
      </c>
      <c r="I201" s="4" t="str">
        <f>IF(SUMIF('RAW DATA'!M:M,'RAW DATA'!B201, 'RAW DATA'!K:K)=0, "", SUMIF('RAW DATA'!M:M,'RAW DATA'!B201, 'RAW DATA'!K:K))</f>
        <v/>
      </c>
      <c r="J201" s="29" t="str">
        <f>IF('RAW DATA'!B201&lt;&gt;"",IF(OR('RAW DATA'!H201=1,'RAW DATA'!H201=2),1,IF(ISNUMBER(FIND("Medic",'RAW DATA'!E201)),1,"")),"")</f>
        <v/>
      </c>
      <c r="K201" s="29" t="str">
        <f>IF(AND('RAW DATA'!$B201&lt;&gt;"",'RAW DATA'!L201=1),1,"")</f>
        <v/>
      </c>
      <c r="L201" s="24" t="str">
        <f t="shared" si="7"/>
        <v/>
      </c>
    </row>
    <row r="202" spans="2:12" x14ac:dyDescent="0.25">
      <c r="B202" s="1" t="str">
        <f>IF('RAW DATA'!$C204&lt;&gt;"",'RAW DATA'!$C204,"")</f>
        <v/>
      </c>
      <c r="C202" s="1" t="str">
        <f>IF('RAW DATA'!$D204&lt;&gt;"",'RAW DATA'!$D204,"")</f>
        <v/>
      </c>
      <c r="D202" s="1" t="str">
        <f>IF(AND($B201&lt;&gt;"", $B202=""), "TOTAL:", IF($D201="TOTAL:","VESSEL TARGET "&amp;'RAW DATA'!$E$2&amp;":",IF('RAW DATA'!$E202&lt;&gt;"",'RAW DATA'!$E202,"")))</f>
        <v/>
      </c>
      <c r="E202" s="29" t="str">
        <f t="shared" si="6"/>
        <v/>
      </c>
      <c r="F202" s="4" t="str">
        <f>IF($D201="TOTAL:",FIXED(ROUND(((SUM($F$4:$F200)/'RAW DATA'!$E$2)*100),1),1)&amp;"%",IF($D202="TOTAL:",SUM($F$4:$F201),IF(SUMIF('RAW DATA'!M:M,'RAW DATA'!B202,'RAW DATA'!H:H)=0,"",SUMIF('RAW DATA'!M:M,'RAW DATA'!B202,'RAW DATA'!H:H))))</f>
        <v/>
      </c>
      <c r="G202" s="4" t="str">
        <f>IF($D201="TOTAL:",FIXED(ROUND(((SUM($G$4:$G200)/'RAW DATA'!$E$2)*100),1),1)&amp;"%",IF($D202="TOTAL:",SUM($G$4:$G201),IF(SUMIF('RAW DATA'!M:M,'RAW DATA'!B202,'RAW DATA'!I:I)=0,"",SUMIF('RAW DATA'!M:M,'RAW DATA'!B202,'RAW DATA'!I:I))))</f>
        <v/>
      </c>
      <c r="H202" s="4" t="str">
        <f>IF(SUM(SUMIF('RAW DATA'!M:M,'RAW DATA'!B202,'RAW DATA'!J:J),SUMIF('RAW DATA'!N:N,'RAW DATA'!B202,'RAW DATA'!J:J),SUMIF('RAW DATA'!O:O,'RAW DATA'!B202,'RAW DATA'!J:J),SUMIF('RAW DATA'!P:P,'RAW DATA'!B202,'RAW DATA'!J:J))=0, "", SUM(SUMIF('RAW DATA'!M:M,'RAW DATA'!B202,'RAW DATA'!J:J),SUMIF('RAW DATA'!N:N,'RAW DATA'!B202,'RAW DATA'!J:J),SUMIF('RAW DATA'!O:O,'RAW DATA'!B202,'RAW DATA'!J:J),SUMIF('RAW DATA'!P:P,'RAW DATA'!B202,'RAW DATA'!J:J)))</f>
        <v/>
      </c>
      <c r="I202" s="4" t="str">
        <f>IF(SUMIF('RAW DATA'!M:M,'RAW DATA'!B202, 'RAW DATA'!K:K)=0, "", SUMIF('RAW DATA'!M:M,'RAW DATA'!B202, 'RAW DATA'!K:K))</f>
        <v/>
      </c>
      <c r="J202" s="29" t="str">
        <f>IF('RAW DATA'!B202&lt;&gt;"",IF(OR('RAW DATA'!H202=1,'RAW DATA'!H202=2),1,IF(ISNUMBER(FIND("Medic",'RAW DATA'!E202)),1,"")),"")</f>
        <v/>
      </c>
      <c r="K202" s="29" t="str">
        <f>IF(AND('RAW DATA'!$B202&lt;&gt;"",'RAW DATA'!L202=1),1,"")</f>
        <v/>
      </c>
      <c r="L202" s="24" t="str">
        <f t="shared" si="7"/>
        <v/>
      </c>
    </row>
    <row r="203" spans="2:12" x14ac:dyDescent="0.25">
      <c r="B203" s="1" t="str">
        <f>IF('RAW DATA'!$C205&lt;&gt;"",'RAW DATA'!$C205,"")</f>
        <v/>
      </c>
      <c r="C203" s="1" t="str">
        <f>IF('RAW DATA'!$D205&lt;&gt;"",'RAW DATA'!$D205,"")</f>
        <v/>
      </c>
      <c r="D203" s="1" t="str">
        <f>IF(AND($B202&lt;&gt;"", $B203=""), "TOTAL:", IF($D202="TOTAL:","VESSEL TARGET "&amp;'RAW DATA'!$E$2&amp;":",IF('RAW DATA'!$E203&lt;&gt;"",'RAW DATA'!$E203,"")))</f>
        <v/>
      </c>
      <c r="E203" s="29" t="str">
        <f t="shared" si="6"/>
        <v/>
      </c>
      <c r="F203" s="4" t="str">
        <f>IF($D202="TOTAL:",FIXED(ROUND(((SUM($F$4:$F201)/'RAW DATA'!$E$2)*100),1),1)&amp;"%",IF($D203="TOTAL:",SUM($F$4:$F202),IF(SUMIF('RAW DATA'!M:M,'RAW DATA'!B203,'RAW DATA'!H:H)=0,"",SUMIF('RAW DATA'!M:M,'RAW DATA'!B203,'RAW DATA'!H:H))))</f>
        <v/>
      </c>
      <c r="G203" s="4" t="str">
        <f>IF($D202="TOTAL:",FIXED(ROUND(((SUM($G$4:$G201)/'RAW DATA'!$E$2)*100),1),1)&amp;"%",IF($D203="TOTAL:",SUM($G$4:$G202),IF(SUMIF('RAW DATA'!M:M,'RAW DATA'!B203,'RAW DATA'!I:I)=0,"",SUMIF('RAW DATA'!M:M,'RAW DATA'!B203,'RAW DATA'!I:I))))</f>
        <v/>
      </c>
      <c r="H203" s="4" t="str">
        <f>IF(SUM(SUMIF('RAW DATA'!M:M,'RAW DATA'!B203,'RAW DATA'!J:J),SUMIF('RAW DATA'!N:N,'RAW DATA'!B203,'RAW DATA'!J:J),SUMIF('RAW DATA'!O:O,'RAW DATA'!B203,'RAW DATA'!J:J),SUMIF('RAW DATA'!P:P,'RAW DATA'!B203,'RAW DATA'!J:J))=0, "", SUM(SUMIF('RAW DATA'!M:M,'RAW DATA'!B203,'RAW DATA'!J:J),SUMIF('RAW DATA'!N:N,'RAW DATA'!B203,'RAW DATA'!J:J),SUMIF('RAW DATA'!O:O,'RAW DATA'!B203,'RAW DATA'!J:J),SUMIF('RAW DATA'!P:P,'RAW DATA'!B203,'RAW DATA'!J:J)))</f>
        <v/>
      </c>
      <c r="I203" s="4" t="str">
        <f>IF(SUMIF('RAW DATA'!M:M,'RAW DATA'!B203, 'RAW DATA'!K:K)=0, "", SUMIF('RAW DATA'!M:M,'RAW DATA'!B203, 'RAW DATA'!K:K))</f>
        <v/>
      </c>
      <c r="J203" s="29" t="str">
        <f>IF('RAW DATA'!B203&lt;&gt;"",IF(OR('RAW DATA'!H203=1,'RAW DATA'!H203=2),1,IF(ISNUMBER(FIND("Medic",'RAW DATA'!E203)),1,"")),"")</f>
        <v/>
      </c>
      <c r="K203" s="29" t="str">
        <f>IF(AND('RAW DATA'!$B203&lt;&gt;"",'RAW DATA'!L203=1),1,"")</f>
        <v/>
      </c>
      <c r="L203" s="24" t="str">
        <f t="shared" si="7"/>
        <v/>
      </c>
    </row>
    <row r="204" spans="2:12" x14ac:dyDescent="0.25">
      <c r="B204" s="1" t="str">
        <f>IF('RAW DATA'!$C206&lt;&gt;"",'RAW DATA'!$C206,"")</f>
        <v/>
      </c>
      <c r="C204" s="1" t="str">
        <f>IF('RAW DATA'!$D206&lt;&gt;"",'RAW DATA'!$D206,"")</f>
        <v/>
      </c>
      <c r="D204" s="1" t="str">
        <f>IF(AND($B203&lt;&gt;"", $B204=""), "TOTAL:", IF($D203="TOTAL:","VESSEL TARGET "&amp;'RAW DATA'!$E$2&amp;":",IF('RAW DATA'!$E204&lt;&gt;"",'RAW DATA'!$E204,"")))</f>
        <v/>
      </c>
      <c r="E204" s="29" t="str">
        <f t="shared" si="6"/>
        <v/>
      </c>
      <c r="F204" s="4" t="str">
        <f>IF($D203="TOTAL:",FIXED(ROUND(((SUM($F$4:$F202)/'RAW DATA'!$E$2)*100),1),1)&amp;"%",IF($D204="TOTAL:",SUM($F$4:$F203),IF(SUMIF('RAW DATA'!M:M,'RAW DATA'!B204,'RAW DATA'!H:H)=0,"",SUMIF('RAW DATA'!M:M,'RAW DATA'!B204,'RAW DATA'!H:H))))</f>
        <v/>
      </c>
      <c r="G204" s="4" t="str">
        <f>IF($D203="TOTAL:",FIXED(ROUND(((SUM($G$4:$G202)/'RAW DATA'!$E$2)*100),1),1)&amp;"%",IF($D204="TOTAL:",SUM($G$4:$G203),IF(SUMIF('RAW DATA'!M:M,'RAW DATA'!B204,'RAW DATA'!I:I)=0,"",SUMIF('RAW DATA'!M:M,'RAW DATA'!B204,'RAW DATA'!I:I))))</f>
        <v/>
      </c>
      <c r="H204" s="4" t="str">
        <f>IF(SUM(SUMIF('RAW DATA'!M:M,'RAW DATA'!B204,'RAW DATA'!J:J),SUMIF('RAW DATA'!N:N,'RAW DATA'!B204,'RAW DATA'!J:J),SUMIF('RAW DATA'!O:O,'RAW DATA'!B204,'RAW DATA'!J:J),SUMIF('RAW DATA'!P:P,'RAW DATA'!B204,'RAW DATA'!J:J))=0, "", SUM(SUMIF('RAW DATA'!M:M,'RAW DATA'!B204,'RAW DATA'!J:J),SUMIF('RAW DATA'!N:N,'RAW DATA'!B204,'RAW DATA'!J:J),SUMIF('RAW DATA'!O:O,'RAW DATA'!B204,'RAW DATA'!J:J),SUMIF('RAW DATA'!P:P,'RAW DATA'!B204,'RAW DATA'!J:J)))</f>
        <v/>
      </c>
      <c r="I204" s="4" t="str">
        <f>IF(SUMIF('RAW DATA'!M:M,'RAW DATA'!B204, 'RAW DATA'!K:K)=0, "", SUMIF('RAW DATA'!M:M,'RAW DATA'!B204, 'RAW DATA'!K:K))</f>
        <v/>
      </c>
      <c r="J204" s="29" t="str">
        <f>IF('RAW DATA'!B204&lt;&gt;"",IF(OR('RAW DATA'!H204=1,'RAW DATA'!H204=2),1,IF(ISNUMBER(FIND("Medic",'RAW DATA'!E204)),1,"")),"")</f>
        <v/>
      </c>
      <c r="K204" s="29" t="str">
        <f>IF(AND('RAW DATA'!$B204&lt;&gt;"",'RAW DATA'!L204=1),1,"")</f>
        <v/>
      </c>
      <c r="L204" s="24" t="str">
        <f t="shared" si="7"/>
        <v/>
      </c>
    </row>
    <row r="205" spans="2:12" x14ac:dyDescent="0.25">
      <c r="B205" s="1" t="str">
        <f>IF('RAW DATA'!$C207&lt;&gt;"",'RAW DATA'!$C207,"")</f>
        <v/>
      </c>
      <c r="C205" s="1" t="str">
        <f>IF('RAW DATA'!$D207&lt;&gt;"",'RAW DATA'!$D207,"")</f>
        <v/>
      </c>
      <c r="D205" s="1" t="str">
        <f>IF(AND($B204&lt;&gt;"", $B205=""), "TOTAL:", IF($D204="TOTAL:","VESSEL TARGET "&amp;'RAW DATA'!$E$2&amp;":",IF('RAW DATA'!$E205&lt;&gt;"",'RAW DATA'!$E205,"")))</f>
        <v/>
      </c>
      <c r="E205" s="29" t="str">
        <f t="shared" si="6"/>
        <v/>
      </c>
      <c r="F205" s="4" t="str">
        <f>IF($D204="TOTAL:",FIXED(ROUND(((SUM($F$4:$F203)/'RAW DATA'!$E$2)*100),1),1)&amp;"%",IF($D205="TOTAL:",SUM($F$4:$F204),IF(SUMIF('RAW DATA'!M:M,'RAW DATA'!B205,'RAW DATA'!H:H)=0,"",SUMIF('RAW DATA'!M:M,'RAW DATA'!B205,'RAW DATA'!H:H))))</f>
        <v/>
      </c>
      <c r="G205" s="4" t="str">
        <f>IF($D204="TOTAL:",FIXED(ROUND(((SUM($G$4:$G203)/'RAW DATA'!$E$2)*100),1),1)&amp;"%",IF($D205="TOTAL:",SUM($G$4:$G204),IF(SUMIF('RAW DATA'!M:M,'RAW DATA'!B205,'RAW DATA'!I:I)=0,"",SUMIF('RAW DATA'!M:M,'RAW DATA'!B205,'RAW DATA'!I:I))))</f>
        <v/>
      </c>
      <c r="H205" s="4" t="str">
        <f>IF(SUM(SUMIF('RAW DATA'!M:M,'RAW DATA'!B205,'RAW DATA'!J:J),SUMIF('RAW DATA'!N:N,'RAW DATA'!B205,'RAW DATA'!J:J),SUMIF('RAW DATA'!O:O,'RAW DATA'!B205,'RAW DATA'!J:J),SUMIF('RAW DATA'!P:P,'RAW DATA'!B205,'RAW DATA'!J:J))=0, "", SUM(SUMIF('RAW DATA'!M:M,'RAW DATA'!B205,'RAW DATA'!J:J),SUMIF('RAW DATA'!N:N,'RAW DATA'!B205,'RAW DATA'!J:J),SUMIF('RAW DATA'!O:O,'RAW DATA'!B205,'RAW DATA'!J:J),SUMIF('RAW DATA'!P:P,'RAW DATA'!B205,'RAW DATA'!J:J)))</f>
        <v/>
      </c>
      <c r="I205" s="4" t="str">
        <f>IF(SUMIF('RAW DATA'!M:M,'RAW DATA'!B205, 'RAW DATA'!K:K)=0, "", SUMIF('RAW DATA'!M:M,'RAW DATA'!B205, 'RAW DATA'!K:K))</f>
        <v/>
      </c>
      <c r="J205" s="29" t="str">
        <f>IF('RAW DATA'!B205&lt;&gt;"",IF(OR('RAW DATA'!H205=1,'RAW DATA'!H205=2),1,IF(ISNUMBER(FIND("Medic",'RAW DATA'!E205)),1,"")),"")</f>
        <v/>
      </c>
      <c r="K205" s="29" t="str">
        <f>IF(AND('RAW DATA'!$B205&lt;&gt;"",'RAW DATA'!L205=1),1,"")</f>
        <v/>
      </c>
      <c r="L205" s="24" t="str">
        <f t="shared" si="7"/>
        <v/>
      </c>
    </row>
    <row r="206" spans="2:12" x14ac:dyDescent="0.25">
      <c r="B206" s="1" t="str">
        <f>IF('RAW DATA'!$C208&lt;&gt;"",'RAW DATA'!$C208,"")</f>
        <v/>
      </c>
      <c r="C206" s="1" t="str">
        <f>IF('RAW DATA'!$D208&lt;&gt;"",'RAW DATA'!$D208,"")</f>
        <v/>
      </c>
      <c r="D206" s="1" t="str">
        <f>IF(AND($B205&lt;&gt;"", $B206=""), "TOTAL:", IF($D205="TOTAL:","VESSEL TARGET "&amp;'RAW DATA'!$E$2&amp;":",IF('RAW DATA'!$E206&lt;&gt;"",'RAW DATA'!$E206,"")))</f>
        <v/>
      </c>
      <c r="E206" s="29" t="str">
        <f t="shared" si="6"/>
        <v/>
      </c>
      <c r="F206" s="4" t="str">
        <f>IF($D205="TOTAL:",FIXED(ROUND(((SUM($F$4:$F204)/'RAW DATA'!$E$2)*100),1),1)&amp;"%",IF($D206="TOTAL:",SUM($F$4:$F205),IF(SUMIF('RAW DATA'!M:M,'RAW DATA'!B206,'RAW DATA'!H:H)=0,"",SUMIF('RAW DATA'!M:M,'RAW DATA'!B206,'RAW DATA'!H:H))))</f>
        <v/>
      </c>
      <c r="G206" s="4" t="str">
        <f>IF($D205="TOTAL:",FIXED(ROUND(((SUM($G$4:$G204)/'RAW DATA'!$E$2)*100),1),1)&amp;"%",IF($D206="TOTAL:",SUM($G$4:$G205),IF(SUMIF('RAW DATA'!M:M,'RAW DATA'!B206,'RAW DATA'!I:I)=0,"",SUMIF('RAW DATA'!M:M,'RAW DATA'!B206,'RAW DATA'!I:I))))</f>
        <v/>
      </c>
      <c r="H206" s="4" t="str">
        <f>IF(SUM(SUMIF('RAW DATA'!M:M,'RAW DATA'!B206,'RAW DATA'!J:J),SUMIF('RAW DATA'!N:N,'RAW DATA'!B206,'RAW DATA'!J:J),SUMIF('RAW DATA'!O:O,'RAW DATA'!B206,'RAW DATA'!J:J),SUMIF('RAW DATA'!P:P,'RAW DATA'!B206,'RAW DATA'!J:J))=0, "", SUM(SUMIF('RAW DATA'!M:M,'RAW DATA'!B206,'RAW DATA'!J:J),SUMIF('RAW DATA'!N:N,'RAW DATA'!B206,'RAW DATA'!J:J),SUMIF('RAW DATA'!O:O,'RAW DATA'!B206,'RAW DATA'!J:J),SUMIF('RAW DATA'!P:P,'RAW DATA'!B206,'RAW DATA'!J:J)))</f>
        <v/>
      </c>
      <c r="I206" s="4" t="str">
        <f>IF(SUMIF('RAW DATA'!M:M,'RAW DATA'!B206, 'RAW DATA'!K:K)=0, "", SUMIF('RAW DATA'!M:M,'RAW DATA'!B206, 'RAW DATA'!K:K))</f>
        <v/>
      </c>
      <c r="J206" s="29" t="str">
        <f>IF('RAW DATA'!B206&lt;&gt;"",IF(OR('RAW DATA'!H206=1,'RAW DATA'!H206=2),1,IF(ISNUMBER(FIND("Medic",'RAW DATA'!E206)),1,"")),"")</f>
        <v/>
      </c>
      <c r="K206" s="29" t="str">
        <f>IF(AND('RAW DATA'!$B206&lt;&gt;"",'RAW DATA'!L206=1),1,"")</f>
        <v/>
      </c>
      <c r="L206" s="24" t="str">
        <f t="shared" si="7"/>
        <v/>
      </c>
    </row>
    <row r="207" spans="2:12" x14ac:dyDescent="0.25">
      <c r="B207" s="1" t="str">
        <f>IF('RAW DATA'!$C209&lt;&gt;"",'RAW DATA'!$C209,"")</f>
        <v/>
      </c>
      <c r="C207" s="1" t="str">
        <f>IF('RAW DATA'!$D209&lt;&gt;"",'RAW DATA'!$D209,"")</f>
        <v/>
      </c>
      <c r="D207" s="1" t="str">
        <f>IF(AND($B206&lt;&gt;"", $B207=""), "TOTAL:", IF($D206="TOTAL:","VESSEL TARGET "&amp;'RAW DATA'!$E$2&amp;":",IF('RAW DATA'!$E207&lt;&gt;"",'RAW DATA'!$E207,"")))</f>
        <v/>
      </c>
      <c r="E207" s="29" t="str">
        <f t="shared" si="6"/>
        <v/>
      </c>
      <c r="F207" s="4" t="str">
        <f>IF($D206="TOTAL:",FIXED(ROUND(((SUM($F$4:$F205)/'RAW DATA'!$E$2)*100),1),1)&amp;"%",IF($D207="TOTAL:",SUM($F$4:$F206),IF(SUMIF('RAW DATA'!M:M,'RAW DATA'!B207,'RAW DATA'!H:H)=0,"",SUMIF('RAW DATA'!M:M,'RAW DATA'!B207,'RAW DATA'!H:H))))</f>
        <v/>
      </c>
      <c r="G207" s="4" t="str">
        <f>IF($D206="TOTAL:",FIXED(ROUND(((SUM($G$4:$G205)/'RAW DATA'!$E$2)*100),1),1)&amp;"%",IF($D207="TOTAL:",SUM($G$4:$G206),IF(SUMIF('RAW DATA'!M:M,'RAW DATA'!B207,'RAW DATA'!I:I)=0,"",SUMIF('RAW DATA'!M:M,'RAW DATA'!B207,'RAW DATA'!I:I))))</f>
        <v/>
      </c>
      <c r="H207" s="4" t="str">
        <f>IF(SUM(SUMIF('RAW DATA'!M:M,'RAW DATA'!B207,'RAW DATA'!J:J),SUMIF('RAW DATA'!N:N,'RAW DATA'!B207,'RAW DATA'!J:J),SUMIF('RAW DATA'!O:O,'RAW DATA'!B207,'RAW DATA'!J:J),SUMIF('RAW DATA'!P:P,'RAW DATA'!B207,'RAW DATA'!J:J))=0, "", SUM(SUMIF('RAW DATA'!M:M,'RAW DATA'!B207,'RAW DATA'!J:J),SUMIF('RAW DATA'!N:N,'RAW DATA'!B207,'RAW DATA'!J:J),SUMIF('RAW DATA'!O:O,'RAW DATA'!B207,'RAW DATA'!J:J),SUMIF('RAW DATA'!P:P,'RAW DATA'!B207,'RAW DATA'!J:J)))</f>
        <v/>
      </c>
      <c r="I207" s="4" t="str">
        <f>IF(SUMIF('RAW DATA'!M:M,'RAW DATA'!B207, 'RAW DATA'!K:K)=0, "", SUMIF('RAW DATA'!M:M,'RAW DATA'!B207, 'RAW DATA'!K:K))</f>
        <v/>
      </c>
      <c r="J207" s="29" t="str">
        <f>IF('RAW DATA'!B207&lt;&gt;"",IF(OR('RAW DATA'!H207=1,'RAW DATA'!H207=2),1,IF(ISNUMBER(FIND("Medic",'RAW DATA'!E207)),1,"")),"")</f>
        <v/>
      </c>
      <c r="K207" s="29" t="str">
        <f>IF(AND('RAW DATA'!$B207&lt;&gt;"",'RAW DATA'!L207=1),1,"")</f>
        <v/>
      </c>
      <c r="L207" s="24" t="str">
        <f t="shared" si="7"/>
        <v/>
      </c>
    </row>
    <row r="208" spans="2:12" x14ac:dyDescent="0.25">
      <c r="B208" s="1" t="str">
        <f>IF('RAW DATA'!$C210&lt;&gt;"",'RAW DATA'!$C210,"")</f>
        <v/>
      </c>
      <c r="C208" s="1" t="str">
        <f>IF('RAW DATA'!$D210&lt;&gt;"",'RAW DATA'!$D210,"")</f>
        <v/>
      </c>
      <c r="D208" s="1" t="str">
        <f>IF(AND($B207&lt;&gt;"", $B208=""), "TOTAL:", IF($D207="TOTAL:","VESSEL TARGET "&amp;'RAW DATA'!$E$2&amp;":",IF('RAW DATA'!$E208&lt;&gt;"",'RAW DATA'!$E208,"")))</f>
        <v/>
      </c>
      <c r="E208" s="29" t="str">
        <f t="shared" si="6"/>
        <v/>
      </c>
      <c r="F208" s="4" t="str">
        <f>IF($D207="TOTAL:",FIXED(ROUND(((SUM($F$4:$F206)/'RAW DATA'!$E$2)*100),1),1)&amp;"%",IF($D208="TOTAL:",SUM($F$4:$F207),IF(SUMIF('RAW DATA'!M:M,'RAW DATA'!B208,'RAW DATA'!H:H)=0,"",SUMIF('RAW DATA'!M:M,'RAW DATA'!B208,'RAW DATA'!H:H))))</f>
        <v/>
      </c>
      <c r="G208" s="4" t="str">
        <f>IF($D207="TOTAL:",FIXED(ROUND(((SUM($G$4:$G206)/'RAW DATA'!$E$2)*100),1),1)&amp;"%",IF($D208="TOTAL:",SUM($G$4:$G207),IF(SUMIF('RAW DATA'!M:M,'RAW DATA'!B208,'RAW DATA'!I:I)=0,"",SUMIF('RAW DATA'!M:M,'RAW DATA'!B208,'RAW DATA'!I:I))))</f>
        <v/>
      </c>
      <c r="H208" s="4" t="str">
        <f>IF(SUM(SUMIF('RAW DATA'!M:M,'RAW DATA'!B208,'RAW DATA'!J:J),SUMIF('RAW DATA'!N:N,'RAW DATA'!B208,'RAW DATA'!J:J),SUMIF('RAW DATA'!O:O,'RAW DATA'!B208,'RAW DATA'!J:J),SUMIF('RAW DATA'!P:P,'RAW DATA'!B208,'RAW DATA'!J:J))=0, "", SUM(SUMIF('RAW DATA'!M:M,'RAW DATA'!B208,'RAW DATA'!J:J),SUMIF('RAW DATA'!N:N,'RAW DATA'!B208,'RAW DATA'!J:J),SUMIF('RAW DATA'!O:O,'RAW DATA'!B208,'RAW DATA'!J:J),SUMIF('RAW DATA'!P:P,'RAW DATA'!B208,'RAW DATA'!J:J)))</f>
        <v/>
      </c>
      <c r="I208" s="4" t="str">
        <f>IF(SUMIF('RAW DATA'!M:M,'RAW DATA'!B208, 'RAW DATA'!K:K)=0, "", SUMIF('RAW DATA'!M:M,'RAW DATA'!B208, 'RAW DATA'!K:K))</f>
        <v/>
      </c>
      <c r="J208" s="29" t="str">
        <f>IF('RAW DATA'!B208&lt;&gt;"",IF(OR('RAW DATA'!H208=1,'RAW DATA'!H208=2),1,IF(ISNUMBER(FIND("Medic",'RAW DATA'!E208)),1,"")),"")</f>
        <v/>
      </c>
      <c r="K208" s="29" t="str">
        <f>IF(AND('RAW DATA'!$B208&lt;&gt;"",'RAW DATA'!L208=1),1,"")</f>
        <v/>
      </c>
      <c r="L208" s="24" t="str">
        <f t="shared" si="7"/>
        <v/>
      </c>
    </row>
    <row r="209" spans="2:12" x14ac:dyDescent="0.25">
      <c r="B209" s="1" t="str">
        <f>IF('RAW DATA'!$C211&lt;&gt;"",'RAW DATA'!$C211,"")</f>
        <v/>
      </c>
      <c r="C209" s="1" t="str">
        <f>IF('RAW DATA'!$D211&lt;&gt;"",'RAW DATA'!$D211,"")</f>
        <v/>
      </c>
      <c r="D209" s="1" t="str">
        <f>IF(AND($B208&lt;&gt;"", $B209=""), "TOTAL:", IF($D208="TOTAL:","VESSEL TARGET "&amp;'RAW DATA'!$E$2&amp;":",IF('RAW DATA'!$E209&lt;&gt;"",'RAW DATA'!$E209,"")))</f>
        <v/>
      </c>
      <c r="E209" s="29" t="str">
        <f t="shared" si="6"/>
        <v/>
      </c>
      <c r="F209" s="4" t="str">
        <f>IF($D208="TOTAL:",FIXED(ROUND(((SUM($F$4:$F207)/'RAW DATA'!$E$2)*100),1),1)&amp;"%",IF($D209="TOTAL:",SUM($F$4:$F208),IF(SUMIF('RAW DATA'!M:M,'RAW DATA'!B209,'RAW DATA'!H:H)=0,"",SUMIF('RAW DATA'!M:M,'RAW DATA'!B209,'RAW DATA'!H:H))))</f>
        <v/>
      </c>
      <c r="G209" s="4" t="str">
        <f>IF($D208="TOTAL:",FIXED(ROUND(((SUM($G$4:$G207)/'RAW DATA'!$E$2)*100),1),1)&amp;"%",IF($D209="TOTAL:",SUM($G$4:$G208),IF(SUMIF('RAW DATA'!M:M,'RAW DATA'!B209,'RAW DATA'!I:I)=0,"",SUMIF('RAW DATA'!M:M,'RAW DATA'!B209,'RAW DATA'!I:I))))</f>
        <v/>
      </c>
      <c r="H209" s="4" t="str">
        <f>IF(SUM(SUMIF('RAW DATA'!M:M,'RAW DATA'!B209,'RAW DATA'!J:J),SUMIF('RAW DATA'!N:N,'RAW DATA'!B209,'RAW DATA'!J:J),SUMIF('RAW DATA'!O:O,'RAW DATA'!B209,'RAW DATA'!J:J),SUMIF('RAW DATA'!P:P,'RAW DATA'!B209,'RAW DATA'!J:J))=0, "", SUM(SUMIF('RAW DATA'!M:M,'RAW DATA'!B209,'RAW DATA'!J:J),SUMIF('RAW DATA'!N:N,'RAW DATA'!B209,'RAW DATA'!J:J),SUMIF('RAW DATA'!O:O,'RAW DATA'!B209,'RAW DATA'!J:J),SUMIF('RAW DATA'!P:P,'RAW DATA'!B209,'RAW DATA'!J:J)))</f>
        <v/>
      </c>
      <c r="I209" s="4" t="str">
        <f>IF(SUMIF('RAW DATA'!M:M,'RAW DATA'!B209, 'RAW DATA'!K:K)=0, "", SUMIF('RAW DATA'!M:M,'RAW DATA'!B209, 'RAW DATA'!K:K))</f>
        <v/>
      </c>
      <c r="J209" s="29" t="str">
        <f>IF('RAW DATA'!B209&lt;&gt;"",IF(OR('RAW DATA'!H209=1,'RAW DATA'!H209=2),1,IF(ISNUMBER(FIND("Medic",'RAW DATA'!E209)),1,"")),"")</f>
        <v/>
      </c>
      <c r="K209" s="29" t="str">
        <f>IF(AND('RAW DATA'!$B209&lt;&gt;"",'RAW DATA'!L209=1),1,"")</f>
        <v/>
      </c>
      <c r="L209" s="24" t="str">
        <f t="shared" si="7"/>
        <v/>
      </c>
    </row>
    <row r="210" spans="2:12" x14ac:dyDescent="0.25">
      <c r="B210" s="1" t="str">
        <f>IF('RAW DATA'!$C212&lt;&gt;"",'RAW DATA'!$C212,"")</f>
        <v/>
      </c>
      <c r="C210" s="1" t="str">
        <f>IF('RAW DATA'!$D212&lt;&gt;"",'RAW DATA'!$D212,"")</f>
        <v/>
      </c>
      <c r="D210" s="1" t="str">
        <f>IF(AND($B209&lt;&gt;"", $B210=""), "TOTAL:", IF($D209="TOTAL:","VESSEL TARGET "&amp;'RAW DATA'!$E$2&amp;":",IF('RAW DATA'!$E210&lt;&gt;"",'RAW DATA'!$E210,"")))</f>
        <v/>
      </c>
      <c r="E210" s="29" t="str">
        <f t="shared" si="6"/>
        <v/>
      </c>
      <c r="F210" s="4" t="str">
        <f>IF($D209="TOTAL:",FIXED(ROUND(((SUM($F$4:$F208)/'RAW DATA'!$E$2)*100),1),1)&amp;"%",IF($D210="TOTAL:",SUM($F$4:$F209),IF(SUMIF('RAW DATA'!M:M,'RAW DATA'!B210,'RAW DATA'!H:H)=0,"",SUMIF('RAW DATA'!M:M,'RAW DATA'!B210,'RAW DATA'!H:H))))</f>
        <v/>
      </c>
      <c r="G210" s="4" t="str">
        <f>IF($D209="TOTAL:",FIXED(ROUND(((SUM($G$4:$G208)/'RAW DATA'!$E$2)*100),1),1)&amp;"%",IF($D210="TOTAL:",SUM($G$4:$G209),IF(SUMIF('RAW DATA'!M:M,'RAW DATA'!B210,'RAW DATA'!I:I)=0,"",SUMIF('RAW DATA'!M:M,'RAW DATA'!B210,'RAW DATA'!I:I))))</f>
        <v/>
      </c>
      <c r="H210" s="4" t="str">
        <f>IF(SUM(SUMIF('RAW DATA'!M:M,'RAW DATA'!B210,'RAW DATA'!J:J),SUMIF('RAW DATA'!N:N,'RAW DATA'!B210,'RAW DATA'!J:J),SUMIF('RAW DATA'!O:O,'RAW DATA'!B210,'RAW DATA'!J:J),SUMIF('RAW DATA'!P:P,'RAW DATA'!B210,'RAW DATA'!J:J))=0, "", SUM(SUMIF('RAW DATA'!M:M,'RAW DATA'!B210,'RAW DATA'!J:J),SUMIF('RAW DATA'!N:N,'RAW DATA'!B210,'RAW DATA'!J:J),SUMIF('RAW DATA'!O:O,'RAW DATA'!B210,'RAW DATA'!J:J),SUMIF('RAW DATA'!P:P,'RAW DATA'!B210,'RAW DATA'!J:J)))</f>
        <v/>
      </c>
      <c r="I210" s="4" t="str">
        <f>IF(SUMIF('RAW DATA'!M:M,'RAW DATA'!B210, 'RAW DATA'!K:K)=0, "", SUMIF('RAW DATA'!M:M,'RAW DATA'!B210, 'RAW DATA'!K:K))</f>
        <v/>
      </c>
      <c r="J210" s="29" t="str">
        <f>IF('RAW DATA'!B210&lt;&gt;"",IF(OR('RAW DATA'!H210=1,'RAW DATA'!H210=2),1,IF(ISNUMBER(FIND("Medic",'RAW DATA'!E210)),1,"")),"")</f>
        <v/>
      </c>
      <c r="K210" s="29" t="str">
        <f>IF(AND('RAW DATA'!$B210&lt;&gt;"",'RAW DATA'!L210=1),1,"")</f>
        <v/>
      </c>
      <c r="L210" s="24" t="str">
        <f t="shared" si="7"/>
        <v/>
      </c>
    </row>
    <row r="211" spans="2:12" x14ac:dyDescent="0.25">
      <c r="B211" s="1" t="str">
        <f>IF('RAW DATA'!$C213&lt;&gt;"",'RAW DATA'!$C213,"")</f>
        <v/>
      </c>
      <c r="C211" s="1" t="str">
        <f>IF('RAW DATA'!$D213&lt;&gt;"",'RAW DATA'!$D213,"")</f>
        <v/>
      </c>
      <c r="D211" s="1" t="str">
        <f>IF(AND($B210&lt;&gt;"", $B211=""), "TOTAL:", IF($D210="TOTAL:","VESSEL TARGET "&amp;'RAW DATA'!$E$2&amp;":",IF('RAW DATA'!$E211&lt;&gt;"",'RAW DATA'!$E211,"")))</f>
        <v/>
      </c>
      <c r="E211" s="29" t="str">
        <f t="shared" si="6"/>
        <v/>
      </c>
      <c r="F211" s="4" t="str">
        <f>IF($D210="TOTAL:",FIXED(ROUND(((SUM($F$4:$F209)/'RAW DATA'!$E$2)*100),1),1)&amp;"%",IF($D211="TOTAL:",SUM($F$4:$F210),IF(SUMIF('RAW DATA'!M:M,'RAW DATA'!B211,'RAW DATA'!H:H)=0,"",SUMIF('RAW DATA'!M:M,'RAW DATA'!B211,'RAW DATA'!H:H))))</f>
        <v/>
      </c>
      <c r="G211" s="4" t="str">
        <f>IF($D210="TOTAL:",FIXED(ROUND(((SUM($G$4:$G209)/'RAW DATA'!$E$2)*100),1),1)&amp;"%",IF($D211="TOTAL:",SUM($G$4:$G210),IF(SUMIF('RAW DATA'!M:M,'RAW DATA'!B211,'RAW DATA'!I:I)=0,"",SUMIF('RAW DATA'!M:M,'RAW DATA'!B211,'RAW DATA'!I:I))))</f>
        <v/>
      </c>
      <c r="H211" s="4" t="str">
        <f>IF(SUM(SUMIF('RAW DATA'!M:M,'RAW DATA'!B211,'RAW DATA'!J:J),SUMIF('RAW DATA'!N:N,'RAW DATA'!B211,'RAW DATA'!J:J),SUMIF('RAW DATA'!O:O,'RAW DATA'!B211,'RAW DATA'!J:J),SUMIF('RAW DATA'!P:P,'RAW DATA'!B211,'RAW DATA'!J:J))=0, "", SUM(SUMIF('RAW DATA'!M:M,'RAW DATA'!B211,'RAW DATA'!J:J),SUMIF('RAW DATA'!N:N,'RAW DATA'!B211,'RAW DATA'!J:J),SUMIF('RAW DATA'!O:O,'RAW DATA'!B211,'RAW DATA'!J:J),SUMIF('RAW DATA'!P:P,'RAW DATA'!B211,'RAW DATA'!J:J)))</f>
        <v/>
      </c>
      <c r="I211" s="4" t="str">
        <f>IF(SUMIF('RAW DATA'!M:M,'RAW DATA'!B211, 'RAW DATA'!K:K)=0, "", SUMIF('RAW DATA'!M:M,'RAW DATA'!B211, 'RAW DATA'!K:K))</f>
        <v/>
      </c>
      <c r="J211" s="29" t="str">
        <f>IF('RAW DATA'!B211&lt;&gt;"",IF(OR('RAW DATA'!H211=1,'RAW DATA'!H211=2),1,IF(ISNUMBER(FIND("Medic",'RAW DATA'!E211)),1,"")),"")</f>
        <v/>
      </c>
      <c r="K211" s="29" t="str">
        <f>IF(AND('RAW DATA'!$B211&lt;&gt;"",'RAW DATA'!L211=1),1,"")</f>
        <v/>
      </c>
      <c r="L211" s="24" t="str">
        <f t="shared" si="7"/>
        <v/>
      </c>
    </row>
    <row r="212" spans="2:12" x14ac:dyDescent="0.25">
      <c r="B212" s="1" t="str">
        <f>IF('RAW DATA'!$C214&lt;&gt;"",'RAW DATA'!$C214,"")</f>
        <v/>
      </c>
      <c r="C212" s="1" t="str">
        <f>IF('RAW DATA'!$D214&lt;&gt;"",'RAW DATA'!$D214,"")</f>
        <v/>
      </c>
      <c r="D212" s="1" t="str">
        <f>IF(AND($B211&lt;&gt;"", $B212=""), "TOTAL:", IF($D211="TOTAL:","VESSEL TARGET "&amp;'RAW DATA'!$E$2&amp;":",IF('RAW DATA'!$E212&lt;&gt;"",'RAW DATA'!$E212,"")))</f>
        <v/>
      </c>
      <c r="E212" s="29" t="str">
        <f t="shared" si="6"/>
        <v/>
      </c>
      <c r="F212" s="4" t="str">
        <f>IF($D211="TOTAL:",FIXED(ROUND(((SUM($F$4:$F210)/'RAW DATA'!$E$2)*100),1),1)&amp;"%",IF($D212="TOTAL:",SUM($F$4:$F211),IF(SUMIF('RAW DATA'!M:M,'RAW DATA'!B212,'RAW DATA'!H:H)=0,"",SUMIF('RAW DATA'!M:M,'RAW DATA'!B212,'RAW DATA'!H:H))))</f>
        <v/>
      </c>
      <c r="G212" s="4" t="str">
        <f>IF($D211="TOTAL:",FIXED(ROUND(((SUM($G$4:$G210)/'RAW DATA'!$E$2)*100),1),1)&amp;"%",IF($D212="TOTAL:",SUM($G$4:$G211),IF(SUMIF('RAW DATA'!M:M,'RAW DATA'!B212,'RAW DATA'!I:I)=0,"",SUMIF('RAW DATA'!M:M,'RAW DATA'!B212,'RAW DATA'!I:I))))</f>
        <v/>
      </c>
      <c r="H212" s="4" t="str">
        <f>IF(SUM(SUMIF('RAW DATA'!M:M,'RAW DATA'!B212,'RAW DATA'!J:J),SUMIF('RAW DATA'!N:N,'RAW DATA'!B212,'RAW DATA'!J:J),SUMIF('RAW DATA'!O:O,'RAW DATA'!B212,'RAW DATA'!J:J),SUMIF('RAW DATA'!P:P,'RAW DATA'!B212,'RAW DATA'!J:J))=0, "", SUM(SUMIF('RAW DATA'!M:M,'RAW DATA'!B212,'RAW DATA'!J:J),SUMIF('RAW DATA'!N:N,'RAW DATA'!B212,'RAW DATA'!J:J),SUMIF('RAW DATA'!O:O,'RAW DATA'!B212,'RAW DATA'!J:J),SUMIF('RAW DATA'!P:P,'RAW DATA'!B212,'RAW DATA'!J:J)))</f>
        <v/>
      </c>
      <c r="I212" s="4" t="str">
        <f>IF(SUMIF('RAW DATA'!M:M,'RAW DATA'!B212, 'RAW DATA'!K:K)=0, "", SUMIF('RAW DATA'!M:M,'RAW DATA'!B212, 'RAW DATA'!K:K))</f>
        <v/>
      </c>
      <c r="J212" s="29" t="str">
        <f>IF('RAW DATA'!B212&lt;&gt;"",IF(OR('RAW DATA'!H212=1,'RAW DATA'!H212=2),1,IF(ISNUMBER(FIND("Medic",'RAW DATA'!E212)),1,"")),"")</f>
        <v/>
      </c>
      <c r="K212" s="29" t="str">
        <f>IF(AND('RAW DATA'!$B212&lt;&gt;"",'RAW DATA'!L212=1),1,"")</f>
        <v/>
      </c>
      <c r="L212" s="24" t="str">
        <f t="shared" si="7"/>
        <v/>
      </c>
    </row>
    <row r="213" spans="2:12" x14ac:dyDescent="0.25">
      <c r="B213" s="1" t="str">
        <f>IF('RAW DATA'!$C215&lt;&gt;"",'RAW DATA'!$C215,"")</f>
        <v/>
      </c>
      <c r="C213" s="1" t="str">
        <f>IF('RAW DATA'!$D215&lt;&gt;"",'RAW DATA'!$D215,"")</f>
        <v/>
      </c>
      <c r="D213" s="1" t="str">
        <f>IF(AND($B212&lt;&gt;"", $B213=""), "TOTAL:", IF($D212="TOTAL:","VESSEL TARGET "&amp;'RAW DATA'!$E$2&amp;":",IF('RAW DATA'!$E213&lt;&gt;"",'RAW DATA'!$E213,"")))</f>
        <v/>
      </c>
      <c r="E213" s="29" t="str">
        <f t="shared" si="6"/>
        <v/>
      </c>
      <c r="F213" s="4" t="str">
        <f>IF($D212="TOTAL:",FIXED(ROUND(((SUM($F$4:$F211)/'RAW DATA'!$E$2)*100),1),1)&amp;"%",IF($D213="TOTAL:",SUM($F$4:$F212),IF(SUMIF('RAW DATA'!M:M,'RAW DATA'!B213,'RAW DATA'!H:H)=0,"",SUMIF('RAW DATA'!M:M,'RAW DATA'!B213,'RAW DATA'!H:H))))</f>
        <v/>
      </c>
      <c r="G213" s="4" t="str">
        <f>IF($D212="TOTAL:",FIXED(ROUND(((SUM($G$4:$G211)/'RAW DATA'!$E$2)*100),1),1)&amp;"%",IF($D213="TOTAL:",SUM($G$4:$G212),IF(SUMIF('RAW DATA'!M:M,'RAW DATA'!B213,'RAW DATA'!I:I)=0,"",SUMIF('RAW DATA'!M:M,'RAW DATA'!B213,'RAW DATA'!I:I))))</f>
        <v/>
      </c>
      <c r="H213" s="4" t="str">
        <f>IF(SUM(SUMIF('RAW DATA'!M:M,'RAW DATA'!B213,'RAW DATA'!J:J),SUMIF('RAW DATA'!N:N,'RAW DATA'!B213,'RAW DATA'!J:J),SUMIF('RAW DATA'!O:O,'RAW DATA'!B213,'RAW DATA'!J:J),SUMIF('RAW DATA'!P:P,'RAW DATA'!B213,'RAW DATA'!J:J))=0, "", SUM(SUMIF('RAW DATA'!M:M,'RAW DATA'!B213,'RAW DATA'!J:J),SUMIF('RAW DATA'!N:N,'RAW DATA'!B213,'RAW DATA'!J:J),SUMIF('RAW DATA'!O:O,'RAW DATA'!B213,'RAW DATA'!J:J),SUMIF('RAW DATA'!P:P,'RAW DATA'!B213,'RAW DATA'!J:J)))</f>
        <v/>
      </c>
      <c r="I213" s="4" t="str">
        <f>IF(SUMIF('RAW DATA'!M:M,'RAW DATA'!B213, 'RAW DATA'!K:K)=0, "", SUMIF('RAW DATA'!M:M,'RAW DATA'!B213, 'RAW DATA'!K:K))</f>
        <v/>
      </c>
      <c r="J213" s="29" t="str">
        <f>IF('RAW DATA'!B213&lt;&gt;"",IF(OR('RAW DATA'!H213=1,'RAW DATA'!H213=2),1,IF(ISNUMBER(FIND("Medic",'RAW DATA'!E213)),1,"")),"")</f>
        <v/>
      </c>
      <c r="K213" s="29" t="str">
        <f>IF(AND('RAW DATA'!$B213&lt;&gt;"",'RAW DATA'!L213=1),1,"")</f>
        <v/>
      </c>
      <c r="L213" s="24" t="str">
        <f t="shared" si="7"/>
        <v/>
      </c>
    </row>
    <row r="214" spans="2:12" x14ac:dyDescent="0.25">
      <c r="B214" s="1" t="str">
        <f>IF('RAW DATA'!$C216&lt;&gt;"",'RAW DATA'!$C216,"")</f>
        <v/>
      </c>
      <c r="C214" s="1" t="str">
        <f>IF('RAW DATA'!$D216&lt;&gt;"",'RAW DATA'!$D216,"")</f>
        <v/>
      </c>
      <c r="D214" s="1" t="str">
        <f>IF(AND($B213&lt;&gt;"", $B214=""), "TOTAL:", IF($D213="TOTAL:","VESSEL TARGET "&amp;'RAW DATA'!$E$2&amp;":",IF('RAW DATA'!$E214&lt;&gt;"",'RAW DATA'!$E214,"")))</f>
        <v/>
      </c>
      <c r="E214" s="29" t="str">
        <f t="shared" si="6"/>
        <v/>
      </c>
      <c r="F214" s="4" t="str">
        <f>IF($D213="TOTAL:",FIXED(ROUND(((SUM($F$4:$F212)/'RAW DATA'!$E$2)*100),1),1)&amp;"%",IF($D214="TOTAL:",SUM($F$4:$F213),IF(SUMIF('RAW DATA'!M:M,'RAW DATA'!B214,'RAW DATA'!H:H)=0,"",SUMIF('RAW DATA'!M:M,'RAW DATA'!B214,'RAW DATA'!H:H))))</f>
        <v/>
      </c>
      <c r="G214" s="4" t="str">
        <f>IF($D213="TOTAL:",FIXED(ROUND(((SUM($G$4:$G212)/'RAW DATA'!$E$2)*100),1),1)&amp;"%",IF($D214="TOTAL:",SUM($G$4:$G213),IF(SUMIF('RAW DATA'!M:M,'RAW DATA'!B214,'RAW DATA'!I:I)=0,"",SUMIF('RAW DATA'!M:M,'RAW DATA'!B214,'RAW DATA'!I:I))))</f>
        <v/>
      </c>
      <c r="H214" s="4" t="str">
        <f>IF(SUM(SUMIF('RAW DATA'!M:M,'RAW DATA'!B214,'RAW DATA'!J:J),SUMIF('RAW DATA'!N:N,'RAW DATA'!B214,'RAW DATA'!J:J),SUMIF('RAW DATA'!O:O,'RAW DATA'!B214,'RAW DATA'!J:J),SUMIF('RAW DATA'!P:P,'RAW DATA'!B214,'RAW DATA'!J:J))=0, "", SUM(SUMIF('RAW DATA'!M:M,'RAW DATA'!B214,'RAW DATA'!J:J),SUMIF('RAW DATA'!N:N,'RAW DATA'!B214,'RAW DATA'!J:J),SUMIF('RAW DATA'!O:O,'RAW DATA'!B214,'RAW DATA'!J:J),SUMIF('RAW DATA'!P:P,'RAW DATA'!B214,'RAW DATA'!J:J)))</f>
        <v/>
      </c>
      <c r="I214" s="4" t="str">
        <f>IF(SUMIF('RAW DATA'!M:M,'RAW DATA'!B214, 'RAW DATA'!K:K)=0, "", SUMIF('RAW DATA'!M:M,'RAW DATA'!B214, 'RAW DATA'!K:K))</f>
        <v/>
      </c>
      <c r="J214" s="29" t="str">
        <f>IF('RAW DATA'!B214&lt;&gt;"",IF(OR('RAW DATA'!H214=1,'RAW DATA'!H214=2),1,IF(ISNUMBER(FIND("Medic",'RAW DATA'!E214)),1,"")),"")</f>
        <v/>
      </c>
      <c r="K214" s="29" t="str">
        <f>IF(AND('RAW DATA'!$B214&lt;&gt;"",'RAW DATA'!L214=1),1,"")</f>
        <v/>
      </c>
      <c r="L214" s="24" t="str">
        <f t="shared" si="7"/>
        <v/>
      </c>
    </row>
    <row r="215" spans="2:12" x14ac:dyDescent="0.25">
      <c r="B215" s="1" t="str">
        <f>IF('RAW DATA'!$C217&lt;&gt;"",'RAW DATA'!$C217,"")</f>
        <v/>
      </c>
      <c r="C215" s="1" t="str">
        <f>IF('RAW DATA'!$D217&lt;&gt;"",'RAW DATA'!$D217,"")</f>
        <v/>
      </c>
      <c r="D215" s="1" t="str">
        <f>IF(AND($B214&lt;&gt;"", $B215=""), "TOTAL:", IF($D214="TOTAL:","VESSEL TARGET "&amp;'RAW DATA'!$E$2&amp;":",IF('RAW DATA'!$E215&lt;&gt;"",'RAW DATA'!$E215,"")))</f>
        <v/>
      </c>
      <c r="E215" s="29" t="str">
        <f t="shared" si="6"/>
        <v/>
      </c>
      <c r="F215" s="4" t="str">
        <f>IF($D214="TOTAL:",FIXED(ROUND(((SUM($F$4:$F213)/'RAW DATA'!$E$2)*100),1),1)&amp;"%",IF($D215="TOTAL:",SUM($F$4:$F214),IF(SUMIF('RAW DATA'!M:M,'RAW DATA'!B215,'RAW DATA'!H:H)=0,"",SUMIF('RAW DATA'!M:M,'RAW DATA'!B215,'RAW DATA'!H:H))))</f>
        <v/>
      </c>
      <c r="G215" s="4" t="str">
        <f>IF($D214="TOTAL:",FIXED(ROUND(((SUM($G$4:$G213)/'RAW DATA'!$E$2)*100),1),1)&amp;"%",IF($D215="TOTAL:",SUM($G$4:$G214),IF(SUMIF('RAW DATA'!M:M,'RAW DATA'!B215,'RAW DATA'!I:I)=0,"",SUMIF('RAW DATA'!M:M,'RAW DATA'!B215,'RAW DATA'!I:I))))</f>
        <v/>
      </c>
      <c r="H215" s="4" t="str">
        <f>IF(SUM(SUMIF('RAW DATA'!M:M,'RAW DATA'!B215,'RAW DATA'!J:J),SUMIF('RAW DATA'!N:N,'RAW DATA'!B215,'RAW DATA'!J:J),SUMIF('RAW DATA'!O:O,'RAW DATA'!B215,'RAW DATA'!J:J),SUMIF('RAW DATA'!P:P,'RAW DATA'!B215,'RAW DATA'!J:J))=0, "", SUM(SUMIF('RAW DATA'!M:M,'RAW DATA'!B215,'RAW DATA'!J:J),SUMIF('RAW DATA'!N:N,'RAW DATA'!B215,'RAW DATA'!J:J),SUMIF('RAW DATA'!O:O,'RAW DATA'!B215,'RAW DATA'!J:J),SUMIF('RAW DATA'!P:P,'RAW DATA'!B215,'RAW DATA'!J:J)))</f>
        <v/>
      </c>
      <c r="I215" s="4" t="str">
        <f>IF(SUMIF('RAW DATA'!M:M,'RAW DATA'!B215, 'RAW DATA'!K:K)=0, "", SUMIF('RAW DATA'!M:M,'RAW DATA'!B215, 'RAW DATA'!K:K))</f>
        <v/>
      </c>
      <c r="J215" s="29" t="str">
        <f>IF('RAW DATA'!B215&lt;&gt;"",IF(OR('RAW DATA'!H215=1,'RAW DATA'!H215=2),1,IF(ISNUMBER(FIND("Medic",'RAW DATA'!E215)),1,"")),"")</f>
        <v/>
      </c>
      <c r="K215" s="29" t="str">
        <f>IF(AND('RAW DATA'!$B215&lt;&gt;"",'RAW DATA'!L215=1),1,"")</f>
        <v/>
      </c>
      <c r="L215" s="24" t="str">
        <f t="shared" si="7"/>
        <v/>
      </c>
    </row>
    <row r="216" spans="2:12" x14ac:dyDescent="0.25">
      <c r="B216" s="1" t="str">
        <f>IF('RAW DATA'!$C218&lt;&gt;"",'RAW DATA'!$C218,"")</f>
        <v/>
      </c>
      <c r="C216" s="1" t="str">
        <f>IF('RAW DATA'!$D218&lt;&gt;"",'RAW DATA'!$D218,"")</f>
        <v/>
      </c>
      <c r="D216" s="1" t="str">
        <f>IF(AND($B215&lt;&gt;"", $B216=""), "TOTAL:", IF($D215="TOTAL:","VESSEL TARGET "&amp;'RAW DATA'!$E$2&amp;":",IF('RAW DATA'!$E216&lt;&gt;"",'RAW DATA'!$E216,"")))</f>
        <v/>
      </c>
      <c r="E216" s="29" t="str">
        <f t="shared" si="6"/>
        <v/>
      </c>
      <c r="F216" s="4" t="str">
        <f>IF($D215="TOTAL:",FIXED(ROUND(((SUM($F$4:$F214)/'RAW DATA'!$E$2)*100),1),1)&amp;"%",IF($D216="TOTAL:",SUM($F$4:$F215),IF(SUMIF('RAW DATA'!M:M,'RAW DATA'!B216,'RAW DATA'!H:H)=0,"",SUMIF('RAW DATA'!M:M,'RAW DATA'!B216,'RAW DATA'!H:H))))</f>
        <v/>
      </c>
      <c r="G216" s="4" t="str">
        <f>IF($D215="TOTAL:",FIXED(ROUND(((SUM($G$4:$G214)/'RAW DATA'!$E$2)*100),1),1)&amp;"%",IF($D216="TOTAL:",SUM($G$4:$G215),IF(SUMIF('RAW DATA'!M:M,'RAW DATA'!B216,'RAW DATA'!I:I)=0,"",SUMIF('RAW DATA'!M:M,'RAW DATA'!B216,'RAW DATA'!I:I))))</f>
        <v/>
      </c>
      <c r="H216" s="4" t="str">
        <f>IF(SUM(SUMIF('RAW DATA'!M:M,'RAW DATA'!B216,'RAW DATA'!J:J),SUMIF('RAW DATA'!N:N,'RAW DATA'!B216,'RAW DATA'!J:J),SUMIF('RAW DATA'!O:O,'RAW DATA'!B216,'RAW DATA'!J:J),SUMIF('RAW DATA'!P:P,'RAW DATA'!B216,'RAW DATA'!J:J))=0, "", SUM(SUMIF('RAW DATA'!M:M,'RAW DATA'!B216,'RAW DATA'!J:J),SUMIF('RAW DATA'!N:N,'RAW DATA'!B216,'RAW DATA'!J:J),SUMIF('RAW DATA'!O:O,'RAW DATA'!B216,'RAW DATA'!J:J),SUMIF('RAW DATA'!P:P,'RAW DATA'!B216,'RAW DATA'!J:J)))</f>
        <v/>
      </c>
      <c r="I216" s="4" t="str">
        <f>IF(SUMIF('RAW DATA'!M:M,'RAW DATA'!B216, 'RAW DATA'!K:K)=0, "", SUMIF('RAW DATA'!M:M,'RAW DATA'!B216, 'RAW DATA'!K:K))</f>
        <v/>
      </c>
      <c r="J216" s="29" t="str">
        <f>IF('RAW DATA'!B216&lt;&gt;"",IF(OR('RAW DATA'!H216=1,'RAW DATA'!H216=2),1,IF(ISNUMBER(FIND("Medic",'RAW DATA'!E216)),1,"")),"")</f>
        <v/>
      </c>
      <c r="K216" s="29" t="str">
        <f>IF(AND('RAW DATA'!$B216&lt;&gt;"",'RAW DATA'!L216=1),1,"")</f>
        <v/>
      </c>
      <c r="L216" s="24" t="str">
        <f t="shared" si="7"/>
        <v/>
      </c>
    </row>
    <row r="217" spans="2:12" x14ac:dyDescent="0.25">
      <c r="B217" s="1" t="str">
        <f>IF('RAW DATA'!$C219&lt;&gt;"",'RAW DATA'!$C219,"")</f>
        <v/>
      </c>
      <c r="C217" s="1" t="str">
        <f>IF('RAW DATA'!$D219&lt;&gt;"",'RAW DATA'!$D219,"")</f>
        <v/>
      </c>
      <c r="D217" s="1" t="str">
        <f>IF(AND($B216&lt;&gt;"", $B217=""), "TOTAL:", IF($D216="TOTAL:","VESSEL TARGET "&amp;'RAW DATA'!$E$2&amp;":",IF('RAW DATA'!$E217&lt;&gt;"",'RAW DATA'!$E217,"")))</f>
        <v/>
      </c>
      <c r="E217" s="29" t="str">
        <f t="shared" si="6"/>
        <v/>
      </c>
      <c r="F217" s="4" t="str">
        <f>IF($D216="TOTAL:",FIXED(ROUND(((SUM($F$4:$F215)/'RAW DATA'!$E$2)*100),1),1)&amp;"%",IF($D217="TOTAL:",SUM($F$4:$F216),IF(SUMIF('RAW DATA'!M:M,'RAW DATA'!B217,'RAW DATA'!H:H)=0,"",SUMIF('RAW DATA'!M:M,'RAW DATA'!B217,'RAW DATA'!H:H))))</f>
        <v/>
      </c>
      <c r="G217" s="4" t="str">
        <f>IF($D216="TOTAL:",FIXED(ROUND(((SUM($G$4:$G215)/'RAW DATA'!$E$2)*100),1),1)&amp;"%",IF($D217="TOTAL:",SUM($G$4:$G216),IF(SUMIF('RAW DATA'!M:M,'RAW DATA'!B217,'RAW DATA'!I:I)=0,"",SUMIF('RAW DATA'!M:M,'RAW DATA'!B217,'RAW DATA'!I:I))))</f>
        <v/>
      </c>
      <c r="H217" s="4" t="str">
        <f>IF(SUM(SUMIF('RAW DATA'!M:M,'RAW DATA'!B217,'RAW DATA'!J:J),SUMIF('RAW DATA'!N:N,'RAW DATA'!B217,'RAW DATA'!J:J),SUMIF('RAW DATA'!O:O,'RAW DATA'!B217,'RAW DATA'!J:J),SUMIF('RAW DATA'!P:P,'RAW DATA'!B217,'RAW DATA'!J:J))=0, "", SUM(SUMIF('RAW DATA'!M:M,'RAW DATA'!B217,'RAW DATA'!J:J),SUMIF('RAW DATA'!N:N,'RAW DATA'!B217,'RAW DATA'!J:J),SUMIF('RAW DATA'!O:O,'RAW DATA'!B217,'RAW DATA'!J:J),SUMIF('RAW DATA'!P:P,'RAW DATA'!B217,'RAW DATA'!J:J)))</f>
        <v/>
      </c>
      <c r="I217" s="4" t="str">
        <f>IF(SUMIF('RAW DATA'!M:M,'RAW DATA'!B217, 'RAW DATA'!K:K)=0, "", SUMIF('RAW DATA'!M:M,'RAW DATA'!B217, 'RAW DATA'!K:K))</f>
        <v/>
      </c>
      <c r="J217" s="29" t="str">
        <f>IF('RAW DATA'!B217&lt;&gt;"",IF(OR('RAW DATA'!H217=1,'RAW DATA'!H217=2),1,IF(ISNUMBER(FIND("Medic",'RAW DATA'!E217)),1,"")),"")</f>
        <v/>
      </c>
      <c r="K217" s="29" t="str">
        <f>IF(AND('RAW DATA'!$B217&lt;&gt;"",'RAW DATA'!L217=1),1,"")</f>
        <v/>
      </c>
      <c r="L217" s="24" t="str">
        <f t="shared" si="7"/>
        <v/>
      </c>
    </row>
    <row r="218" spans="2:12" x14ac:dyDescent="0.25">
      <c r="B218" s="1" t="str">
        <f>IF('RAW DATA'!$C220&lt;&gt;"",'RAW DATA'!$C220,"")</f>
        <v/>
      </c>
      <c r="C218" s="1" t="str">
        <f>IF('RAW DATA'!$D220&lt;&gt;"",'RAW DATA'!$D220,"")</f>
        <v/>
      </c>
      <c r="D218" s="1" t="str">
        <f>IF(AND($B217&lt;&gt;"", $B218=""), "TOTAL:", IF($D217="TOTAL:","VESSEL TARGET "&amp;'RAW DATA'!$E$2&amp;":",IF('RAW DATA'!$E218&lt;&gt;"",'RAW DATA'!$E218,"")))</f>
        <v/>
      </c>
      <c r="E218" s="29" t="str">
        <f t="shared" si="6"/>
        <v/>
      </c>
      <c r="F218" s="4" t="str">
        <f>IF($D217="TOTAL:",FIXED(ROUND(((SUM($F$4:$F216)/'RAW DATA'!$E$2)*100),1),1)&amp;"%",IF($D218="TOTAL:",SUM($F$4:$F217),IF(SUMIF('RAW DATA'!M:M,'RAW DATA'!B218,'RAW DATA'!H:H)=0,"",SUMIF('RAW DATA'!M:M,'RAW DATA'!B218,'RAW DATA'!H:H))))</f>
        <v/>
      </c>
      <c r="G218" s="4" t="str">
        <f>IF($D217="TOTAL:",FIXED(ROUND(((SUM($G$4:$G216)/'RAW DATA'!$E$2)*100),1),1)&amp;"%",IF($D218="TOTAL:",SUM($G$4:$G217),IF(SUMIF('RAW DATA'!M:M,'RAW DATA'!B218,'RAW DATA'!I:I)=0,"",SUMIF('RAW DATA'!M:M,'RAW DATA'!B218,'RAW DATA'!I:I))))</f>
        <v/>
      </c>
      <c r="H218" s="4" t="str">
        <f>IF(SUM(SUMIF('RAW DATA'!M:M,'RAW DATA'!B218,'RAW DATA'!J:J),SUMIF('RAW DATA'!N:N,'RAW DATA'!B218,'RAW DATA'!J:J),SUMIF('RAW DATA'!O:O,'RAW DATA'!B218,'RAW DATA'!J:J),SUMIF('RAW DATA'!P:P,'RAW DATA'!B218,'RAW DATA'!J:J))=0, "", SUM(SUMIF('RAW DATA'!M:M,'RAW DATA'!B218,'RAW DATA'!J:J),SUMIF('RAW DATA'!N:N,'RAW DATA'!B218,'RAW DATA'!J:J),SUMIF('RAW DATA'!O:O,'RAW DATA'!B218,'RAW DATA'!J:J),SUMIF('RAW DATA'!P:P,'RAW DATA'!B218,'RAW DATA'!J:J)))</f>
        <v/>
      </c>
      <c r="I218" s="4" t="str">
        <f>IF(SUMIF('RAW DATA'!M:M,'RAW DATA'!B218, 'RAW DATA'!K:K)=0, "", SUMIF('RAW DATA'!M:M,'RAW DATA'!B218, 'RAW DATA'!K:K))</f>
        <v/>
      </c>
      <c r="J218" s="29" t="str">
        <f>IF('RAW DATA'!B218&lt;&gt;"",IF(OR('RAW DATA'!H218=1,'RAW DATA'!H218=2),1,IF(ISNUMBER(FIND("Medic",'RAW DATA'!E218)),1,"")),"")</f>
        <v/>
      </c>
      <c r="K218" s="29" t="str">
        <f>IF(AND('RAW DATA'!$B218&lt;&gt;"",'RAW DATA'!L218=1),1,"")</f>
        <v/>
      </c>
      <c r="L218" s="24" t="str">
        <f t="shared" si="7"/>
        <v/>
      </c>
    </row>
    <row r="219" spans="2:12" x14ac:dyDescent="0.25">
      <c r="B219" s="1" t="str">
        <f>IF('RAW DATA'!$C221&lt;&gt;"",'RAW DATA'!$C221,"")</f>
        <v/>
      </c>
      <c r="C219" s="1" t="str">
        <f>IF('RAW DATA'!$D221&lt;&gt;"",'RAW DATA'!$D221,"")</f>
        <v/>
      </c>
      <c r="D219" s="1" t="str">
        <f>IF(AND($B218&lt;&gt;"", $B219=""), "TOTAL:", IF($D218="TOTAL:","VESSEL TARGET "&amp;'RAW DATA'!$E$2&amp;":",IF('RAW DATA'!$E219&lt;&gt;"",'RAW DATA'!$E219,"")))</f>
        <v/>
      </c>
      <c r="E219" s="29" t="str">
        <f t="shared" si="6"/>
        <v/>
      </c>
      <c r="F219" s="4" t="str">
        <f>IF($D218="TOTAL:",FIXED(ROUND(((SUM($F$4:$F217)/'RAW DATA'!$E$2)*100),1),1)&amp;"%",IF($D219="TOTAL:",SUM($F$4:$F218),IF(SUMIF('RAW DATA'!M:M,'RAW DATA'!B219,'RAW DATA'!H:H)=0,"",SUMIF('RAW DATA'!M:M,'RAW DATA'!B219,'RAW DATA'!H:H))))</f>
        <v/>
      </c>
      <c r="G219" s="4" t="str">
        <f>IF($D218="TOTAL:",FIXED(ROUND(((SUM($G$4:$G217)/'RAW DATA'!$E$2)*100),1),1)&amp;"%",IF($D219="TOTAL:",SUM($G$4:$G218),IF(SUMIF('RAW DATA'!M:M,'RAW DATA'!B219,'RAW DATA'!I:I)=0,"",SUMIF('RAW DATA'!M:M,'RAW DATA'!B219,'RAW DATA'!I:I))))</f>
        <v/>
      </c>
      <c r="H219" s="4" t="str">
        <f>IF(SUM(SUMIF('RAW DATA'!M:M,'RAW DATA'!B219,'RAW DATA'!J:J),SUMIF('RAW DATA'!N:N,'RAW DATA'!B219,'RAW DATA'!J:J),SUMIF('RAW DATA'!O:O,'RAW DATA'!B219,'RAW DATA'!J:J),SUMIF('RAW DATA'!P:P,'RAW DATA'!B219,'RAW DATA'!J:J))=0, "", SUM(SUMIF('RAW DATA'!M:M,'RAW DATA'!B219,'RAW DATA'!J:J),SUMIF('RAW DATA'!N:N,'RAW DATA'!B219,'RAW DATA'!J:J),SUMIF('RAW DATA'!O:O,'RAW DATA'!B219,'RAW DATA'!J:J),SUMIF('RAW DATA'!P:P,'RAW DATA'!B219,'RAW DATA'!J:J)))</f>
        <v/>
      </c>
      <c r="I219" s="4" t="str">
        <f>IF(SUMIF('RAW DATA'!M:M,'RAW DATA'!B219, 'RAW DATA'!K:K)=0, "", SUMIF('RAW DATA'!M:M,'RAW DATA'!B219, 'RAW DATA'!K:K))</f>
        <v/>
      </c>
      <c r="J219" s="29" t="str">
        <f>IF('RAW DATA'!B219&lt;&gt;"",IF(OR('RAW DATA'!H219=1,'RAW DATA'!H219=2),1,IF(ISNUMBER(FIND("Medic",'RAW DATA'!E219)),1,"")),"")</f>
        <v/>
      </c>
      <c r="K219" s="29" t="str">
        <f>IF(AND('RAW DATA'!$B219&lt;&gt;"",'RAW DATA'!L219=1),1,"")</f>
        <v/>
      </c>
      <c r="L219" s="24" t="str">
        <f t="shared" si="7"/>
        <v/>
      </c>
    </row>
    <row r="220" spans="2:12" x14ac:dyDescent="0.25">
      <c r="B220" s="1" t="str">
        <f>IF('RAW DATA'!$C222&lt;&gt;"",'RAW DATA'!$C222,"")</f>
        <v/>
      </c>
      <c r="C220" s="1" t="str">
        <f>IF('RAW DATA'!$D222&lt;&gt;"",'RAW DATA'!$D222,"")</f>
        <v/>
      </c>
      <c r="D220" s="1" t="str">
        <f>IF(AND($B219&lt;&gt;"", $B220=""), "TOTAL:", IF($D219="TOTAL:","VESSEL TARGET "&amp;'RAW DATA'!$E$2&amp;":",IF('RAW DATA'!$E220&lt;&gt;"",'RAW DATA'!$E220,"")))</f>
        <v/>
      </c>
      <c r="E220" s="29" t="str">
        <f t="shared" si="6"/>
        <v/>
      </c>
      <c r="F220" s="4" t="str">
        <f>IF($D219="TOTAL:",FIXED(ROUND(((SUM($F$4:$F218)/'RAW DATA'!$E$2)*100),1),1)&amp;"%",IF($D220="TOTAL:",SUM($F$4:$F219),IF(SUMIF('RAW DATA'!M:M,'RAW DATA'!B220,'RAW DATA'!H:H)=0,"",SUMIF('RAW DATA'!M:M,'RAW DATA'!B220,'RAW DATA'!H:H))))</f>
        <v/>
      </c>
      <c r="G220" s="4" t="str">
        <f>IF($D219="TOTAL:",FIXED(ROUND(((SUM($G$4:$G218)/'RAW DATA'!$E$2)*100),1),1)&amp;"%",IF($D220="TOTAL:",SUM($G$4:$G219),IF(SUMIF('RAW DATA'!M:M,'RAW DATA'!B220,'RAW DATA'!I:I)=0,"",SUMIF('RAW DATA'!M:M,'RAW DATA'!B220,'RAW DATA'!I:I))))</f>
        <v/>
      </c>
      <c r="H220" s="4" t="str">
        <f>IF(SUM(SUMIF('RAW DATA'!M:M,'RAW DATA'!B220,'RAW DATA'!J:J),SUMIF('RAW DATA'!N:N,'RAW DATA'!B220,'RAW DATA'!J:J),SUMIF('RAW DATA'!O:O,'RAW DATA'!B220,'RAW DATA'!J:J),SUMIF('RAW DATA'!P:P,'RAW DATA'!B220,'RAW DATA'!J:J))=0, "", SUM(SUMIF('RAW DATA'!M:M,'RAW DATA'!B220,'RAW DATA'!J:J),SUMIF('RAW DATA'!N:N,'RAW DATA'!B220,'RAW DATA'!J:J),SUMIF('RAW DATA'!O:O,'RAW DATA'!B220,'RAW DATA'!J:J),SUMIF('RAW DATA'!P:P,'RAW DATA'!B220,'RAW DATA'!J:J)))</f>
        <v/>
      </c>
      <c r="I220" s="4" t="str">
        <f>IF(SUMIF('RAW DATA'!M:M,'RAW DATA'!B220, 'RAW DATA'!K:K)=0, "", SUMIF('RAW DATA'!M:M,'RAW DATA'!B220, 'RAW DATA'!K:K))</f>
        <v/>
      </c>
      <c r="J220" s="29" t="str">
        <f>IF('RAW DATA'!B220&lt;&gt;"",IF(OR('RAW DATA'!H220=1,'RAW DATA'!H220=2),1,IF(ISNUMBER(FIND("Medic",'RAW DATA'!E220)),1,"")),"")</f>
        <v/>
      </c>
      <c r="K220" s="29" t="str">
        <f>IF(AND('RAW DATA'!$B220&lt;&gt;"",'RAW DATA'!L220=1),1,"")</f>
        <v/>
      </c>
      <c r="L220" s="24" t="str">
        <f t="shared" si="7"/>
        <v/>
      </c>
    </row>
    <row r="221" spans="2:12" x14ac:dyDescent="0.25">
      <c r="B221" s="1" t="str">
        <f>IF('RAW DATA'!$C223&lt;&gt;"",'RAW DATA'!$C223,"")</f>
        <v/>
      </c>
      <c r="C221" s="1" t="str">
        <f>IF('RAW DATA'!$D223&lt;&gt;"",'RAW DATA'!$D223,"")</f>
        <v/>
      </c>
      <c r="D221" s="1" t="str">
        <f>IF(AND($B220&lt;&gt;"", $B221=""), "TOTAL:", IF($D220="TOTAL:","VESSEL TARGET "&amp;'RAW DATA'!$E$2&amp;":",IF('RAW DATA'!$E221&lt;&gt;"",'RAW DATA'!$E221,"")))</f>
        <v/>
      </c>
      <c r="E221" s="29" t="str">
        <f t="shared" si="6"/>
        <v/>
      </c>
      <c r="F221" s="4" t="str">
        <f>IF($D220="TOTAL:",FIXED(ROUND(((SUM($F$4:$F219)/'RAW DATA'!$E$2)*100),1),1)&amp;"%",IF($D221="TOTAL:",SUM($F$4:$F220),IF(SUMIF('RAW DATA'!M:M,'RAW DATA'!B221,'RAW DATA'!H:H)=0,"",SUMIF('RAW DATA'!M:M,'RAW DATA'!B221,'RAW DATA'!H:H))))</f>
        <v/>
      </c>
      <c r="G221" s="4" t="str">
        <f>IF($D220="TOTAL:",FIXED(ROUND(((SUM($G$4:$G219)/'RAW DATA'!$E$2)*100),1),1)&amp;"%",IF($D221="TOTAL:",SUM($G$4:$G220),IF(SUMIF('RAW DATA'!M:M,'RAW DATA'!B221,'RAW DATA'!I:I)=0,"",SUMIF('RAW DATA'!M:M,'RAW DATA'!B221,'RAW DATA'!I:I))))</f>
        <v/>
      </c>
      <c r="H221" s="4" t="str">
        <f>IF(SUM(SUMIF('RAW DATA'!M:M,'RAW DATA'!B221,'RAW DATA'!J:J),SUMIF('RAW DATA'!N:N,'RAW DATA'!B221,'RAW DATA'!J:J),SUMIF('RAW DATA'!O:O,'RAW DATA'!B221,'RAW DATA'!J:J),SUMIF('RAW DATA'!P:P,'RAW DATA'!B221,'RAW DATA'!J:J))=0, "", SUM(SUMIF('RAW DATA'!M:M,'RAW DATA'!B221,'RAW DATA'!J:J),SUMIF('RAW DATA'!N:N,'RAW DATA'!B221,'RAW DATA'!J:J),SUMIF('RAW DATA'!O:O,'RAW DATA'!B221,'RAW DATA'!J:J),SUMIF('RAW DATA'!P:P,'RAW DATA'!B221,'RAW DATA'!J:J)))</f>
        <v/>
      </c>
      <c r="I221" s="4" t="str">
        <f>IF(SUMIF('RAW DATA'!M:M,'RAW DATA'!B221, 'RAW DATA'!K:K)=0, "", SUMIF('RAW DATA'!M:M,'RAW DATA'!B221, 'RAW DATA'!K:K))</f>
        <v/>
      </c>
      <c r="J221" s="29" t="str">
        <f>IF('RAW DATA'!B221&lt;&gt;"",IF(OR('RAW DATA'!H221=1,'RAW DATA'!H221=2),1,IF(ISNUMBER(FIND("Medic",'RAW DATA'!E221)),1,"")),"")</f>
        <v/>
      </c>
      <c r="K221" s="29" t="str">
        <f>IF(AND('RAW DATA'!$B221&lt;&gt;"",'RAW DATA'!L221=1),1,"")</f>
        <v/>
      </c>
      <c r="L221" s="24" t="str">
        <f t="shared" si="7"/>
        <v/>
      </c>
    </row>
    <row r="222" spans="2:12" x14ac:dyDescent="0.25">
      <c r="B222" s="1" t="str">
        <f>IF('RAW DATA'!$C224&lt;&gt;"",'RAW DATA'!$C224,"")</f>
        <v/>
      </c>
      <c r="C222" s="1" t="str">
        <f>IF('RAW DATA'!$D224&lt;&gt;"",'RAW DATA'!$D224,"")</f>
        <v/>
      </c>
      <c r="D222" s="1" t="str">
        <f>IF(AND($B221&lt;&gt;"", $B222=""), "TOTAL:", IF($D221="TOTAL:","VESSEL TARGET "&amp;'RAW DATA'!$E$2&amp;":",IF('RAW DATA'!$E222&lt;&gt;"",'RAW DATA'!$E222,"")))</f>
        <v/>
      </c>
      <c r="E222" s="29" t="str">
        <f t="shared" si="6"/>
        <v/>
      </c>
      <c r="F222" s="4" t="str">
        <f>IF($D221="TOTAL:",FIXED(ROUND(((SUM($F$4:$F220)/'RAW DATA'!$E$2)*100),1),1)&amp;"%",IF($D222="TOTAL:",SUM($F$4:$F221),IF(SUMIF('RAW DATA'!M:M,'RAW DATA'!B222,'RAW DATA'!H:H)=0,"",SUMIF('RAW DATA'!M:M,'RAW DATA'!B222,'RAW DATA'!H:H))))</f>
        <v/>
      </c>
      <c r="G222" s="4" t="str">
        <f>IF($D221="TOTAL:",FIXED(ROUND(((SUM($G$4:$G220)/'RAW DATA'!$E$2)*100),1),1)&amp;"%",IF($D222="TOTAL:",SUM($G$4:$G221),IF(SUMIF('RAW DATA'!M:M,'RAW DATA'!B222,'RAW DATA'!I:I)=0,"",SUMIF('RAW DATA'!M:M,'RAW DATA'!B222,'RAW DATA'!I:I))))</f>
        <v/>
      </c>
      <c r="H222" s="4" t="str">
        <f>IF(SUM(SUMIF('RAW DATA'!M:M,'RAW DATA'!B222,'RAW DATA'!J:J),SUMIF('RAW DATA'!N:N,'RAW DATA'!B222,'RAW DATA'!J:J),SUMIF('RAW DATA'!O:O,'RAW DATA'!B222,'RAW DATA'!J:J),SUMIF('RAW DATA'!P:P,'RAW DATA'!B222,'RAW DATA'!J:J))=0, "", SUM(SUMIF('RAW DATA'!M:M,'RAW DATA'!B222,'RAW DATA'!J:J),SUMIF('RAW DATA'!N:N,'RAW DATA'!B222,'RAW DATA'!J:J),SUMIF('RAW DATA'!O:O,'RAW DATA'!B222,'RAW DATA'!J:J),SUMIF('RAW DATA'!P:P,'RAW DATA'!B222,'RAW DATA'!J:J)))</f>
        <v/>
      </c>
      <c r="I222" s="4" t="str">
        <f>IF(SUMIF('RAW DATA'!M:M,'RAW DATA'!B222, 'RAW DATA'!K:K)=0, "", SUMIF('RAW DATA'!M:M,'RAW DATA'!B222, 'RAW DATA'!K:K))</f>
        <v/>
      </c>
      <c r="J222" s="29" t="str">
        <f>IF('RAW DATA'!B222&lt;&gt;"",IF(OR('RAW DATA'!H222=1,'RAW DATA'!H222=2),1,IF(ISNUMBER(FIND("Medic",'RAW DATA'!E222)),1,"")),"")</f>
        <v/>
      </c>
      <c r="K222" s="29" t="str">
        <f>IF(AND('RAW DATA'!$B222&lt;&gt;"",'RAW DATA'!L222=1),1,"")</f>
        <v/>
      </c>
      <c r="L222" s="24" t="str">
        <f t="shared" si="7"/>
        <v/>
      </c>
    </row>
    <row r="223" spans="2:12" x14ac:dyDescent="0.25">
      <c r="B223" s="1" t="str">
        <f>IF('RAW DATA'!$C225&lt;&gt;"",'RAW DATA'!$C225,"")</f>
        <v/>
      </c>
      <c r="C223" s="1" t="str">
        <f>IF('RAW DATA'!$D225&lt;&gt;"",'RAW DATA'!$D225,"")</f>
        <v/>
      </c>
      <c r="D223" s="1" t="str">
        <f>IF(AND($B222&lt;&gt;"", $B223=""), "TOTAL:", IF($D222="TOTAL:","VESSEL TARGET "&amp;'RAW DATA'!$E$2&amp;":",IF('RAW DATA'!$E223&lt;&gt;"",'RAW DATA'!$E223,"")))</f>
        <v/>
      </c>
      <c r="E223" s="29" t="str">
        <f t="shared" si="6"/>
        <v/>
      </c>
      <c r="F223" s="4" t="str">
        <f>IF($D222="TOTAL:",FIXED(ROUND(((SUM($F$4:$F221)/'RAW DATA'!$E$2)*100),1),1)&amp;"%",IF($D223="TOTAL:",SUM($F$4:$F222),IF(SUMIF('RAW DATA'!M:M,'RAW DATA'!B223,'RAW DATA'!H:H)=0,"",SUMIF('RAW DATA'!M:M,'RAW DATA'!B223,'RAW DATA'!H:H))))</f>
        <v/>
      </c>
      <c r="G223" s="4" t="str">
        <f>IF($D222="TOTAL:",FIXED(ROUND(((SUM($G$4:$G221)/'RAW DATA'!$E$2)*100),1),1)&amp;"%",IF($D223="TOTAL:",SUM($G$4:$G222),IF(SUMIF('RAW DATA'!M:M,'RAW DATA'!B223,'RAW DATA'!I:I)=0,"",SUMIF('RAW DATA'!M:M,'RAW DATA'!B223,'RAW DATA'!I:I))))</f>
        <v/>
      </c>
      <c r="H223" s="4" t="str">
        <f>IF(SUM(SUMIF('RAW DATA'!M:M,'RAW DATA'!B223,'RAW DATA'!J:J),SUMIF('RAW DATA'!N:N,'RAW DATA'!B223,'RAW DATA'!J:J),SUMIF('RAW DATA'!O:O,'RAW DATA'!B223,'RAW DATA'!J:J),SUMIF('RAW DATA'!P:P,'RAW DATA'!B223,'RAW DATA'!J:J))=0, "", SUM(SUMIF('RAW DATA'!M:M,'RAW DATA'!B223,'RAW DATA'!J:J),SUMIF('RAW DATA'!N:N,'RAW DATA'!B223,'RAW DATA'!J:J),SUMIF('RAW DATA'!O:O,'RAW DATA'!B223,'RAW DATA'!J:J),SUMIF('RAW DATA'!P:P,'RAW DATA'!B223,'RAW DATA'!J:J)))</f>
        <v/>
      </c>
      <c r="I223" s="4" t="str">
        <f>IF(SUMIF('RAW DATA'!M:M,'RAW DATA'!B223, 'RAW DATA'!K:K)=0, "", SUMIF('RAW DATA'!M:M,'RAW DATA'!B223, 'RAW DATA'!K:K))</f>
        <v/>
      </c>
      <c r="J223" s="29" t="str">
        <f>IF('RAW DATA'!B223&lt;&gt;"",IF(OR('RAW DATA'!H223=1,'RAW DATA'!H223=2),1,IF(ISNUMBER(FIND("Medic",'RAW DATA'!E223)),1,"")),"")</f>
        <v/>
      </c>
      <c r="K223" s="29" t="str">
        <f>IF(AND('RAW DATA'!$B223&lt;&gt;"",'RAW DATA'!L223=1),1,"")</f>
        <v/>
      </c>
      <c r="L223" s="24" t="str">
        <f t="shared" si="7"/>
        <v/>
      </c>
    </row>
    <row r="224" spans="2:12" x14ac:dyDescent="0.25">
      <c r="B224" s="1" t="str">
        <f>IF('RAW DATA'!$C226&lt;&gt;"",'RAW DATA'!$C226,"")</f>
        <v/>
      </c>
      <c r="C224" s="1" t="str">
        <f>IF('RAW DATA'!$D226&lt;&gt;"",'RAW DATA'!$D226,"")</f>
        <v/>
      </c>
      <c r="D224" s="1" t="str">
        <f>IF(AND($B223&lt;&gt;"", $B224=""), "TOTAL:", IF($D223="TOTAL:","VESSEL TARGET "&amp;'RAW DATA'!$E$2&amp;":",IF('RAW DATA'!$E224&lt;&gt;"",'RAW DATA'!$E224,"")))</f>
        <v/>
      </c>
      <c r="E224" s="29" t="str">
        <f t="shared" si="6"/>
        <v/>
      </c>
      <c r="F224" s="4" t="str">
        <f>IF($D223="TOTAL:",FIXED(ROUND(((SUM($F$4:$F222)/'RAW DATA'!$E$2)*100),1),1)&amp;"%",IF($D224="TOTAL:",SUM($F$4:$F223),IF(SUMIF('RAW DATA'!M:M,'RAW DATA'!B224,'RAW DATA'!H:H)=0,"",SUMIF('RAW DATA'!M:M,'RAW DATA'!B224,'RAW DATA'!H:H))))</f>
        <v/>
      </c>
      <c r="G224" s="4" t="str">
        <f>IF($D223="TOTAL:",FIXED(ROUND(((SUM($G$4:$G222)/'RAW DATA'!$E$2)*100),1),1)&amp;"%",IF($D224="TOTAL:",SUM($G$4:$G223),IF(SUMIF('RAW DATA'!M:M,'RAW DATA'!B224,'RAW DATA'!I:I)=0,"",SUMIF('RAW DATA'!M:M,'RAW DATA'!B224,'RAW DATA'!I:I))))</f>
        <v/>
      </c>
      <c r="H224" s="4" t="str">
        <f>IF(SUM(SUMIF('RAW DATA'!M:M,'RAW DATA'!B224,'RAW DATA'!J:J),SUMIF('RAW DATA'!N:N,'RAW DATA'!B224,'RAW DATA'!J:J),SUMIF('RAW DATA'!O:O,'RAW DATA'!B224,'RAW DATA'!J:J),SUMIF('RAW DATA'!P:P,'RAW DATA'!B224,'RAW DATA'!J:J))=0, "", SUM(SUMIF('RAW DATA'!M:M,'RAW DATA'!B224,'RAW DATA'!J:J),SUMIF('RAW DATA'!N:N,'RAW DATA'!B224,'RAW DATA'!J:J),SUMIF('RAW DATA'!O:O,'RAW DATA'!B224,'RAW DATA'!J:J),SUMIF('RAW DATA'!P:P,'RAW DATA'!B224,'RAW DATA'!J:J)))</f>
        <v/>
      </c>
      <c r="I224" s="4" t="str">
        <f>IF(SUMIF('RAW DATA'!M:M,'RAW DATA'!B224, 'RAW DATA'!K:K)=0, "", SUMIF('RAW DATA'!M:M,'RAW DATA'!B224, 'RAW DATA'!K:K))</f>
        <v/>
      </c>
      <c r="J224" s="29" t="str">
        <f>IF('RAW DATA'!B224&lt;&gt;"",IF(OR('RAW DATA'!H224=1,'RAW DATA'!H224=2),1,IF(ISNUMBER(FIND("Medic",'RAW DATA'!E224)),1,"")),"")</f>
        <v/>
      </c>
      <c r="K224" s="29" t="str">
        <f>IF(AND('RAW DATA'!$B224&lt;&gt;"",'RAW DATA'!L224=1),1,"")</f>
        <v/>
      </c>
      <c r="L224" s="24" t="str">
        <f t="shared" si="7"/>
        <v/>
      </c>
    </row>
    <row r="225" spans="2:12" x14ac:dyDescent="0.25">
      <c r="B225" s="1" t="str">
        <f>IF('RAW DATA'!$C227&lt;&gt;"",'RAW DATA'!$C227,"")</f>
        <v/>
      </c>
      <c r="C225" s="1" t="str">
        <f>IF('RAW DATA'!$D227&lt;&gt;"",'RAW DATA'!$D227,"")</f>
        <v/>
      </c>
      <c r="D225" s="1" t="str">
        <f>IF(AND($B224&lt;&gt;"", $B225=""), "TOTAL:", IF($D224="TOTAL:","VESSEL TARGET "&amp;'RAW DATA'!$E$2&amp;":",IF('RAW DATA'!$E225&lt;&gt;"",'RAW DATA'!$E225,"")))</f>
        <v/>
      </c>
      <c r="E225" s="29" t="str">
        <f t="shared" si="6"/>
        <v/>
      </c>
      <c r="F225" s="4" t="str">
        <f>IF($D224="TOTAL:",FIXED(ROUND(((SUM($F$4:$F223)/'RAW DATA'!$E$2)*100),1),1)&amp;"%",IF($D225="TOTAL:",SUM($F$4:$F224),IF(SUMIF('RAW DATA'!M:M,'RAW DATA'!B225,'RAW DATA'!H:H)=0,"",SUMIF('RAW DATA'!M:M,'RAW DATA'!B225,'RAW DATA'!H:H))))</f>
        <v/>
      </c>
      <c r="G225" s="4" t="str">
        <f>IF($D224="TOTAL:",FIXED(ROUND(((SUM($G$4:$G223)/'RAW DATA'!$E$2)*100),1),1)&amp;"%",IF($D225="TOTAL:",SUM($G$4:$G224),IF(SUMIF('RAW DATA'!M:M,'RAW DATA'!B225,'RAW DATA'!I:I)=0,"",SUMIF('RAW DATA'!M:M,'RAW DATA'!B225,'RAW DATA'!I:I))))</f>
        <v/>
      </c>
      <c r="H225" s="4" t="str">
        <f>IF(SUM(SUMIF('RAW DATA'!M:M,'RAW DATA'!B225,'RAW DATA'!J:J),SUMIF('RAW DATA'!N:N,'RAW DATA'!B225,'RAW DATA'!J:J),SUMIF('RAW DATA'!O:O,'RAW DATA'!B225,'RAW DATA'!J:J),SUMIF('RAW DATA'!P:P,'RAW DATA'!B225,'RAW DATA'!J:J))=0, "", SUM(SUMIF('RAW DATA'!M:M,'RAW DATA'!B225,'RAW DATA'!J:J),SUMIF('RAW DATA'!N:N,'RAW DATA'!B225,'RAW DATA'!J:J),SUMIF('RAW DATA'!O:O,'RAW DATA'!B225,'RAW DATA'!J:J),SUMIF('RAW DATA'!P:P,'RAW DATA'!B225,'RAW DATA'!J:J)))</f>
        <v/>
      </c>
      <c r="I225" s="4" t="str">
        <f>IF(SUMIF('RAW DATA'!M:M,'RAW DATA'!B225, 'RAW DATA'!K:K)=0, "", SUMIF('RAW DATA'!M:M,'RAW DATA'!B225, 'RAW DATA'!K:K))</f>
        <v/>
      </c>
      <c r="J225" s="29" t="str">
        <f>IF('RAW DATA'!B225&lt;&gt;"",IF(OR('RAW DATA'!H225=1,'RAW DATA'!H225=2),1,IF(ISNUMBER(FIND("Medic",'RAW DATA'!E225)),1,"")),"")</f>
        <v/>
      </c>
      <c r="K225" s="29" t="str">
        <f>IF(AND('RAW DATA'!$B225&lt;&gt;"",'RAW DATA'!L225=1),1,"")</f>
        <v/>
      </c>
      <c r="L225" s="24" t="str">
        <f t="shared" si="7"/>
        <v/>
      </c>
    </row>
    <row r="226" spans="2:12" x14ac:dyDescent="0.25">
      <c r="B226" s="1" t="str">
        <f>IF('RAW DATA'!$C228&lt;&gt;"",'RAW DATA'!$C228,"")</f>
        <v/>
      </c>
      <c r="C226" s="1" t="str">
        <f>IF('RAW DATA'!$D228&lt;&gt;"",'RAW DATA'!$D228,"")</f>
        <v/>
      </c>
      <c r="D226" s="1" t="str">
        <f>IF(AND($B225&lt;&gt;"", $B226=""), "TOTAL:", IF($D225="TOTAL:","VESSEL TARGET "&amp;'RAW DATA'!$E$2&amp;":",IF('RAW DATA'!$E226&lt;&gt;"",'RAW DATA'!$E226,"")))</f>
        <v/>
      </c>
      <c r="E226" s="29" t="str">
        <f t="shared" si="6"/>
        <v/>
      </c>
      <c r="F226" s="4" t="str">
        <f>IF($D225="TOTAL:",FIXED(ROUND(((SUM($F$4:$F224)/'RAW DATA'!$E$2)*100),1),1)&amp;"%",IF($D226="TOTAL:",SUM($F$4:$F225),IF(SUMIF('RAW DATA'!M:M,'RAW DATA'!B226,'RAW DATA'!H:H)=0,"",SUMIF('RAW DATA'!M:M,'RAW DATA'!B226,'RAW DATA'!H:H))))</f>
        <v/>
      </c>
      <c r="G226" s="4" t="str">
        <f>IF($D225="TOTAL:",FIXED(ROUND(((SUM($G$4:$G224)/'RAW DATA'!$E$2)*100),1),1)&amp;"%",IF($D226="TOTAL:",SUM($G$4:$G225),IF(SUMIF('RAW DATA'!M:M,'RAW DATA'!B226,'RAW DATA'!I:I)=0,"",SUMIF('RAW DATA'!M:M,'RAW DATA'!B226,'RAW DATA'!I:I))))</f>
        <v/>
      </c>
      <c r="H226" s="4" t="str">
        <f>IF(SUM(SUMIF('RAW DATA'!M:M,'RAW DATA'!B226,'RAW DATA'!J:J),SUMIF('RAW DATA'!N:N,'RAW DATA'!B226,'RAW DATA'!J:J),SUMIF('RAW DATA'!O:O,'RAW DATA'!B226,'RAW DATA'!J:J),SUMIF('RAW DATA'!P:P,'RAW DATA'!B226,'RAW DATA'!J:J))=0, "", SUM(SUMIF('RAW DATA'!M:M,'RAW DATA'!B226,'RAW DATA'!J:J),SUMIF('RAW DATA'!N:N,'RAW DATA'!B226,'RAW DATA'!J:J),SUMIF('RAW DATA'!O:O,'RAW DATA'!B226,'RAW DATA'!J:J),SUMIF('RAW DATA'!P:P,'RAW DATA'!B226,'RAW DATA'!J:J)))</f>
        <v/>
      </c>
      <c r="I226" s="4" t="str">
        <f>IF(SUMIF('RAW DATA'!M:M,'RAW DATA'!B226, 'RAW DATA'!K:K)=0, "", SUMIF('RAW DATA'!M:M,'RAW DATA'!B226, 'RAW DATA'!K:K))</f>
        <v/>
      </c>
      <c r="J226" s="29" t="str">
        <f>IF('RAW DATA'!B226&lt;&gt;"",IF(OR('RAW DATA'!H226=1,'RAW DATA'!H226=2),1,IF(ISNUMBER(FIND("Medic",'RAW DATA'!E226)),1,"")),"")</f>
        <v/>
      </c>
      <c r="K226" s="29" t="str">
        <f>IF(AND('RAW DATA'!$B226&lt;&gt;"",'RAW DATA'!L226=1),1,"")</f>
        <v/>
      </c>
      <c r="L226" s="24" t="str">
        <f t="shared" si="7"/>
        <v/>
      </c>
    </row>
    <row r="227" spans="2:12" x14ac:dyDescent="0.25">
      <c r="B227" s="1" t="str">
        <f>IF('RAW DATA'!$C229&lt;&gt;"",'RAW DATA'!$C229,"")</f>
        <v/>
      </c>
      <c r="C227" s="1" t="str">
        <f>IF('RAW DATA'!$D229&lt;&gt;"",'RAW DATA'!$D229,"")</f>
        <v/>
      </c>
      <c r="D227" s="1" t="str">
        <f>IF(AND($B226&lt;&gt;"", $B227=""), "TOTAL:", IF($D226="TOTAL:","VESSEL TARGET "&amp;'RAW DATA'!$E$2&amp;":",IF('RAW DATA'!$E227&lt;&gt;"",'RAW DATA'!$E227,"")))</f>
        <v/>
      </c>
      <c r="E227" s="29" t="str">
        <f t="shared" si="6"/>
        <v/>
      </c>
      <c r="F227" s="4" t="str">
        <f>IF($D226="TOTAL:",FIXED(ROUND(((SUM($F$4:$F225)/'RAW DATA'!$E$2)*100),1),1)&amp;"%",IF($D227="TOTAL:",SUM($F$4:$F226),IF(SUMIF('RAW DATA'!M:M,'RAW DATA'!B227,'RAW DATA'!H:H)=0,"",SUMIF('RAW DATA'!M:M,'RAW DATA'!B227,'RAW DATA'!H:H))))</f>
        <v/>
      </c>
      <c r="G227" s="4" t="str">
        <f>IF($D226="TOTAL:",FIXED(ROUND(((SUM($G$4:$G225)/'RAW DATA'!$E$2)*100),1),1)&amp;"%",IF($D227="TOTAL:",SUM($G$4:$G226),IF(SUMIF('RAW DATA'!M:M,'RAW DATA'!B227,'RAW DATA'!I:I)=0,"",SUMIF('RAW DATA'!M:M,'RAW DATA'!B227,'RAW DATA'!I:I))))</f>
        <v/>
      </c>
      <c r="H227" s="4" t="str">
        <f>IF(SUM(SUMIF('RAW DATA'!M:M,'RAW DATA'!B227,'RAW DATA'!J:J),SUMIF('RAW DATA'!N:N,'RAW DATA'!B227,'RAW DATA'!J:J),SUMIF('RAW DATA'!O:O,'RAW DATA'!B227,'RAW DATA'!J:J),SUMIF('RAW DATA'!P:P,'RAW DATA'!B227,'RAW DATA'!J:J))=0, "", SUM(SUMIF('RAW DATA'!M:M,'RAW DATA'!B227,'RAW DATA'!J:J),SUMIF('RAW DATA'!N:N,'RAW DATA'!B227,'RAW DATA'!J:J),SUMIF('RAW DATA'!O:O,'RAW DATA'!B227,'RAW DATA'!J:J),SUMIF('RAW DATA'!P:P,'RAW DATA'!B227,'RAW DATA'!J:J)))</f>
        <v/>
      </c>
      <c r="I227" s="4" t="str">
        <f>IF(SUMIF('RAW DATA'!M:M,'RAW DATA'!B227, 'RAW DATA'!K:K)=0, "", SUMIF('RAW DATA'!M:M,'RAW DATA'!B227, 'RAW DATA'!K:K))</f>
        <v/>
      </c>
      <c r="J227" s="29" t="str">
        <f>IF('RAW DATA'!B227&lt;&gt;"",IF(OR('RAW DATA'!H227=1,'RAW DATA'!H227=2),1,IF(ISNUMBER(FIND("Medic",'RAW DATA'!E227)),1,"")),"")</f>
        <v/>
      </c>
      <c r="K227" s="29" t="str">
        <f>IF(AND('RAW DATA'!$B227&lt;&gt;"",'RAW DATA'!L227=1),1,"")</f>
        <v/>
      </c>
      <c r="L227" s="24" t="str">
        <f t="shared" si="7"/>
        <v/>
      </c>
    </row>
    <row r="228" spans="2:12" x14ac:dyDescent="0.25">
      <c r="B228" s="1" t="str">
        <f>IF('RAW DATA'!$C230&lt;&gt;"",'RAW DATA'!$C230,"")</f>
        <v/>
      </c>
      <c r="C228" s="1" t="str">
        <f>IF('RAW DATA'!$D230&lt;&gt;"",'RAW DATA'!$D230,"")</f>
        <v/>
      </c>
      <c r="D228" s="1" t="str">
        <f>IF(AND($B227&lt;&gt;"", $B228=""), "TOTAL:", IF($D227="TOTAL:","VESSEL TARGET "&amp;'RAW DATA'!$E$2&amp;":",IF('RAW DATA'!$E228&lt;&gt;"",'RAW DATA'!$E228,"")))</f>
        <v/>
      </c>
      <c r="E228" s="29" t="str">
        <f t="shared" si="6"/>
        <v/>
      </c>
      <c r="F228" s="4" t="str">
        <f>IF($D227="TOTAL:",FIXED(ROUND(((SUM($F$4:$F226)/'RAW DATA'!$E$2)*100),1),1)&amp;"%",IF($D228="TOTAL:",SUM($F$4:$F227),IF(SUMIF('RAW DATA'!M:M,'RAW DATA'!B228,'RAW DATA'!H:H)=0,"",SUMIF('RAW DATA'!M:M,'RAW DATA'!B228,'RAW DATA'!H:H))))</f>
        <v/>
      </c>
      <c r="G228" s="4" t="str">
        <f>IF($D227="TOTAL:",FIXED(ROUND(((SUM($G$4:$G226)/'RAW DATA'!$E$2)*100),1),1)&amp;"%",IF($D228="TOTAL:",SUM($G$4:$G227),IF(SUMIF('RAW DATA'!M:M,'RAW DATA'!B228,'RAW DATA'!I:I)=0,"",SUMIF('RAW DATA'!M:M,'RAW DATA'!B228,'RAW DATA'!I:I))))</f>
        <v/>
      </c>
      <c r="H228" s="4" t="str">
        <f>IF(SUM(SUMIF('RAW DATA'!M:M,'RAW DATA'!B228,'RAW DATA'!J:J),SUMIF('RAW DATA'!N:N,'RAW DATA'!B228,'RAW DATA'!J:J),SUMIF('RAW DATA'!O:O,'RAW DATA'!B228,'RAW DATA'!J:J),SUMIF('RAW DATA'!P:P,'RAW DATA'!B228,'RAW DATA'!J:J))=0, "", SUM(SUMIF('RAW DATA'!M:M,'RAW DATA'!B228,'RAW DATA'!J:J),SUMIF('RAW DATA'!N:N,'RAW DATA'!B228,'RAW DATA'!J:J),SUMIF('RAW DATA'!O:O,'RAW DATA'!B228,'RAW DATA'!J:J),SUMIF('RAW DATA'!P:P,'RAW DATA'!B228,'RAW DATA'!J:J)))</f>
        <v/>
      </c>
      <c r="I228" s="4" t="str">
        <f>IF(SUMIF('RAW DATA'!M:M,'RAW DATA'!B228, 'RAW DATA'!K:K)=0, "", SUMIF('RAW DATA'!M:M,'RAW DATA'!B228, 'RAW DATA'!K:K))</f>
        <v/>
      </c>
      <c r="J228" s="29" t="str">
        <f>IF('RAW DATA'!B228&lt;&gt;"",IF(OR('RAW DATA'!H228=1,'RAW DATA'!H228=2),1,IF(ISNUMBER(FIND("Medic",'RAW DATA'!E228)),1,"")),"")</f>
        <v/>
      </c>
      <c r="K228" s="29" t="str">
        <f>IF(AND('RAW DATA'!$B228&lt;&gt;"",'RAW DATA'!L228=1),1,"")</f>
        <v/>
      </c>
      <c r="L228" s="24" t="str">
        <f t="shared" si="7"/>
        <v/>
      </c>
    </row>
    <row r="229" spans="2:12" x14ac:dyDescent="0.25">
      <c r="B229" s="1" t="str">
        <f>IF('RAW DATA'!$C231&lt;&gt;"",'RAW DATA'!$C231,"")</f>
        <v/>
      </c>
      <c r="C229" s="1" t="str">
        <f>IF('RAW DATA'!$D231&lt;&gt;"",'RAW DATA'!$D231,"")</f>
        <v/>
      </c>
      <c r="D229" s="1" t="str">
        <f>IF(AND($B228&lt;&gt;"", $B229=""), "TOTAL:", IF($D228="TOTAL:","VESSEL TARGET "&amp;'RAW DATA'!$E$2&amp;":",IF('RAW DATA'!$E229&lt;&gt;"",'RAW DATA'!$E229,"")))</f>
        <v/>
      </c>
      <c r="E229" s="29" t="str">
        <f t="shared" si="6"/>
        <v/>
      </c>
      <c r="F229" s="4" t="str">
        <f>IF($D228="TOTAL:",FIXED(ROUND(((SUM($F$4:$F227)/'RAW DATA'!$E$2)*100),1),1)&amp;"%",IF($D229="TOTAL:",SUM($F$4:$F228),IF(SUMIF('RAW DATA'!M:M,'RAW DATA'!B229,'RAW DATA'!H:H)=0,"",SUMIF('RAW DATA'!M:M,'RAW DATA'!B229,'RAW DATA'!H:H))))</f>
        <v/>
      </c>
      <c r="G229" s="4" t="str">
        <f>IF($D228="TOTAL:",FIXED(ROUND(((SUM($G$4:$G227)/'RAW DATA'!$E$2)*100),1),1)&amp;"%",IF($D229="TOTAL:",SUM($G$4:$G228),IF(SUMIF('RAW DATA'!M:M,'RAW DATA'!B229,'RAW DATA'!I:I)=0,"",SUMIF('RAW DATA'!M:M,'RAW DATA'!B229,'RAW DATA'!I:I))))</f>
        <v/>
      </c>
      <c r="H229" s="4" t="str">
        <f>IF(SUM(SUMIF('RAW DATA'!M:M,'RAW DATA'!B229,'RAW DATA'!J:J),SUMIF('RAW DATA'!N:N,'RAW DATA'!B229,'RAW DATA'!J:J),SUMIF('RAW DATA'!O:O,'RAW DATA'!B229,'RAW DATA'!J:J),SUMIF('RAW DATA'!P:P,'RAW DATA'!B229,'RAW DATA'!J:J))=0, "", SUM(SUMIF('RAW DATA'!M:M,'RAW DATA'!B229,'RAW DATA'!J:J),SUMIF('RAW DATA'!N:N,'RAW DATA'!B229,'RAW DATA'!J:J),SUMIF('RAW DATA'!O:O,'RAW DATA'!B229,'RAW DATA'!J:J),SUMIF('RAW DATA'!P:P,'RAW DATA'!B229,'RAW DATA'!J:J)))</f>
        <v/>
      </c>
      <c r="I229" s="4" t="str">
        <f>IF(SUMIF('RAW DATA'!M:M,'RAW DATA'!B229, 'RAW DATA'!K:K)=0, "", SUMIF('RAW DATA'!M:M,'RAW DATA'!B229, 'RAW DATA'!K:K))</f>
        <v/>
      </c>
      <c r="J229" s="29" t="str">
        <f>IF('RAW DATA'!B229&lt;&gt;"",IF(OR('RAW DATA'!H229=1,'RAW DATA'!H229=2),1,IF(ISNUMBER(FIND("Medic",'RAW DATA'!E229)),1,"")),"")</f>
        <v/>
      </c>
      <c r="K229" s="29" t="str">
        <f>IF(AND('RAW DATA'!$B229&lt;&gt;"",'RAW DATA'!L229=1),1,"")</f>
        <v/>
      </c>
      <c r="L229" s="24" t="str">
        <f t="shared" si="7"/>
        <v/>
      </c>
    </row>
    <row r="230" spans="2:12" x14ac:dyDescent="0.25">
      <c r="B230" s="1" t="str">
        <f>IF('RAW DATA'!$C232&lt;&gt;"",'RAW DATA'!$C232,"")</f>
        <v/>
      </c>
      <c r="C230" s="1" t="str">
        <f>IF('RAW DATA'!$D232&lt;&gt;"",'RAW DATA'!$D232,"")</f>
        <v/>
      </c>
      <c r="D230" s="1" t="str">
        <f>IF(AND($B229&lt;&gt;"", $B230=""), "TOTAL:", IF($D229="TOTAL:","VESSEL TARGET "&amp;'RAW DATA'!$E$2&amp;":",IF('RAW DATA'!$E230&lt;&gt;"",'RAW DATA'!$E230,"")))</f>
        <v/>
      </c>
      <c r="E230" s="29" t="str">
        <f t="shared" si="6"/>
        <v/>
      </c>
      <c r="F230" s="4" t="str">
        <f>IF($D229="TOTAL:",FIXED(ROUND(((SUM($F$4:$F228)/'RAW DATA'!$E$2)*100),1),1)&amp;"%",IF($D230="TOTAL:",SUM($F$4:$F229),IF(SUMIF('RAW DATA'!M:M,'RAW DATA'!B230,'RAW DATA'!H:H)=0,"",SUMIF('RAW DATA'!M:M,'RAW DATA'!B230,'RAW DATA'!H:H))))</f>
        <v/>
      </c>
      <c r="G230" s="4" t="str">
        <f>IF($D229="TOTAL:",FIXED(ROUND(((SUM($G$4:$G228)/'RAW DATA'!$E$2)*100),1),1)&amp;"%",IF($D230="TOTAL:",SUM($G$4:$G229),IF(SUMIF('RAW DATA'!M:M,'RAW DATA'!B230,'RAW DATA'!I:I)=0,"",SUMIF('RAW DATA'!M:M,'RAW DATA'!B230,'RAW DATA'!I:I))))</f>
        <v/>
      </c>
      <c r="H230" s="4" t="str">
        <f>IF(SUM(SUMIF('RAW DATA'!M:M,'RAW DATA'!B230,'RAW DATA'!J:J),SUMIF('RAW DATA'!N:N,'RAW DATA'!B230,'RAW DATA'!J:J),SUMIF('RAW DATA'!O:O,'RAW DATA'!B230,'RAW DATA'!J:J),SUMIF('RAW DATA'!P:P,'RAW DATA'!B230,'RAW DATA'!J:J))=0, "", SUM(SUMIF('RAW DATA'!M:M,'RAW DATA'!B230,'RAW DATA'!J:J),SUMIF('RAW DATA'!N:N,'RAW DATA'!B230,'RAW DATA'!J:J),SUMIF('RAW DATA'!O:O,'RAW DATA'!B230,'RAW DATA'!J:J),SUMIF('RAW DATA'!P:P,'RAW DATA'!B230,'RAW DATA'!J:J)))</f>
        <v/>
      </c>
      <c r="I230" s="4" t="str">
        <f>IF(SUMIF('RAW DATA'!M:M,'RAW DATA'!B230, 'RAW DATA'!K:K)=0, "", SUMIF('RAW DATA'!M:M,'RAW DATA'!B230, 'RAW DATA'!K:K))</f>
        <v/>
      </c>
      <c r="J230" s="29" t="str">
        <f>IF('RAW DATA'!B230&lt;&gt;"",IF(OR('RAW DATA'!H230=1,'RAW DATA'!H230=2),1,IF(ISNUMBER(FIND("Medic",'RAW DATA'!E230)),1,"")),"")</f>
        <v/>
      </c>
      <c r="K230" s="29" t="str">
        <f>IF(AND('RAW DATA'!$B230&lt;&gt;"",'RAW DATA'!L230=1),1,"")</f>
        <v/>
      </c>
      <c r="L230" s="24" t="str">
        <f t="shared" si="7"/>
        <v/>
      </c>
    </row>
    <row r="231" spans="2:12" x14ac:dyDescent="0.25">
      <c r="B231" s="1" t="str">
        <f>IF('RAW DATA'!$C233&lt;&gt;"",'RAW DATA'!$C233,"")</f>
        <v/>
      </c>
      <c r="C231" s="1" t="str">
        <f>IF('RAW DATA'!$D233&lt;&gt;"",'RAW DATA'!$D233,"")</f>
        <v/>
      </c>
      <c r="D231" s="1" t="str">
        <f>IF(AND($B230&lt;&gt;"", $B231=""), "TOTAL:", IF($D230="TOTAL:","VESSEL TARGET "&amp;'RAW DATA'!$E$2&amp;":",IF('RAW DATA'!$E231&lt;&gt;"",'RAW DATA'!$E231,"")))</f>
        <v/>
      </c>
      <c r="E231" s="29" t="str">
        <f t="shared" si="6"/>
        <v/>
      </c>
      <c r="F231" s="4" t="str">
        <f>IF($D230="TOTAL:",FIXED(ROUND(((SUM($F$4:$F229)/'RAW DATA'!$E$2)*100),1),1)&amp;"%",IF($D231="TOTAL:",SUM($F$4:$F230),IF(SUMIF('RAW DATA'!M:M,'RAW DATA'!B231,'RAW DATA'!H:H)=0,"",SUMIF('RAW DATA'!M:M,'RAW DATA'!B231,'RAW DATA'!H:H))))</f>
        <v/>
      </c>
      <c r="G231" s="4" t="str">
        <f>IF($D230="TOTAL:",FIXED(ROUND(((SUM($G$4:$G229)/'RAW DATA'!$E$2)*100),1),1)&amp;"%",IF($D231="TOTAL:",SUM($G$4:$G230),IF(SUMIF('RAW DATA'!M:M,'RAW DATA'!B231,'RAW DATA'!I:I)=0,"",SUMIF('RAW DATA'!M:M,'RAW DATA'!B231,'RAW DATA'!I:I))))</f>
        <v/>
      </c>
      <c r="H231" s="4" t="str">
        <f>IF(SUM(SUMIF('RAW DATA'!M:M,'RAW DATA'!B231,'RAW DATA'!J:J),SUMIF('RAW DATA'!N:N,'RAW DATA'!B231,'RAW DATA'!J:J),SUMIF('RAW DATA'!O:O,'RAW DATA'!B231,'RAW DATA'!J:J),SUMIF('RAW DATA'!P:P,'RAW DATA'!B231,'RAW DATA'!J:J))=0, "", SUM(SUMIF('RAW DATA'!M:M,'RAW DATA'!B231,'RAW DATA'!J:J),SUMIF('RAW DATA'!N:N,'RAW DATA'!B231,'RAW DATA'!J:J),SUMIF('RAW DATA'!O:O,'RAW DATA'!B231,'RAW DATA'!J:J),SUMIF('RAW DATA'!P:P,'RAW DATA'!B231,'RAW DATA'!J:J)))</f>
        <v/>
      </c>
      <c r="I231" s="4" t="str">
        <f>IF(SUMIF('RAW DATA'!M:M,'RAW DATA'!B231, 'RAW DATA'!K:K)=0, "", SUMIF('RAW DATA'!M:M,'RAW DATA'!B231, 'RAW DATA'!K:K))</f>
        <v/>
      </c>
      <c r="J231" s="29" t="str">
        <f>IF('RAW DATA'!B231&lt;&gt;"",IF(OR('RAW DATA'!H231=1,'RAW DATA'!H231=2),1,IF(ISNUMBER(FIND("Medic",'RAW DATA'!E231)),1,"")),"")</f>
        <v/>
      </c>
      <c r="K231" s="29" t="str">
        <f>IF(AND('RAW DATA'!$B231&lt;&gt;"",'RAW DATA'!L231=1),1,"")</f>
        <v/>
      </c>
      <c r="L231" s="24" t="str">
        <f t="shared" si="7"/>
        <v/>
      </c>
    </row>
    <row r="232" spans="2:12" x14ac:dyDescent="0.25">
      <c r="B232" s="1" t="str">
        <f>IF('RAW DATA'!$C234&lt;&gt;"",'RAW DATA'!$C234,"")</f>
        <v/>
      </c>
      <c r="C232" s="1" t="str">
        <f>IF('RAW DATA'!$D234&lt;&gt;"",'RAW DATA'!$D234,"")</f>
        <v/>
      </c>
      <c r="D232" s="1" t="str">
        <f>IF(AND($B231&lt;&gt;"", $B232=""), "TOTAL:", IF($D231="TOTAL:","VESSEL TARGET "&amp;'RAW DATA'!$E$2&amp;":",IF('RAW DATA'!$E232&lt;&gt;"",'RAW DATA'!$E232,"")))</f>
        <v/>
      </c>
      <c r="E232" s="29" t="str">
        <f t="shared" si="6"/>
        <v/>
      </c>
      <c r="F232" s="4" t="str">
        <f>IF($D231="TOTAL:",FIXED(ROUND(((SUM($F$4:$F230)/'RAW DATA'!$E$2)*100),1),1)&amp;"%",IF($D232="TOTAL:",SUM($F$4:$F231),IF(SUMIF('RAW DATA'!M:M,'RAW DATA'!B232,'RAW DATA'!H:H)=0,"",SUMIF('RAW DATA'!M:M,'RAW DATA'!B232,'RAW DATA'!H:H))))</f>
        <v/>
      </c>
      <c r="G232" s="4" t="str">
        <f>IF($D231="TOTAL:",FIXED(ROUND(((SUM($G$4:$G230)/'RAW DATA'!$E$2)*100),1),1)&amp;"%",IF($D232="TOTAL:",SUM($G$4:$G231),IF(SUMIF('RAW DATA'!M:M,'RAW DATA'!B232,'RAW DATA'!I:I)=0,"",SUMIF('RAW DATA'!M:M,'RAW DATA'!B232,'RAW DATA'!I:I))))</f>
        <v/>
      </c>
      <c r="H232" s="4" t="str">
        <f>IF(SUM(SUMIF('RAW DATA'!M:M,'RAW DATA'!B232,'RAW DATA'!J:J),SUMIF('RAW DATA'!N:N,'RAW DATA'!B232,'RAW DATA'!J:J),SUMIF('RAW DATA'!O:O,'RAW DATA'!B232,'RAW DATA'!J:J),SUMIF('RAW DATA'!P:P,'RAW DATA'!B232,'RAW DATA'!J:J))=0, "", SUM(SUMIF('RAW DATA'!M:M,'RAW DATA'!B232,'RAW DATA'!J:J),SUMIF('RAW DATA'!N:N,'RAW DATA'!B232,'RAW DATA'!J:J),SUMIF('RAW DATA'!O:O,'RAW DATA'!B232,'RAW DATA'!J:J),SUMIF('RAW DATA'!P:P,'RAW DATA'!B232,'RAW DATA'!J:J)))</f>
        <v/>
      </c>
      <c r="I232" s="4" t="str">
        <f>IF(SUMIF('RAW DATA'!M:M,'RAW DATA'!B232, 'RAW DATA'!K:K)=0, "", SUMIF('RAW DATA'!M:M,'RAW DATA'!B232, 'RAW DATA'!K:K))</f>
        <v/>
      </c>
      <c r="J232" s="29" t="str">
        <f>IF('RAW DATA'!B232&lt;&gt;"",IF(OR('RAW DATA'!H232=1,'RAW DATA'!H232=2),1,IF(ISNUMBER(FIND("Medic",'RAW DATA'!E232)),1,"")),"")</f>
        <v/>
      </c>
      <c r="K232" s="29" t="str">
        <f>IF(AND('RAW DATA'!$B232&lt;&gt;"",'RAW DATA'!L232=1),1,"")</f>
        <v/>
      </c>
      <c r="L232" s="24" t="str">
        <f t="shared" si="7"/>
        <v/>
      </c>
    </row>
    <row r="233" spans="2:12" x14ac:dyDescent="0.25">
      <c r="B233" s="1" t="str">
        <f>IF('RAW DATA'!$C235&lt;&gt;"",'RAW DATA'!$C235,"")</f>
        <v/>
      </c>
      <c r="C233" s="1" t="str">
        <f>IF('RAW DATA'!$D235&lt;&gt;"",'RAW DATA'!$D235,"")</f>
        <v/>
      </c>
      <c r="D233" s="1" t="str">
        <f>IF(AND($B232&lt;&gt;"", $B233=""), "TOTAL:", IF($D232="TOTAL:","VESSEL TARGET "&amp;'RAW DATA'!$E$2&amp;":",IF('RAW DATA'!$E233&lt;&gt;"",'RAW DATA'!$E233,"")))</f>
        <v/>
      </c>
      <c r="E233" s="29" t="str">
        <f t="shared" si="6"/>
        <v/>
      </c>
      <c r="F233" s="4" t="str">
        <f>IF($D232="TOTAL:",FIXED(ROUND(((SUM($F$4:$F231)/'RAW DATA'!$E$2)*100),1),1)&amp;"%",IF($D233="TOTAL:",SUM($F$4:$F232),IF(SUMIF('RAW DATA'!M:M,'RAW DATA'!B233,'RAW DATA'!H:H)=0,"",SUMIF('RAW DATA'!M:M,'RAW DATA'!B233,'RAW DATA'!H:H))))</f>
        <v/>
      </c>
      <c r="G233" s="4" t="str">
        <f>IF($D232="TOTAL:",FIXED(ROUND(((SUM($G$4:$G231)/'RAW DATA'!$E$2)*100),1),1)&amp;"%",IF($D233="TOTAL:",SUM($G$4:$G232),IF(SUMIF('RAW DATA'!M:M,'RAW DATA'!B233,'RAW DATA'!I:I)=0,"",SUMIF('RAW DATA'!M:M,'RAW DATA'!B233,'RAW DATA'!I:I))))</f>
        <v/>
      </c>
      <c r="H233" s="4" t="str">
        <f>IF(SUM(SUMIF('RAW DATA'!M:M,'RAW DATA'!B233,'RAW DATA'!J:J),SUMIF('RAW DATA'!N:N,'RAW DATA'!B233,'RAW DATA'!J:J),SUMIF('RAW DATA'!O:O,'RAW DATA'!B233,'RAW DATA'!J:J),SUMIF('RAW DATA'!P:P,'RAW DATA'!B233,'RAW DATA'!J:J))=0, "", SUM(SUMIF('RAW DATA'!M:M,'RAW DATA'!B233,'RAW DATA'!J:J),SUMIF('RAW DATA'!N:N,'RAW DATA'!B233,'RAW DATA'!J:J),SUMIF('RAW DATA'!O:O,'RAW DATA'!B233,'RAW DATA'!J:J),SUMIF('RAW DATA'!P:P,'RAW DATA'!B233,'RAW DATA'!J:J)))</f>
        <v/>
      </c>
      <c r="I233" s="4" t="str">
        <f>IF(SUMIF('RAW DATA'!M:M,'RAW DATA'!B233, 'RAW DATA'!K:K)=0, "", SUMIF('RAW DATA'!M:M,'RAW DATA'!B233, 'RAW DATA'!K:K))</f>
        <v/>
      </c>
      <c r="J233" s="29" t="str">
        <f>IF('RAW DATA'!B233&lt;&gt;"",IF(OR('RAW DATA'!H233=1,'RAW DATA'!H233=2),1,IF(ISNUMBER(FIND("Medic",'RAW DATA'!E233)),1,"")),"")</f>
        <v/>
      </c>
      <c r="K233" s="29" t="str">
        <f>IF(AND('RAW DATA'!$B233&lt;&gt;"",'RAW DATA'!L233=1),1,"")</f>
        <v/>
      </c>
      <c r="L233" s="24" t="str">
        <f t="shared" si="7"/>
        <v/>
      </c>
    </row>
    <row r="234" spans="2:12" x14ac:dyDescent="0.25">
      <c r="B234" s="1" t="str">
        <f>IF('RAW DATA'!$C236&lt;&gt;"",'RAW DATA'!$C236,"")</f>
        <v/>
      </c>
      <c r="C234" s="1" t="str">
        <f>IF('RAW DATA'!$D236&lt;&gt;"",'RAW DATA'!$D236,"")</f>
        <v/>
      </c>
      <c r="D234" s="1" t="str">
        <f>IF(AND($B233&lt;&gt;"", $B234=""), "TOTAL:", IF($D233="TOTAL:","VESSEL TARGET "&amp;'RAW DATA'!$E$2&amp;":",IF('RAW DATA'!$E234&lt;&gt;"",'RAW DATA'!$E234,"")))</f>
        <v/>
      </c>
      <c r="E234" s="29" t="str">
        <f t="shared" si="6"/>
        <v/>
      </c>
      <c r="F234" s="4" t="str">
        <f>IF($D233="TOTAL:",FIXED(ROUND(((SUM($F$4:$F232)/'RAW DATA'!$E$2)*100),1),1)&amp;"%",IF($D234="TOTAL:",SUM($F$4:$F233),IF(SUMIF('RAW DATA'!M:M,'RAW DATA'!B234,'RAW DATA'!H:H)=0,"",SUMIF('RAW DATA'!M:M,'RAW DATA'!B234,'RAW DATA'!H:H))))</f>
        <v/>
      </c>
      <c r="G234" s="4" t="str">
        <f>IF($D233="TOTAL:",FIXED(ROUND(((SUM($G$4:$G232)/'RAW DATA'!$E$2)*100),1),1)&amp;"%",IF($D234="TOTAL:",SUM($G$4:$G233),IF(SUMIF('RAW DATA'!M:M,'RAW DATA'!B234,'RAW DATA'!I:I)=0,"",SUMIF('RAW DATA'!M:M,'RAW DATA'!B234,'RAW DATA'!I:I))))</f>
        <v/>
      </c>
      <c r="H234" s="4" t="str">
        <f>IF(SUM(SUMIF('RAW DATA'!M:M,'RAW DATA'!B234,'RAW DATA'!J:J),SUMIF('RAW DATA'!N:N,'RAW DATA'!B234,'RAW DATA'!J:J),SUMIF('RAW DATA'!O:O,'RAW DATA'!B234,'RAW DATA'!J:J),SUMIF('RAW DATA'!P:P,'RAW DATA'!B234,'RAW DATA'!J:J))=0, "", SUM(SUMIF('RAW DATA'!M:M,'RAW DATA'!B234,'RAW DATA'!J:J),SUMIF('RAW DATA'!N:N,'RAW DATA'!B234,'RAW DATA'!J:J),SUMIF('RAW DATA'!O:O,'RAW DATA'!B234,'RAW DATA'!J:J),SUMIF('RAW DATA'!P:P,'RAW DATA'!B234,'RAW DATA'!J:J)))</f>
        <v/>
      </c>
      <c r="I234" s="4" t="str">
        <f>IF(SUMIF('RAW DATA'!M:M,'RAW DATA'!B234, 'RAW DATA'!K:K)=0, "", SUMIF('RAW DATA'!M:M,'RAW DATA'!B234, 'RAW DATA'!K:K))</f>
        <v/>
      </c>
      <c r="J234" s="29" t="str">
        <f>IF('RAW DATA'!B234&lt;&gt;"",IF(OR('RAW DATA'!H234=1,'RAW DATA'!H234=2),1,IF(ISNUMBER(FIND("Medic",'RAW DATA'!E234)),1,"")),"")</f>
        <v/>
      </c>
      <c r="K234" s="29" t="str">
        <f>IF(AND('RAW DATA'!$B234&lt;&gt;"",'RAW DATA'!L234=1),1,"")</f>
        <v/>
      </c>
      <c r="L234" s="24" t="str">
        <f t="shared" si="7"/>
        <v/>
      </c>
    </row>
    <row r="235" spans="2:12" x14ac:dyDescent="0.25">
      <c r="B235" s="1" t="str">
        <f>IF('RAW DATA'!$C237&lt;&gt;"",'RAW DATA'!$C237,"")</f>
        <v/>
      </c>
      <c r="C235" s="1" t="str">
        <f>IF('RAW DATA'!$D237&lt;&gt;"",'RAW DATA'!$D237,"")</f>
        <v/>
      </c>
      <c r="D235" s="1" t="str">
        <f>IF(AND($B234&lt;&gt;"", $B235=""), "TOTAL:", IF($D234="TOTAL:","VESSEL TARGET "&amp;'RAW DATA'!$E$2&amp;":",IF('RAW DATA'!$E235&lt;&gt;"",'RAW DATA'!$E235,"")))</f>
        <v/>
      </c>
      <c r="E235" s="29" t="str">
        <f t="shared" si="6"/>
        <v/>
      </c>
      <c r="F235" s="4" t="str">
        <f>IF($D234="TOTAL:",FIXED(ROUND(((SUM($F$4:$F233)/'RAW DATA'!$E$2)*100),1),1)&amp;"%",IF($D235="TOTAL:",SUM($F$4:$F234),IF(SUMIF('RAW DATA'!M:M,'RAW DATA'!B235,'RAW DATA'!H:H)=0,"",SUMIF('RAW DATA'!M:M,'RAW DATA'!B235,'RAW DATA'!H:H))))</f>
        <v/>
      </c>
      <c r="G235" s="4" t="str">
        <f>IF($D234="TOTAL:",FIXED(ROUND(((SUM($G$4:$G233)/'RAW DATA'!$E$2)*100),1),1)&amp;"%",IF($D235="TOTAL:",SUM($G$4:$G234),IF(SUMIF('RAW DATA'!M:M,'RAW DATA'!B235,'RAW DATA'!I:I)=0,"",SUMIF('RAW DATA'!M:M,'RAW DATA'!B235,'RAW DATA'!I:I))))</f>
        <v/>
      </c>
      <c r="H235" s="4" t="str">
        <f>IF(SUM(SUMIF('RAW DATA'!M:M,'RAW DATA'!B235,'RAW DATA'!J:J),SUMIF('RAW DATA'!N:N,'RAW DATA'!B235,'RAW DATA'!J:J),SUMIF('RAW DATA'!O:O,'RAW DATA'!B235,'RAW DATA'!J:J),SUMIF('RAW DATA'!P:P,'RAW DATA'!B235,'RAW DATA'!J:J))=0, "", SUM(SUMIF('RAW DATA'!M:M,'RAW DATA'!B235,'RAW DATA'!J:J),SUMIF('RAW DATA'!N:N,'RAW DATA'!B235,'RAW DATA'!J:J),SUMIF('RAW DATA'!O:O,'RAW DATA'!B235,'RAW DATA'!J:J),SUMIF('RAW DATA'!P:P,'RAW DATA'!B235,'RAW DATA'!J:J)))</f>
        <v/>
      </c>
      <c r="I235" s="4" t="str">
        <f>IF(SUMIF('RAW DATA'!M:M,'RAW DATA'!B235, 'RAW DATA'!K:K)=0, "", SUMIF('RAW DATA'!M:M,'RAW DATA'!B235, 'RAW DATA'!K:K))</f>
        <v/>
      </c>
      <c r="J235" s="29" t="str">
        <f>IF('RAW DATA'!B235&lt;&gt;"",IF(OR('RAW DATA'!H235=1,'RAW DATA'!H235=2),1,IF(ISNUMBER(FIND("Medic",'RAW DATA'!E235)),1,"")),"")</f>
        <v/>
      </c>
      <c r="K235" s="29" t="str">
        <f>IF(AND('RAW DATA'!$B235&lt;&gt;"",'RAW DATA'!L235=1),1,"")</f>
        <v/>
      </c>
      <c r="L235" s="24" t="str">
        <f t="shared" si="7"/>
        <v/>
      </c>
    </row>
    <row r="236" spans="2:12" x14ac:dyDescent="0.25">
      <c r="B236" s="1" t="str">
        <f>IF('RAW DATA'!$C238&lt;&gt;"",'RAW DATA'!$C238,"")</f>
        <v/>
      </c>
      <c r="C236" s="1" t="str">
        <f>IF('RAW DATA'!$D238&lt;&gt;"",'RAW DATA'!$D238,"")</f>
        <v/>
      </c>
      <c r="D236" s="1" t="str">
        <f>IF(AND($B235&lt;&gt;"", $B236=""), "TOTAL:", IF($D235="TOTAL:","VESSEL TARGET "&amp;'RAW DATA'!$E$2&amp;":",IF('RAW DATA'!$E236&lt;&gt;"",'RAW DATA'!$E236,"")))</f>
        <v/>
      </c>
      <c r="E236" s="29" t="str">
        <f t="shared" si="6"/>
        <v/>
      </c>
      <c r="F236" s="4" t="str">
        <f>IF($D235="TOTAL:",FIXED(ROUND(((SUM($F$4:$F234)/'RAW DATA'!$E$2)*100),1),1)&amp;"%",IF($D236="TOTAL:",SUM($F$4:$F235),IF(SUMIF('RAW DATA'!M:M,'RAW DATA'!B236,'RAW DATA'!H:H)=0,"",SUMIF('RAW DATA'!M:M,'RAW DATA'!B236,'RAW DATA'!H:H))))</f>
        <v/>
      </c>
      <c r="G236" s="4" t="str">
        <f>IF($D235="TOTAL:",FIXED(ROUND(((SUM($G$4:$G234)/'RAW DATA'!$E$2)*100),1),1)&amp;"%",IF($D236="TOTAL:",SUM($G$4:$G235),IF(SUMIF('RAW DATA'!M:M,'RAW DATA'!B236,'RAW DATA'!I:I)=0,"",SUMIF('RAW DATA'!M:M,'RAW DATA'!B236,'RAW DATA'!I:I))))</f>
        <v/>
      </c>
      <c r="H236" s="4" t="str">
        <f>IF(SUM(SUMIF('RAW DATA'!M:M,'RAW DATA'!B236,'RAW DATA'!J:J),SUMIF('RAW DATA'!N:N,'RAW DATA'!B236,'RAW DATA'!J:J),SUMIF('RAW DATA'!O:O,'RAW DATA'!B236,'RAW DATA'!J:J),SUMIF('RAW DATA'!P:P,'RAW DATA'!B236,'RAW DATA'!J:J))=0, "", SUM(SUMIF('RAW DATA'!M:M,'RAW DATA'!B236,'RAW DATA'!J:J),SUMIF('RAW DATA'!N:N,'RAW DATA'!B236,'RAW DATA'!J:J),SUMIF('RAW DATA'!O:O,'RAW DATA'!B236,'RAW DATA'!J:J),SUMIF('RAW DATA'!P:P,'RAW DATA'!B236,'RAW DATA'!J:J)))</f>
        <v/>
      </c>
      <c r="I236" s="4" t="str">
        <f>IF(SUMIF('RAW DATA'!M:M,'RAW DATA'!B236, 'RAW DATA'!K:K)=0, "", SUMIF('RAW DATA'!M:M,'RAW DATA'!B236, 'RAW DATA'!K:K))</f>
        <v/>
      </c>
      <c r="J236" s="29" t="str">
        <f>IF('RAW DATA'!B236&lt;&gt;"",IF(OR('RAW DATA'!H236=1,'RAW DATA'!H236=2),1,IF(ISNUMBER(FIND("Medic",'RAW DATA'!E236)),1,"")),"")</f>
        <v/>
      </c>
      <c r="K236" s="29" t="str">
        <f>IF(AND('RAW DATA'!$B236&lt;&gt;"",'RAW DATA'!L236=1),1,"")</f>
        <v/>
      </c>
      <c r="L236" s="24" t="str">
        <f t="shared" si="7"/>
        <v/>
      </c>
    </row>
    <row r="237" spans="2:12" x14ac:dyDescent="0.25">
      <c r="B237" s="1" t="str">
        <f>IF('RAW DATA'!$C239&lt;&gt;"",'RAW DATA'!$C239,"")</f>
        <v/>
      </c>
      <c r="C237" s="1" t="str">
        <f>IF('RAW DATA'!$D239&lt;&gt;"",'RAW DATA'!$D239,"")</f>
        <v/>
      </c>
      <c r="D237" s="1" t="str">
        <f>IF(AND($B236&lt;&gt;"", $B237=""), "TOTAL:", IF($D236="TOTAL:","VESSEL TARGET "&amp;'RAW DATA'!$E$2&amp;":",IF('RAW DATA'!$E237&lt;&gt;"",'RAW DATA'!$E237,"")))</f>
        <v/>
      </c>
      <c r="E237" s="29" t="str">
        <f t="shared" si="6"/>
        <v/>
      </c>
      <c r="F237" s="4" t="str">
        <f>IF($D236="TOTAL:",FIXED(ROUND(((SUM($F$4:$F235)/'RAW DATA'!$E$2)*100),1),1)&amp;"%",IF($D237="TOTAL:",SUM($F$4:$F236),IF(SUMIF('RAW DATA'!M:M,'RAW DATA'!B237,'RAW DATA'!H:H)=0,"",SUMIF('RAW DATA'!M:M,'RAW DATA'!B237,'RAW DATA'!H:H))))</f>
        <v/>
      </c>
      <c r="G237" s="4" t="str">
        <f>IF($D236="TOTAL:",FIXED(ROUND(((SUM($G$4:$G235)/'RAW DATA'!$E$2)*100),1),1)&amp;"%",IF($D237="TOTAL:",SUM($G$4:$G236),IF(SUMIF('RAW DATA'!M:M,'RAW DATA'!B237,'RAW DATA'!I:I)=0,"",SUMIF('RAW DATA'!M:M,'RAW DATA'!B237,'RAW DATA'!I:I))))</f>
        <v/>
      </c>
      <c r="H237" s="4" t="str">
        <f>IF(SUM(SUMIF('RAW DATA'!M:M,'RAW DATA'!B237,'RAW DATA'!J:J),SUMIF('RAW DATA'!N:N,'RAW DATA'!B237,'RAW DATA'!J:J),SUMIF('RAW DATA'!O:O,'RAW DATA'!B237,'RAW DATA'!J:J),SUMIF('RAW DATA'!P:P,'RAW DATA'!B237,'RAW DATA'!J:J))=0, "", SUM(SUMIF('RAW DATA'!M:M,'RAW DATA'!B237,'RAW DATA'!J:J),SUMIF('RAW DATA'!N:N,'RAW DATA'!B237,'RAW DATA'!J:J),SUMIF('RAW DATA'!O:O,'RAW DATA'!B237,'RAW DATA'!J:J),SUMIF('RAW DATA'!P:P,'RAW DATA'!B237,'RAW DATA'!J:J)))</f>
        <v/>
      </c>
      <c r="I237" s="4" t="str">
        <f>IF(SUMIF('RAW DATA'!M:M,'RAW DATA'!B237, 'RAW DATA'!K:K)=0, "", SUMIF('RAW DATA'!M:M,'RAW DATA'!B237, 'RAW DATA'!K:K))</f>
        <v/>
      </c>
      <c r="J237" s="29" t="str">
        <f>IF('RAW DATA'!B237&lt;&gt;"",IF(OR('RAW DATA'!H237=1,'RAW DATA'!H237=2),1,IF(ISNUMBER(FIND("Medic",'RAW DATA'!E237)),1,"")),"")</f>
        <v/>
      </c>
      <c r="K237" s="29" t="str">
        <f>IF(AND('RAW DATA'!$B237&lt;&gt;"",'RAW DATA'!L237=1),1,"")</f>
        <v/>
      </c>
      <c r="L237" s="24" t="str">
        <f t="shared" si="7"/>
        <v/>
      </c>
    </row>
    <row r="238" spans="2:12" x14ac:dyDescent="0.25">
      <c r="B238" s="1" t="str">
        <f>IF('RAW DATA'!$C240&lt;&gt;"",'RAW DATA'!$C240,"")</f>
        <v/>
      </c>
      <c r="C238" s="1" t="str">
        <f>IF('RAW DATA'!$D240&lt;&gt;"",'RAW DATA'!$D240,"")</f>
        <v/>
      </c>
      <c r="D238" s="1" t="str">
        <f>IF(AND($B237&lt;&gt;"", $B238=""), "TOTAL:", IF($D237="TOTAL:","VESSEL TARGET "&amp;'RAW DATA'!$E$2&amp;":",IF('RAW DATA'!$E238&lt;&gt;"",'RAW DATA'!$E238,"")))</f>
        <v/>
      </c>
      <c r="E238" s="29" t="str">
        <f t="shared" si="6"/>
        <v/>
      </c>
      <c r="F238" s="4" t="str">
        <f>IF($D237="TOTAL:",FIXED(ROUND(((SUM($F$4:$F236)/'RAW DATA'!$E$2)*100),1),1)&amp;"%",IF($D238="TOTAL:",SUM($F$4:$F237),IF(SUMIF('RAW DATA'!M:M,'RAW DATA'!B238,'RAW DATA'!H:H)=0,"",SUMIF('RAW DATA'!M:M,'RAW DATA'!B238,'RAW DATA'!H:H))))</f>
        <v/>
      </c>
      <c r="G238" s="4" t="str">
        <f>IF($D237="TOTAL:",FIXED(ROUND(((SUM($G$4:$G236)/'RAW DATA'!$E$2)*100),1),1)&amp;"%",IF($D238="TOTAL:",SUM($G$4:$G237),IF(SUMIF('RAW DATA'!M:M,'RAW DATA'!B238,'RAW DATA'!I:I)=0,"",SUMIF('RAW DATA'!M:M,'RAW DATA'!B238,'RAW DATA'!I:I))))</f>
        <v/>
      </c>
      <c r="H238" s="4" t="str">
        <f>IF(SUM(SUMIF('RAW DATA'!M:M,'RAW DATA'!B238,'RAW DATA'!J:J),SUMIF('RAW DATA'!N:N,'RAW DATA'!B238,'RAW DATA'!J:J),SUMIF('RAW DATA'!O:O,'RAW DATA'!B238,'RAW DATA'!J:J),SUMIF('RAW DATA'!P:P,'RAW DATA'!B238,'RAW DATA'!J:J))=0, "", SUM(SUMIF('RAW DATA'!M:M,'RAW DATA'!B238,'RAW DATA'!J:J),SUMIF('RAW DATA'!N:N,'RAW DATA'!B238,'RAW DATA'!J:J),SUMIF('RAW DATA'!O:O,'RAW DATA'!B238,'RAW DATA'!J:J),SUMIF('RAW DATA'!P:P,'RAW DATA'!B238,'RAW DATA'!J:J)))</f>
        <v/>
      </c>
      <c r="I238" s="4" t="str">
        <f>IF(SUMIF('RAW DATA'!M:M,'RAW DATA'!B238, 'RAW DATA'!K:K)=0, "", SUMIF('RAW DATA'!M:M,'RAW DATA'!B238, 'RAW DATA'!K:K))</f>
        <v/>
      </c>
      <c r="J238" s="29" t="str">
        <f>IF('RAW DATA'!B238&lt;&gt;"",IF(OR('RAW DATA'!H238=1,'RAW DATA'!H238=2),1,IF(ISNUMBER(FIND("Medic",'RAW DATA'!E238)),1,"")),"")</f>
        <v/>
      </c>
      <c r="K238" s="29" t="str">
        <f>IF(AND('RAW DATA'!$B238&lt;&gt;"",'RAW DATA'!L238=1),1,"")</f>
        <v/>
      </c>
      <c r="L238" s="24" t="str">
        <f t="shared" si="7"/>
        <v/>
      </c>
    </row>
    <row r="239" spans="2:12" x14ac:dyDescent="0.25">
      <c r="B239" s="1" t="str">
        <f>IF('RAW DATA'!$C241&lt;&gt;"",'RAW DATA'!$C241,"")</f>
        <v/>
      </c>
      <c r="C239" s="1" t="str">
        <f>IF('RAW DATA'!$D241&lt;&gt;"",'RAW DATA'!$D241,"")</f>
        <v/>
      </c>
      <c r="D239" s="1" t="str">
        <f>IF(AND($B238&lt;&gt;"", $B239=""), "TOTAL:", IF($D238="TOTAL:","VESSEL TARGET "&amp;'RAW DATA'!$E$2&amp;":",IF('RAW DATA'!$E239&lt;&gt;"",'RAW DATA'!$E239,"")))</f>
        <v/>
      </c>
      <c r="E239" s="29" t="str">
        <f t="shared" si="6"/>
        <v/>
      </c>
      <c r="F239" s="4" t="str">
        <f>IF($D238="TOTAL:",FIXED(ROUND(((SUM($F$4:$F237)/'RAW DATA'!$E$2)*100),1),1)&amp;"%",IF($D239="TOTAL:",SUM($F$4:$F238),IF(SUMIF('RAW DATA'!M:M,'RAW DATA'!B239,'RAW DATA'!H:H)=0,"",SUMIF('RAW DATA'!M:M,'RAW DATA'!B239,'RAW DATA'!H:H))))</f>
        <v/>
      </c>
      <c r="G239" s="4" t="str">
        <f>IF($D238="TOTAL:",FIXED(ROUND(((SUM($G$4:$G237)/'RAW DATA'!$E$2)*100),1),1)&amp;"%",IF($D239="TOTAL:",SUM($G$4:$G238),IF(SUMIF('RAW DATA'!M:M,'RAW DATA'!B239,'RAW DATA'!I:I)=0,"",SUMIF('RAW DATA'!M:M,'RAW DATA'!B239,'RAW DATA'!I:I))))</f>
        <v/>
      </c>
      <c r="H239" s="4" t="str">
        <f>IF(SUM(SUMIF('RAW DATA'!M:M,'RAW DATA'!B239,'RAW DATA'!J:J),SUMIF('RAW DATA'!N:N,'RAW DATA'!B239,'RAW DATA'!J:J),SUMIF('RAW DATA'!O:O,'RAW DATA'!B239,'RAW DATA'!J:J),SUMIF('RAW DATA'!P:P,'RAW DATA'!B239,'RAW DATA'!J:J))=0, "", SUM(SUMIF('RAW DATA'!M:M,'RAW DATA'!B239,'RAW DATA'!J:J),SUMIF('RAW DATA'!N:N,'RAW DATA'!B239,'RAW DATA'!J:J),SUMIF('RAW DATA'!O:O,'RAW DATA'!B239,'RAW DATA'!J:J),SUMIF('RAW DATA'!P:P,'RAW DATA'!B239,'RAW DATA'!J:J)))</f>
        <v/>
      </c>
      <c r="I239" s="4" t="str">
        <f>IF(SUMIF('RAW DATA'!M:M,'RAW DATA'!B239, 'RAW DATA'!K:K)=0, "", SUMIF('RAW DATA'!M:M,'RAW DATA'!B239, 'RAW DATA'!K:K))</f>
        <v/>
      </c>
      <c r="J239" s="29" t="str">
        <f>IF('RAW DATA'!B239&lt;&gt;"",IF(OR('RAW DATA'!H239=1,'RAW DATA'!H239=2),1,IF(ISNUMBER(FIND("Medic",'RAW DATA'!E239)),1,"")),"")</f>
        <v/>
      </c>
      <c r="K239" s="29" t="str">
        <f>IF(AND('RAW DATA'!$B239&lt;&gt;"",'RAW DATA'!L239=1),1,"")</f>
        <v/>
      </c>
      <c r="L239" s="24" t="str">
        <f t="shared" si="7"/>
        <v/>
      </c>
    </row>
    <row r="240" spans="2:12" x14ac:dyDescent="0.25">
      <c r="B240" s="1" t="str">
        <f>IF('RAW DATA'!$C242&lt;&gt;"",'RAW DATA'!$C242,"")</f>
        <v/>
      </c>
      <c r="C240" s="1" t="str">
        <f>IF('RAW DATA'!$D242&lt;&gt;"",'RAW DATA'!$D242,"")</f>
        <v/>
      </c>
      <c r="D240" s="1" t="str">
        <f>IF(AND($B239&lt;&gt;"", $B240=""), "TOTAL:", IF($D239="TOTAL:","VESSEL TARGET "&amp;'RAW DATA'!$E$2&amp;":",IF('RAW DATA'!$E240&lt;&gt;"",'RAW DATA'!$E240,"")))</f>
        <v/>
      </c>
      <c r="E240" s="29" t="str">
        <f t="shared" si="6"/>
        <v/>
      </c>
      <c r="F240" s="4" t="str">
        <f>IF($D239="TOTAL:",FIXED(ROUND(((SUM($F$4:$F238)/'RAW DATA'!$E$2)*100),1),1)&amp;"%",IF($D240="TOTAL:",SUM($F$4:$F239),IF(SUMIF('RAW DATA'!M:M,'RAW DATA'!B240,'RAW DATA'!H:H)=0,"",SUMIF('RAW DATA'!M:M,'RAW DATA'!B240,'RAW DATA'!H:H))))</f>
        <v/>
      </c>
      <c r="G240" s="4" t="str">
        <f>IF($D239="TOTAL:",FIXED(ROUND(((SUM($G$4:$G238)/'RAW DATA'!$E$2)*100),1),1)&amp;"%",IF($D240="TOTAL:",SUM($G$4:$G239),IF(SUMIF('RAW DATA'!M:M,'RAW DATA'!B240,'RAW DATA'!I:I)=0,"",SUMIF('RAW DATA'!M:M,'RAW DATA'!B240,'RAW DATA'!I:I))))</f>
        <v/>
      </c>
      <c r="H240" s="4" t="str">
        <f>IF(SUM(SUMIF('RAW DATA'!M:M,'RAW DATA'!B240,'RAW DATA'!J:J),SUMIF('RAW DATA'!N:N,'RAW DATA'!B240,'RAW DATA'!J:J),SUMIF('RAW DATA'!O:O,'RAW DATA'!B240,'RAW DATA'!J:J),SUMIF('RAW DATA'!P:P,'RAW DATA'!B240,'RAW DATA'!J:J))=0, "", SUM(SUMIF('RAW DATA'!M:M,'RAW DATA'!B240,'RAW DATA'!J:J),SUMIF('RAW DATA'!N:N,'RAW DATA'!B240,'RAW DATA'!J:J),SUMIF('RAW DATA'!O:O,'RAW DATA'!B240,'RAW DATA'!J:J),SUMIF('RAW DATA'!P:P,'RAW DATA'!B240,'RAW DATA'!J:J)))</f>
        <v/>
      </c>
      <c r="I240" s="4" t="str">
        <f>IF(SUMIF('RAW DATA'!M:M,'RAW DATA'!B240, 'RAW DATA'!K:K)=0, "", SUMIF('RAW DATA'!M:M,'RAW DATA'!B240, 'RAW DATA'!K:K))</f>
        <v/>
      </c>
      <c r="J240" s="29" t="str">
        <f>IF('RAW DATA'!B240&lt;&gt;"",IF(OR('RAW DATA'!H240=1,'RAW DATA'!H240=2),1,IF(ISNUMBER(FIND("Medic",'RAW DATA'!E240)),1,"")),"")</f>
        <v/>
      </c>
      <c r="K240" s="29" t="str">
        <f>IF(AND('RAW DATA'!$B240&lt;&gt;"",'RAW DATA'!L240=1),1,"")</f>
        <v/>
      </c>
      <c r="L240" s="24" t="str">
        <f t="shared" si="7"/>
        <v/>
      </c>
    </row>
    <row r="241" spans="2:12" x14ac:dyDescent="0.25">
      <c r="B241" s="1" t="str">
        <f>IF('RAW DATA'!$C243&lt;&gt;"",'RAW DATA'!$C243,"")</f>
        <v/>
      </c>
      <c r="C241" s="1" t="str">
        <f>IF('RAW DATA'!$D243&lt;&gt;"",'RAW DATA'!$D243,"")</f>
        <v/>
      </c>
      <c r="D241" s="1" t="str">
        <f>IF(AND($B240&lt;&gt;"", $B241=""), "TOTAL:", IF($D240="TOTAL:","VESSEL TARGET "&amp;'RAW DATA'!$E$2&amp;":",IF('RAW DATA'!$E241&lt;&gt;"",'RAW DATA'!$E241,"")))</f>
        <v/>
      </c>
      <c r="E241" s="29" t="str">
        <f t="shared" si="6"/>
        <v/>
      </c>
      <c r="F241" s="4" t="str">
        <f>IF($D240="TOTAL:",FIXED(ROUND(((SUM($F$4:$F239)/'RAW DATA'!$E$2)*100),1),1)&amp;"%",IF($D241="TOTAL:",SUM($F$4:$F240),IF(SUMIF('RAW DATA'!M:M,'RAW DATA'!B241,'RAW DATA'!H:H)=0,"",SUMIF('RAW DATA'!M:M,'RAW DATA'!B241,'RAW DATA'!H:H))))</f>
        <v/>
      </c>
      <c r="G241" s="4" t="str">
        <f>IF($D240="TOTAL:",FIXED(ROUND(((SUM($G$4:$G239)/'RAW DATA'!$E$2)*100),1),1)&amp;"%",IF($D241="TOTAL:",SUM($G$4:$G240),IF(SUMIF('RAW DATA'!M:M,'RAW DATA'!B241,'RAW DATA'!I:I)=0,"",SUMIF('RAW DATA'!M:M,'RAW DATA'!B241,'RAW DATA'!I:I))))</f>
        <v/>
      </c>
      <c r="H241" s="4" t="str">
        <f>IF(SUM(SUMIF('RAW DATA'!M:M,'RAW DATA'!B241,'RAW DATA'!J:J),SUMIF('RAW DATA'!N:N,'RAW DATA'!B241,'RAW DATA'!J:J),SUMIF('RAW DATA'!O:O,'RAW DATA'!B241,'RAW DATA'!J:J),SUMIF('RAW DATA'!P:P,'RAW DATA'!B241,'RAW DATA'!J:J))=0, "", SUM(SUMIF('RAW DATA'!M:M,'RAW DATA'!B241,'RAW DATA'!J:J),SUMIF('RAW DATA'!N:N,'RAW DATA'!B241,'RAW DATA'!J:J),SUMIF('RAW DATA'!O:O,'RAW DATA'!B241,'RAW DATA'!J:J),SUMIF('RAW DATA'!P:P,'RAW DATA'!B241,'RAW DATA'!J:J)))</f>
        <v/>
      </c>
      <c r="I241" s="4" t="str">
        <f>IF(SUMIF('RAW DATA'!M:M,'RAW DATA'!B241, 'RAW DATA'!K:K)=0, "", SUMIF('RAW DATA'!M:M,'RAW DATA'!B241, 'RAW DATA'!K:K))</f>
        <v/>
      </c>
      <c r="J241" s="29" t="str">
        <f>IF('RAW DATA'!B241&lt;&gt;"",IF(OR('RAW DATA'!H241=1,'RAW DATA'!H241=2),1,IF(ISNUMBER(FIND("Medic",'RAW DATA'!E241)),1,"")),"")</f>
        <v/>
      </c>
      <c r="K241" s="29" t="str">
        <f>IF(AND('RAW DATA'!$B241&lt;&gt;"",'RAW DATA'!L241=1),1,"")</f>
        <v/>
      </c>
      <c r="L241" s="24" t="str">
        <f t="shared" si="7"/>
        <v/>
      </c>
    </row>
    <row r="242" spans="2:12" x14ac:dyDescent="0.25">
      <c r="B242" s="1" t="str">
        <f>IF('RAW DATA'!$C244&lt;&gt;"",'RAW DATA'!$C244,"")</f>
        <v/>
      </c>
      <c r="C242" s="1" t="str">
        <f>IF('RAW DATA'!$D244&lt;&gt;"",'RAW DATA'!$D244,"")</f>
        <v/>
      </c>
      <c r="D242" s="1" t="str">
        <f>IF(AND($B241&lt;&gt;"", $B242=""), "TOTAL:", IF($D241="TOTAL:","VESSEL TARGET "&amp;'RAW DATA'!$E$2&amp;":",IF('RAW DATA'!$E242&lt;&gt;"",'RAW DATA'!$E242,"")))</f>
        <v/>
      </c>
      <c r="E242" s="29" t="str">
        <f t="shared" si="6"/>
        <v/>
      </c>
      <c r="F242" s="4" t="str">
        <f>IF($D241="TOTAL:",FIXED(ROUND(((SUM($F$4:$F240)/'RAW DATA'!$E$2)*100),1),1)&amp;"%",IF($D242="TOTAL:",SUM($F$4:$F241),IF(SUMIF('RAW DATA'!M:M,'RAW DATA'!B242,'RAW DATA'!H:H)=0,"",SUMIF('RAW DATA'!M:M,'RAW DATA'!B242,'RAW DATA'!H:H))))</f>
        <v/>
      </c>
      <c r="G242" s="4" t="str">
        <f>IF($D241="TOTAL:",FIXED(ROUND(((SUM($G$4:$G240)/'RAW DATA'!$E$2)*100),1),1)&amp;"%",IF($D242="TOTAL:",SUM($G$4:$G241),IF(SUMIF('RAW DATA'!M:M,'RAW DATA'!B242,'RAW DATA'!I:I)=0,"",SUMIF('RAW DATA'!M:M,'RAW DATA'!B242,'RAW DATA'!I:I))))</f>
        <v/>
      </c>
      <c r="H242" s="4" t="str">
        <f>IF(SUM(SUMIF('RAW DATA'!M:M,'RAW DATA'!B242,'RAW DATA'!J:J),SUMIF('RAW DATA'!N:N,'RAW DATA'!B242,'RAW DATA'!J:J),SUMIF('RAW DATA'!O:O,'RAW DATA'!B242,'RAW DATA'!J:J),SUMIF('RAW DATA'!P:P,'RAW DATA'!B242,'RAW DATA'!J:J))=0, "", SUM(SUMIF('RAW DATA'!M:M,'RAW DATA'!B242,'RAW DATA'!J:J),SUMIF('RAW DATA'!N:N,'RAW DATA'!B242,'RAW DATA'!J:J),SUMIF('RAW DATA'!O:O,'RAW DATA'!B242,'RAW DATA'!J:J),SUMIF('RAW DATA'!P:P,'RAW DATA'!B242,'RAW DATA'!J:J)))</f>
        <v/>
      </c>
      <c r="I242" s="4" t="str">
        <f>IF(SUMIF('RAW DATA'!M:M,'RAW DATA'!B242, 'RAW DATA'!K:K)=0, "", SUMIF('RAW DATA'!M:M,'RAW DATA'!B242, 'RAW DATA'!K:K))</f>
        <v/>
      </c>
      <c r="J242" s="29" t="str">
        <f>IF('RAW DATA'!B242&lt;&gt;"",IF(OR('RAW DATA'!H242=1,'RAW DATA'!H242=2),1,IF(ISNUMBER(FIND("Medic",'RAW DATA'!E242)),1,"")),"")</f>
        <v/>
      </c>
      <c r="K242" s="29" t="str">
        <f>IF(AND('RAW DATA'!$B242&lt;&gt;"",'RAW DATA'!L242=1),1,"")</f>
        <v/>
      </c>
      <c r="L242" s="24" t="str">
        <f t="shared" si="7"/>
        <v/>
      </c>
    </row>
    <row r="243" spans="2:12" x14ac:dyDescent="0.25">
      <c r="B243" s="1" t="str">
        <f>IF('RAW DATA'!$C245&lt;&gt;"",'RAW DATA'!$C245,"")</f>
        <v/>
      </c>
      <c r="C243" s="1" t="str">
        <f>IF('RAW DATA'!$D245&lt;&gt;"",'RAW DATA'!$D245,"")</f>
        <v/>
      </c>
      <c r="D243" s="1" t="str">
        <f>IF(AND($B242&lt;&gt;"", $B243=""), "TOTAL:", IF($D242="TOTAL:","VESSEL TARGET "&amp;'RAW DATA'!$E$2&amp;":",IF('RAW DATA'!$E243&lt;&gt;"",'RAW DATA'!$E243,"")))</f>
        <v/>
      </c>
      <c r="E243" s="29" t="str">
        <f t="shared" si="6"/>
        <v/>
      </c>
      <c r="F243" s="4" t="str">
        <f>IF($D242="TOTAL:",FIXED(ROUND(((SUM($F$4:$F241)/'RAW DATA'!$E$2)*100),1),1)&amp;"%",IF($D243="TOTAL:",SUM($F$4:$F242),IF(SUMIF('RAW DATA'!M:M,'RAW DATA'!B243,'RAW DATA'!H:H)=0,"",SUMIF('RAW DATA'!M:M,'RAW DATA'!B243,'RAW DATA'!H:H))))</f>
        <v/>
      </c>
      <c r="G243" s="4" t="str">
        <f>IF($D242="TOTAL:",FIXED(ROUND(((SUM($G$4:$G241)/'RAW DATA'!$E$2)*100),1),1)&amp;"%",IF($D243="TOTAL:",SUM($G$4:$G242),IF(SUMIF('RAW DATA'!M:M,'RAW DATA'!B243,'RAW DATA'!I:I)=0,"",SUMIF('RAW DATA'!M:M,'RAW DATA'!B243,'RAW DATA'!I:I))))</f>
        <v/>
      </c>
      <c r="H243" s="4" t="str">
        <f>IF(SUM(SUMIF('RAW DATA'!M:M,'RAW DATA'!B243,'RAW DATA'!J:J),SUMIF('RAW DATA'!N:N,'RAW DATA'!B243,'RAW DATA'!J:J),SUMIF('RAW DATA'!O:O,'RAW DATA'!B243,'RAW DATA'!J:J),SUMIF('RAW DATA'!P:P,'RAW DATA'!B243,'RAW DATA'!J:J))=0, "", SUM(SUMIF('RAW DATA'!M:M,'RAW DATA'!B243,'RAW DATA'!J:J),SUMIF('RAW DATA'!N:N,'RAW DATA'!B243,'RAW DATA'!J:J),SUMIF('RAW DATA'!O:O,'RAW DATA'!B243,'RAW DATA'!J:J),SUMIF('RAW DATA'!P:P,'RAW DATA'!B243,'RAW DATA'!J:J)))</f>
        <v/>
      </c>
      <c r="I243" s="4" t="str">
        <f>IF(SUMIF('RAW DATA'!M:M,'RAW DATA'!B243, 'RAW DATA'!K:K)=0, "", SUMIF('RAW DATA'!M:M,'RAW DATA'!B243, 'RAW DATA'!K:K))</f>
        <v/>
      </c>
      <c r="J243" s="29" t="str">
        <f>IF('RAW DATA'!B243&lt;&gt;"",IF(OR('RAW DATA'!H243=1,'RAW DATA'!H243=2),1,IF(ISNUMBER(FIND("Medic",'RAW DATA'!E243)),1,"")),"")</f>
        <v/>
      </c>
      <c r="K243" s="29" t="str">
        <f>IF(AND('RAW DATA'!$B243&lt;&gt;"",'RAW DATA'!L243=1),1,"")</f>
        <v/>
      </c>
      <c r="L243" s="24" t="str">
        <f t="shared" si="7"/>
        <v/>
      </c>
    </row>
    <row r="244" spans="2:12" x14ac:dyDescent="0.25">
      <c r="B244" s="1" t="str">
        <f>IF('RAW DATA'!$C246&lt;&gt;"",'RAW DATA'!$C246,"")</f>
        <v/>
      </c>
      <c r="C244" s="1" t="str">
        <f>IF('RAW DATA'!$D246&lt;&gt;"",'RAW DATA'!$D246,"")</f>
        <v/>
      </c>
      <c r="D244" s="1" t="str">
        <f>IF(AND($B243&lt;&gt;"", $B244=""), "TOTAL:", IF($D243="TOTAL:","VESSEL TARGET "&amp;'RAW DATA'!$E$2&amp;":",IF('RAW DATA'!$E244&lt;&gt;"",'RAW DATA'!$E244,"")))</f>
        <v/>
      </c>
      <c r="E244" s="29" t="str">
        <f t="shared" si="6"/>
        <v/>
      </c>
      <c r="F244" s="4" t="str">
        <f>IF($D243="TOTAL:",FIXED(ROUND(((SUM($F$4:$F242)/'RAW DATA'!$E$2)*100),1),1)&amp;"%",IF($D244="TOTAL:",SUM($F$4:$F243),IF(SUMIF('RAW DATA'!M:M,'RAW DATA'!B244,'RAW DATA'!H:H)=0,"",SUMIF('RAW DATA'!M:M,'RAW DATA'!B244,'RAW DATA'!H:H))))</f>
        <v/>
      </c>
      <c r="G244" s="4" t="str">
        <f>IF($D243="TOTAL:",FIXED(ROUND(((SUM($G$4:$G242)/'RAW DATA'!$E$2)*100),1),1)&amp;"%",IF($D244="TOTAL:",SUM($G$4:$G243),IF(SUMIF('RAW DATA'!M:M,'RAW DATA'!B244,'RAW DATA'!I:I)=0,"",SUMIF('RAW DATA'!M:M,'RAW DATA'!B244,'RAW DATA'!I:I))))</f>
        <v/>
      </c>
      <c r="H244" s="4" t="str">
        <f>IF(SUM(SUMIF('RAW DATA'!M:M,'RAW DATA'!B244,'RAW DATA'!J:J),SUMIF('RAW DATA'!N:N,'RAW DATA'!B244,'RAW DATA'!J:J),SUMIF('RAW DATA'!O:O,'RAW DATA'!B244,'RAW DATA'!J:J),SUMIF('RAW DATA'!P:P,'RAW DATA'!B244,'RAW DATA'!J:J))=0, "", SUM(SUMIF('RAW DATA'!M:M,'RAW DATA'!B244,'RAW DATA'!J:J),SUMIF('RAW DATA'!N:N,'RAW DATA'!B244,'RAW DATA'!J:J),SUMIF('RAW DATA'!O:O,'RAW DATA'!B244,'RAW DATA'!J:J),SUMIF('RAW DATA'!P:P,'RAW DATA'!B244,'RAW DATA'!J:J)))</f>
        <v/>
      </c>
      <c r="I244" s="4" t="str">
        <f>IF(SUMIF('RAW DATA'!M:M,'RAW DATA'!B244, 'RAW DATA'!K:K)=0, "", SUMIF('RAW DATA'!M:M,'RAW DATA'!B244, 'RAW DATA'!K:K))</f>
        <v/>
      </c>
      <c r="J244" s="29" t="str">
        <f>IF('RAW DATA'!B244&lt;&gt;"",IF(OR('RAW DATA'!H244=1,'RAW DATA'!H244=2),1,IF(ISNUMBER(FIND("Medic",'RAW DATA'!E244)),1,"")),"")</f>
        <v/>
      </c>
      <c r="K244" s="29" t="str">
        <f>IF(AND('RAW DATA'!$B244&lt;&gt;"",'RAW DATA'!L244=1),1,"")</f>
        <v/>
      </c>
      <c r="L244" s="24" t="str">
        <f t="shared" si="7"/>
        <v/>
      </c>
    </row>
    <row r="245" spans="2:12" x14ac:dyDescent="0.25">
      <c r="B245" s="1" t="str">
        <f>IF('RAW DATA'!$C247&lt;&gt;"",'RAW DATA'!$C247,"")</f>
        <v/>
      </c>
      <c r="C245" s="1" t="str">
        <f>IF('RAW DATA'!$D247&lt;&gt;"",'RAW DATA'!$D247,"")</f>
        <v/>
      </c>
      <c r="D245" s="1" t="str">
        <f>IF(AND($B244&lt;&gt;"", $B245=""), "TOTAL:", IF($D244="TOTAL:","VESSEL TARGET "&amp;'RAW DATA'!$E$2&amp;":",IF('RAW DATA'!$E245&lt;&gt;"",'RAW DATA'!$E245,"")))</f>
        <v/>
      </c>
      <c r="E245" s="29" t="str">
        <f t="shared" si="6"/>
        <v/>
      </c>
      <c r="F245" s="4" t="str">
        <f>IF($D244="TOTAL:",FIXED(ROUND(((SUM($F$4:$F243)/'RAW DATA'!$E$2)*100),1),1)&amp;"%",IF($D245="TOTAL:",SUM($F$4:$F244),IF(SUMIF('RAW DATA'!M:M,'RAW DATA'!B245,'RAW DATA'!H:H)=0,"",SUMIF('RAW DATA'!M:M,'RAW DATA'!B245,'RAW DATA'!H:H))))</f>
        <v/>
      </c>
      <c r="G245" s="4" t="str">
        <f>IF($D244="TOTAL:",FIXED(ROUND(((SUM($G$4:$G243)/'RAW DATA'!$E$2)*100),1),1)&amp;"%",IF($D245="TOTAL:",SUM($G$4:$G244),IF(SUMIF('RAW DATA'!M:M,'RAW DATA'!B245,'RAW DATA'!I:I)=0,"",SUMIF('RAW DATA'!M:M,'RAW DATA'!B245,'RAW DATA'!I:I))))</f>
        <v/>
      </c>
      <c r="H245" s="4" t="str">
        <f>IF(SUM(SUMIF('RAW DATA'!M:M,'RAW DATA'!B245,'RAW DATA'!J:J),SUMIF('RAW DATA'!N:N,'RAW DATA'!B245,'RAW DATA'!J:J),SUMIF('RAW DATA'!O:O,'RAW DATA'!B245,'RAW DATA'!J:J),SUMIF('RAW DATA'!P:P,'RAW DATA'!B245,'RAW DATA'!J:J))=0, "", SUM(SUMIF('RAW DATA'!M:M,'RAW DATA'!B245,'RAW DATA'!J:J),SUMIF('RAW DATA'!N:N,'RAW DATA'!B245,'RAW DATA'!J:J),SUMIF('RAW DATA'!O:O,'RAW DATA'!B245,'RAW DATA'!J:J),SUMIF('RAW DATA'!P:P,'RAW DATA'!B245,'RAW DATA'!J:J)))</f>
        <v/>
      </c>
      <c r="I245" s="4" t="str">
        <f>IF(SUMIF('RAW DATA'!M:M,'RAW DATA'!B245, 'RAW DATA'!K:K)=0, "", SUMIF('RAW DATA'!M:M,'RAW DATA'!B245, 'RAW DATA'!K:K))</f>
        <v/>
      </c>
      <c r="J245" s="29" t="str">
        <f>IF('RAW DATA'!B245&lt;&gt;"",IF(OR('RAW DATA'!H245=1,'RAW DATA'!H245=2),1,IF(ISNUMBER(FIND("Medic",'RAW DATA'!E245)),1,"")),"")</f>
        <v/>
      </c>
      <c r="K245" s="29" t="str">
        <f>IF(AND('RAW DATA'!$B245&lt;&gt;"",'RAW DATA'!L245=1),1,"")</f>
        <v/>
      </c>
      <c r="L245" s="24" t="str">
        <f t="shared" si="7"/>
        <v/>
      </c>
    </row>
    <row r="246" spans="2:12" x14ac:dyDescent="0.25">
      <c r="B246" s="1" t="str">
        <f>IF('RAW DATA'!$C248&lt;&gt;"",'RAW DATA'!$C248,"")</f>
        <v/>
      </c>
      <c r="C246" s="1" t="str">
        <f>IF('RAW DATA'!$D248&lt;&gt;"",'RAW DATA'!$D248,"")</f>
        <v/>
      </c>
      <c r="D246" s="1" t="str">
        <f>IF(AND($B245&lt;&gt;"", $B246=""), "TOTAL:", IF($D245="TOTAL:","VESSEL TARGET "&amp;'RAW DATA'!$E$2&amp;":",IF('RAW DATA'!$E246&lt;&gt;"",'RAW DATA'!$E246,"")))</f>
        <v/>
      </c>
      <c r="E246" s="29" t="str">
        <f t="shared" si="6"/>
        <v/>
      </c>
      <c r="F246" s="4" t="str">
        <f>IF($D245="TOTAL:",FIXED(ROUND(((SUM($F$4:$F244)/'RAW DATA'!$E$2)*100),1),1)&amp;"%",IF($D246="TOTAL:",SUM($F$4:$F245),IF(SUMIF('RAW DATA'!M:M,'RAW DATA'!B246,'RAW DATA'!H:H)=0,"",SUMIF('RAW DATA'!M:M,'RAW DATA'!B246,'RAW DATA'!H:H))))</f>
        <v/>
      </c>
      <c r="G246" s="4" t="str">
        <f>IF($D245="TOTAL:",FIXED(ROUND(((SUM($G$4:$G244)/'RAW DATA'!$E$2)*100),1),1)&amp;"%",IF($D246="TOTAL:",SUM($G$4:$G245),IF(SUMIF('RAW DATA'!M:M,'RAW DATA'!B246,'RAW DATA'!I:I)=0,"",SUMIF('RAW DATA'!M:M,'RAW DATA'!B246,'RAW DATA'!I:I))))</f>
        <v/>
      </c>
      <c r="H246" s="4" t="str">
        <f>IF(SUM(SUMIF('RAW DATA'!M:M,'RAW DATA'!B246,'RAW DATA'!J:J),SUMIF('RAW DATA'!N:N,'RAW DATA'!B246,'RAW DATA'!J:J),SUMIF('RAW DATA'!O:O,'RAW DATA'!B246,'RAW DATA'!J:J),SUMIF('RAW DATA'!P:P,'RAW DATA'!B246,'RAW DATA'!J:J))=0, "", SUM(SUMIF('RAW DATA'!M:M,'RAW DATA'!B246,'RAW DATA'!J:J),SUMIF('RAW DATA'!N:N,'RAW DATA'!B246,'RAW DATA'!J:J),SUMIF('RAW DATA'!O:O,'RAW DATA'!B246,'RAW DATA'!J:J),SUMIF('RAW DATA'!P:P,'RAW DATA'!B246,'RAW DATA'!J:J)))</f>
        <v/>
      </c>
      <c r="I246" s="4" t="str">
        <f>IF(SUMIF('RAW DATA'!M:M,'RAW DATA'!B246, 'RAW DATA'!K:K)=0, "", SUMIF('RAW DATA'!M:M,'RAW DATA'!B246, 'RAW DATA'!K:K))</f>
        <v/>
      </c>
      <c r="J246" s="29" t="str">
        <f>IF('RAW DATA'!B246&lt;&gt;"",IF(OR('RAW DATA'!H246=1,'RAW DATA'!H246=2),1,IF(ISNUMBER(FIND("Medic",'RAW DATA'!E246)),1,"")),"")</f>
        <v/>
      </c>
      <c r="K246" s="29" t="str">
        <f>IF(AND('RAW DATA'!$B246&lt;&gt;"",'RAW DATA'!L246=1),1,"")</f>
        <v/>
      </c>
      <c r="L246" s="24" t="str">
        <f t="shared" si="7"/>
        <v/>
      </c>
    </row>
    <row r="247" spans="2:12" x14ac:dyDescent="0.25">
      <c r="B247" s="1" t="str">
        <f>IF('RAW DATA'!$C249&lt;&gt;"",'RAW DATA'!$C249,"")</f>
        <v/>
      </c>
      <c r="C247" s="1" t="str">
        <f>IF('RAW DATA'!$D249&lt;&gt;"",'RAW DATA'!$D249,"")</f>
        <v/>
      </c>
      <c r="D247" s="1" t="str">
        <f>IF(AND($B246&lt;&gt;"", $B247=""), "TOTAL:", IF($D246="TOTAL:","VESSEL TARGET "&amp;'RAW DATA'!$E$2&amp;":",IF('RAW DATA'!$E247&lt;&gt;"",'RAW DATA'!$E247,"")))</f>
        <v/>
      </c>
      <c r="E247" s="29" t="str">
        <f t="shared" si="6"/>
        <v/>
      </c>
      <c r="F247" s="4" t="str">
        <f>IF($D246="TOTAL:",FIXED(ROUND(((SUM($F$4:$F245)/'RAW DATA'!$E$2)*100),1),1)&amp;"%",IF($D247="TOTAL:",SUM($F$4:$F246),IF(SUMIF('RAW DATA'!M:M,'RAW DATA'!B247,'RAW DATA'!H:H)=0,"",SUMIF('RAW DATA'!M:M,'RAW DATA'!B247,'RAW DATA'!H:H))))</f>
        <v/>
      </c>
      <c r="G247" s="4" t="str">
        <f>IF($D246="TOTAL:",FIXED(ROUND(((SUM($G$4:$G245)/'RAW DATA'!$E$2)*100),1),1)&amp;"%",IF($D247="TOTAL:",SUM($G$4:$G246),IF(SUMIF('RAW DATA'!M:M,'RAW DATA'!B247,'RAW DATA'!I:I)=0,"",SUMIF('RAW DATA'!M:M,'RAW DATA'!B247,'RAW DATA'!I:I))))</f>
        <v/>
      </c>
      <c r="H247" s="4" t="str">
        <f>IF(SUM(SUMIF('RAW DATA'!M:M,'RAW DATA'!B247,'RAW DATA'!J:J),SUMIF('RAW DATA'!N:N,'RAW DATA'!B247,'RAW DATA'!J:J),SUMIF('RAW DATA'!O:O,'RAW DATA'!B247,'RAW DATA'!J:J),SUMIF('RAW DATA'!P:P,'RAW DATA'!B247,'RAW DATA'!J:J))=0, "", SUM(SUMIF('RAW DATA'!M:M,'RAW DATA'!B247,'RAW DATA'!J:J),SUMIF('RAW DATA'!N:N,'RAW DATA'!B247,'RAW DATA'!J:J),SUMIF('RAW DATA'!O:O,'RAW DATA'!B247,'RAW DATA'!J:J),SUMIF('RAW DATA'!P:P,'RAW DATA'!B247,'RAW DATA'!J:J)))</f>
        <v/>
      </c>
      <c r="I247" s="4" t="str">
        <f>IF(SUMIF('RAW DATA'!M:M,'RAW DATA'!B247, 'RAW DATA'!K:K)=0, "", SUMIF('RAW DATA'!M:M,'RAW DATA'!B247, 'RAW DATA'!K:K))</f>
        <v/>
      </c>
      <c r="J247" s="29" t="str">
        <f>IF('RAW DATA'!B247&lt;&gt;"",IF(OR('RAW DATA'!H247=1,'RAW DATA'!H247=2),1,IF(ISNUMBER(FIND("Medic",'RAW DATA'!E247)),1,"")),"")</f>
        <v/>
      </c>
      <c r="K247" s="29" t="str">
        <f>IF(AND('RAW DATA'!$B247&lt;&gt;"",'RAW DATA'!L247=1),1,"")</f>
        <v/>
      </c>
      <c r="L247" s="24" t="str">
        <f t="shared" si="7"/>
        <v/>
      </c>
    </row>
    <row r="248" spans="2:12" x14ac:dyDescent="0.25">
      <c r="B248" s="1" t="str">
        <f>IF('RAW DATA'!$C250&lt;&gt;"",'RAW DATA'!$C250,"")</f>
        <v/>
      </c>
      <c r="C248" s="1" t="str">
        <f>IF('RAW DATA'!$D250&lt;&gt;"",'RAW DATA'!$D250,"")</f>
        <v/>
      </c>
      <c r="D248" s="1" t="str">
        <f>IF(AND($B247&lt;&gt;"", $B248=""), "TOTAL:", IF($D247="TOTAL:","VESSEL TARGET "&amp;'RAW DATA'!$E$2&amp;":",IF('RAW DATA'!$E248&lt;&gt;"",'RAW DATA'!$E248,"")))</f>
        <v/>
      </c>
      <c r="E248" s="29" t="str">
        <f t="shared" si="6"/>
        <v/>
      </c>
      <c r="F248" s="4" t="str">
        <f>IF($D247="TOTAL:",FIXED(ROUND(((SUM($F$4:$F246)/'RAW DATA'!$E$2)*100),1),1)&amp;"%",IF($D248="TOTAL:",SUM($F$4:$F247),IF(SUMIF('RAW DATA'!M:M,'RAW DATA'!B248,'RAW DATA'!H:H)=0,"",SUMIF('RAW DATA'!M:M,'RAW DATA'!B248,'RAW DATA'!H:H))))</f>
        <v/>
      </c>
      <c r="G248" s="4" t="str">
        <f>IF($D247="TOTAL:",FIXED(ROUND(((SUM($G$4:$G246)/'RAW DATA'!$E$2)*100),1),1)&amp;"%",IF($D248="TOTAL:",SUM($G$4:$G247),IF(SUMIF('RAW DATA'!M:M,'RAW DATA'!B248,'RAW DATA'!I:I)=0,"",SUMIF('RAW DATA'!M:M,'RAW DATA'!B248,'RAW DATA'!I:I))))</f>
        <v/>
      </c>
      <c r="H248" s="4" t="str">
        <f>IF(SUM(SUMIF('RAW DATA'!M:M,'RAW DATA'!B248,'RAW DATA'!J:J),SUMIF('RAW DATA'!N:N,'RAW DATA'!B248,'RAW DATA'!J:J),SUMIF('RAW DATA'!O:O,'RAW DATA'!B248,'RAW DATA'!J:J),SUMIF('RAW DATA'!P:P,'RAW DATA'!B248,'RAW DATA'!J:J))=0, "", SUM(SUMIF('RAW DATA'!M:M,'RAW DATA'!B248,'RAW DATA'!J:J),SUMIF('RAW DATA'!N:N,'RAW DATA'!B248,'RAW DATA'!J:J),SUMIF('RAW DATA'!O:O,'RAW DATA'!B248,'RAW DATA'!J:J),SUMIF('RAW DATA'!P:P,'RAW DATA'!B248,'RAW DATA'!J:J)))</f>
        <v/>
      </c>
      <c r="I248" s="4" t="str">
        <f>IF(SUMIF('RAW DATA'!M:M,'RAW DATA'!B248, 'RAW DATA'!K:K)=0, "", SUMIF('RAW DATA'!M:M,'RAW DATA'!B248, 'RAW DATA'!K:K))</f>
        <v/>
      </c>
      <c r="J248" s="29" t="str">
        <f>IF('RAW DATA'!B248&lt;&gt;"",IF(OR('RAW DATA'!H248=1,'RAW DATA'!H248=2),1,IF(ISNUMBER(FIND("Medic",'RAW DATA'!E248)),1,"")),"")</f>
        <v/>
      </c>
      <c r="K248" s="29" t="str">
        <f>IF(AND('RAW DATA'!$B248&lt;&gt;"",'RAW DATA'!L248=1),1,"")</f>
        <v/>
      </c>
      <c r="L248" s="24" t="str">
        <f t="shared" si="7"/>
        <v/>
      </c>
    </row>
    <row r="249" spans="2:12" x14ac:dyDescent="0.25">
      <c r="B249" s="1" t="str">
        <f>IF('RAW DATA'!$C251&lt;&gt;"",'RAW DATA'!$C251,"")</f>
        <v/>
      </c>
      <c r="C249" s="1" t="str">
        <f>IF('RAW DATA'!$D251&lt;&gt;"",'RAW DATA'!$D251,"")</f>
        <v/>
      </c>
      <c r="D249" s="1" t="str">
        <f>IF(AND($B248&lt;&gt;"", $B249=""), "TOTAL:", IF($D248="TOTAL:","VESSEL TARGET "&amp;'RAW DATA'!$E$2&amp;":",IF('RAW DATA'!$E249&lt;&gt;"",'RAW DATA'!$E249,"")))</f>
        <v/>
      </c>
      <c r="E249" s="29" t="str">
        <f t="shared" si="6"/>
        <v/>
      </c>
      <c r="F249" s="4" t="str">
        <f>IF($D248="TOTAL:",FIXED(ROUND(((SUM($F$4:$F247)/'RAW DATA'!$E$2)*100),1),1)&amp;"%",IF($D249="TOTAL:",SUM($F$4:$F248),IF(SUMIF('RAW DATA'!M:M,'RAW DATA'!B249,'RAW DATA'!H:H)=0,"",SUMIF('RAW DATA'!M:M,'RAW DATA'!B249,'RAW DATA'!H:H))))</f>
        <v/>
      </c>
      <c r="G249" s="4" t="str">
        <f>IF($D248="TOTAL:",FIXED(ROUND(((SUM($G$4:$G247)/'RAW DATA'!$E$2)*100),1),1)&amp;"%",IF($D249="TOTAL:",SUM($G$4:$G248),IF(SUMIF('RAW DATA'!M:M,'RAW DATA'!B249,'RAW DATA'!I:I)=0,"",SUMIF('RAW DATA'!M:M,'RAW DATA'!B249,'RAW DATA'!I:I))))</f>
        <v/>
      </c>
      <c r="H249" s="4" t="str">
        <f>IF(SUM(SUMIF('RAW DATA'!M:M,'RAW DATA'!B249,'RAW DATA'!J:J),SUMIF('RAW DATA'!N:N,'RAW DATA'!B249,'RAW DATA'!J:J),SUMIF('RAW DATA'!O:O,'RAW DATA'!B249,'RAW DATA'!J:J),SUMIF('RAW DATA'!P:P,'RAW DATA'!B249,'RAW DATA'!J:J))=0, "", SUM(SUMIF('RAW DATA'!M:M,'RAW DATA'!B249,'RAW DATA'!J:J),SUMIF('RAW DATA'!N:N,'RAW DATA'!B249,'RAW DATA'!J:J),SUMIF('RAW DATA'!O:O,'RAW DATA'!B249,'RAW DATA'!J:J),SUMIF('RAW DATA'!P:P,'RAW DATA'!B249,'RAW DATA'!J:J)))</f>
        <v/>
      </c>
      <c r="I249" s="4" t="str">
        <f>IF(SUMIF('RAW DATA'!M:M,'RAW DATA'!B249, 'RAW DATA'!K:K)=0, "", SUMIF('RAW DATA'!M:M,'RAW DATA'!B249, 'RAW DATA'!K:K))</f>
        <v/>
      </c>
      <c r="J249" s="29" t="str">
        <f>IF('RAW DATA'!B249&lt;&gt;"",IF(OR('RAW DATA'!H249=1,'RAW DATA'!H249=2),1,IF(ISNUMBER(FIND("Medic",'RAW DATA'!E249)),1,"")),"")</f>
        <v/>
      </c>
      <c r="K249" s="29" t="str">
        <f>IF(AND('RAW DATA'!$B249&lt;&gt;"",'RAW DATA'!L249=1),1,"")</f>
        <v/>
      </c>
      <c r="L249" s="24" t="str">
        <f t="shared" si="7"/>
        <v/>
      </c>
    </row>
    <row r="250" spans="2:12" x14ac:dyDescent="0.25">
      <c r="B250" s="1" t="str">
        <f>IF('RAW DATA'!$C252&lt;&gt;"",'RAW DATA'!$C252,"")</f>
        <v/>
      </c>
      <c r="C250" s="1" t="str">
        <f>IF('RAW DATA'!$D252&lt;&gt;"",'RAW DATA'!$D252,"")</f>
        <v/>
      </c>
      <c r="D250" s="1" t="str">
        <f>IF(AND($B249&lt;&gt;"", $B250=""), "TOTAL:", IF($D249="TOTAL:","VESSEL TARGET "&amp;'RAW DATA'!$E$2&amp;":",IF('RAW DATA'!$E250&lt;&gt;"",'RAW DATA'!$E250,"")))</f>
        <v/>
      </c>
      <c r="E250" s="29" t="str">
        <f t="shared" si="6"/>
        <v/>
      </c>
      <c r="F250" s="4" t="str">
        <f>IF($D249="TOTAL:",FIXED(ROUND(((SUM($F$4:$F248)/'RAW DATA'!$E$2)*100),1),1)&amp;"%",IF($D250="TOTAL:",SUM($F$4:$F249),IF(SUMIF('RAW DATA'!M:M,'RAW DATA'!B250,'RAW DATA'!H:H)=0,"",SUMIF('RAW DATA'!M:M,'RAW DATA'!B250,'RAW DATA'!H:H))))</f>
        <v/>
      </c>
      <c r="G250" s="4" t="str">
        <f>IF($D249="TOTAL:",FIXED(ROUND(((SUM($G$4:$G248)/'RAW DATA'!$E$2)*100),1),1)&amp;"%",IF($D250="TOTAL:",SUM($G$4:$G249),IF(SUMIF('RAW DATA'!M:M,'RAW DATA'!B250,'RAW DATA'!I:I)=0,"",SUMIF('RAW DATA'!M:M,'RAW DATA'!B250,'RAW DATA'!I:I))))</f>
        <v/>
      </c>
      <c r="H250" s="4" t="str">
        <f>IF(SUM(SUMIF('RAW DATA'!M:M,'RAW DATA'!B250,'RAW DATA'!J:J),SUMIF('RAW DATA'!N:N,'RAW DATA'!B250,'RAW DATA'!J:J),SUMIF('RAW DATA'!O:O,'RAW DATA'!B250,'RAW DATA'!J:J),SUMIF('RAW DATA'!P:P,'RAW DATA'!B250,'RAW DATA'!J:J))=0, "", SUM(SUMIF('RAW DATA'!M:M,'RAW DATA'!B250,'RAW DATA'!J:J),SUMIF('RAW DATA'!N:N,'RAW DATA'!B250,'RAW DATA'!J:J),SUMIF('RAW DATA'!O:O,'RAW DATA'!B250,'RAW DATA'!J:J),SUMIF('RAW DATA'!P:P,'RAW DATA'!B250,'RAW DATA'!J:J)))</f>
        <v/>
      </c>
      <c r="I250" s="4" t="str">
        <f>IF(SUMIF('RAW DATA'!M:M,'RAW DATA'!B250, 'RAW DATA'!K:K)=0, "", SUMIF('RAW DATA'!M:M,'RAW DATA'!B250, 'RAW DATA'!K:K))</f>
        <v/>
      </c>
      <c r="J250" s="29" t="str">
        <f>IF('RAW DATA'!B250&lt;&gt;"",IF(OR('RAW DATA'!H250=1,'RAW DATA'!H250=2),1,IF(ISNUMBER(FIND("Medic",'RAW DATA'!E250)),1,"")),"")</f>
        <v/>
      </c>
      <c r="K250" s="29" t="str">
        <f>IF(AND('RAW DATA'!$B250&lt;&gt;"",'RAW DATA'!L250=1),1,"")</f>
        <v/>
      </c>
      <c r="L250" s="24" t="str">
        <f t="shared" si="7"/>
        <v/>
      </c>
    </row>
    <row r="251" spans="2:12" x14ac:dyDescent="0.25">
      <c r="B251" s="1" t="str">
        <f>IF('RAW DATA'!$C253&lt;&gt;"",'RAW DATA'!$C253,"")</f>
        <v/>
      </c>
      <c r="C251" s="1" t="str">
        <f>IF('RAW DATA'!$D253&lt;&gt;"",'RAW DATA'!$D253,"")</f>
        <v/>
      </c>
      <c r="D251" s="1" t="str">
        <f>IF(AND($B250&lt;&gt;"", $B251=""), "TOTAL:", IF($D250="TOTAL:","VESSEL TARGET "&amp;'RAW DATA'!$E$2&amp;":",IF('RAW DATA'!$E251&lt;&gt;"",'RAW DATA'!$E251,"")))</f>
        <v/>
      </c>
      <c r="E251" s="29" t="str">
        <f t="shared" si="6"/>
        <v/>
      </c>
      <c r="F251" s="4" t="str">
        <f>IF($D250="TOTAL:",FIXED(ROUND(((SUM($F$4:$F249)/'RAW DATA'!$E$2)*100),1),1)&amp;"%",IF($D251="TOTAL:",SUM($F$4:$F250),IF(SUMIF('RAW DATA'!M:M,'RAW DATA'!B251,'RAW DATA'!H:H)=0,"",SUMIF('RAW DATA'!M:M,'RAW DATA'!B251,'RAW DATA'!H:H))))</f>
        <v/>
      </c>
      <c r="G251" s="4" t="str">
        <f>IF($D250="TOTAL:",FIXED(ROUND(((SUM($G$4:$G249)/'RAW DATA'!$E$2)*100),1),1)&amp;"%",IF($D251="TOTAL:",SUM($G$4:$G250),IF(SUMIF('RAW DATA'!M:M,'RAW DATA'!B251,'RAW DATA'!I:I)=0,"",SUMIF('RAW DATA'!M:M,'RAW DATA'!B251,'RAW DATA'!I:I))))</f>
        <v/>
      </c>
      <c r="H251" s="4" t="str">
        <f>IF(SUM(SUMIF('RAW DATA'!M:M,'RAW DATA'!B251,'RAW DATA'!J:J),SUMIF('RAW DATA'!N:N,'RAW DATA'!B251,'RAW DATA'!J:J),SUMIF('RAW DATA'!O:O,'RAW DATA'!B251,'RAW DATA'!J:J),SUMIF('RAW DATA'!P:P,'RAW DATA'!B251,'RAW DATA'!J:J))=0, "", SUM(SUMIF('RAW DATA'!M:M,'RAW DATA'!B251,'RAW DATA'!J:J),SUMIF('RAW DATA'!N:N,'RAW DATA'!B251,'RAW DATA'!J:J),SUMIF('RAW DATA'!O:O,'RAW DATA'!B251,'RAW DATA'!J:J),SUMIF('RAW DATA'!P:P,'RAW DATA'!B251,'RAW DATA'!J:J)))</f>
        <v/>
      </c>
      <c r="I251" s="4" t="str">
        <f>IF(SUMIF('RAW DATA'!M:M,'RAW DATA'!B251, 'RAW DATA'!K:K)=0, "", SUMIF('RAW DATA'!M:M,'RAW DATA'!B251, 'RAW DATA'!K:K))</f>
        <v/>
      </c>
      <c r="J251" s="29" t="str">
        <f>IF('RAW DATA'!B251&lt;&gt;"",IF(OR('RAW DATA'!H251=1,'RAW DATA'!H251=2),1,IF(ISNUMBER(FIND("Medic",'RAW DATA'!E251)),1,"")),"")</f>
        <v/>
      </c>
      <c r="K251" s="29" t="str">
        <f>IF(AND('RAW DATA'!$B251&lt;&gt;"",'RAW DATA'!L251=1),1,"")</f>
        <v/>
      </c>
      <c r="L251" s="24" t="str">
        <f t="shared" si="7"/>
        <v/>
      </c>
    </row>
    <row r="252" spans="2:12" x14ac:dyDescent="0.25">
      <c r="B252" s="1" t="str">
        <f>IF('RAW DATA'!$C254&lt;&gt;"",'RAW DATA'!$C254,"")</f>
        <v/>
      </c>
      <c r="C252" s="1" t="str">
        <f>IF('RAW DATA'!$D254&lt;&gt;"",'RAW DATA'!$D254,"")</f>
        <v/>
      </c>
      <c r="D252" s="1" t="str">
        <f>IF(AND($B251&lt;&gt;"", $B252=""), "TOTAL:", IF($D251="TOTAL:","VESSEL TARGET "&amp;'RAW DATA'!$E$2&amp;":",IF('RAW DATA'!$E252&lt;&gt;"",'RAW DATA'!$E252,"")))</f>
        <v/>
      </c>
      <c r="E252" s="29" t="str">
        <f t="shared" si="6"/>
        <v/>
      </c>
      <c r="F252" s="4" t="str">
        <f>IF($D251="TOTAL:",FIXED(ROUND(((SUM($F$4:$F250)/'RAW DATA'!$E$2)*100),1),1)&amp;"%",IF($D252="TOTAL:",SUM($F$4:$F251),IF(SUMIF('RAW DATA'!M:M,'RAW DATA'!B252,'RAW DATA'!H:H)=0,"",SUMIF('RAW DATA'!M:M,'RAW DATA'!B252,'RAW DATA'!H:H))))</f>
        <v/>
      </c>
      <c r="G252" s="4" t="str">
        <f>IF($D251="TOTAL:",FIXED(ROUND(((SUM($G$4:$G250)/'RAW DATA'!$E$2)*100),1),1)&amp;"%",IF($D252="TOTAL:",SUM($G$4:$G251),IF(SUMIF('RAW DATA'!M:M,'RAW DATA'!B252,'RAW DATA'!I:I)=0,"",SUMIF('RAW DATA'!M:M,'RAW DATA'!B252,'RAW DATA'!I:I))))</f>
        <v/>
      </c>
      <c r="H252" s="4" t="str">
        <f>IF(SUM(SUMIF('RAW DATA'!M:M,'RAW DATA'!B252,'RAW DATA'!J:J),SUMIF('RAW DATA'!N:N,'RAW DATA'!B252,'RAW DATA'!J:J),SUMIF('RAW DATA'!O:O,'RAW DATA'!B252,'RAW DATA'!J:J),SUMIF('RAW DATA'!P:P,'RAW DATA'!B252,'RAW DATA'!J:J))=0, "", SUM(SUMIF('RAW DATA'!M:M,'RAW DATA'!B252,'RAW DATA'!J:J),SUMIF('RAW DATA'!N:N,'RAW DATA'!B252,'RAW DATA'!J:J),SUMIF('RAW DATA'!O:O,'RAW DATA'!B252,'RAW DATA'!J:J),SUMIF('RAW DATA'!P:P,'RAW DATA'!B252,'RAW DATA'!J:J)))</f>
        <v/>
      </c>
      <c r="I252" s="4" t="str">
        <f>IF(SUMIF('RAW DATA'!M:M,'RAW DATA'!B252, 'RAW DATA'!K:K)=0, "", SUMIF('RAW DATA'!M:M,'RAW DATA'!B252, 'RAW DATA'!K:K))</f>
        <v/>
      </c>
      <c r="J252" s="29" t="str">
        <f>IF('RAW DATA'!B252&lt;&gt;"",IF(OR('RAW DATA'!H252=1,'RAW DATA'!H252=2),1,IF(ISNUMBER(FIND("Medic",'RAW DATA'!E252)),1,"")),"")</f>
        <v/>
      </c>
      <c r="K252" s="29" t="str">
        <f>IF(AND('RAW DATA'!$B252&lt;&gt;"",'RAW DATA'!L252=1),1,"")</f>
        <v/>
      </c>
      <c r="L252" s="24" t="str">
        <f t="shared" si="7"/>
        <v/>
      </c>
    </row>
    <row r="253" spans="2:12" x14ac:dyDescent="0.25">
      <c r="B253" s="1" t="str">
        <f>IF('RAW DATA'!$C255&lt;&gt;"",'RAW DATA'!$C255,"")</f>
        <v/>
      </c>
      <c r="C253" s="1" t="str">
        <f>IF('RAW DATA'!$D255&lt;&gt;"",'RAW DATA'!$D255,"")</f>
        <v/>
      </c>
      <c r="D253" s="1" t="str">
        <f>IF(AND($B252&lt;&gt;"", $B253=""), "TOTAL:", IF($D252="TOTAL:","VESSEL TARGET "&amp;'RAW DATA'!$E$2&amp;":",IF('RAW DATA'!$E253&lt;&gt;"",'RAW DATA'!$E253,"")))</f>
        <v/>
      </c>
      <c r="E253" s="29" t="str">
        <f t="shared" si="6"/>
        <v/>
      </c>
      <c r="F253" s="4" t="str">
        <f>IF($D252="TOTAL:",FIXED(ROUND(((SUM($F$4:$F251)/'RAW DATA'!$E$2)*100),1),1)&amp;"%",IF($D253="TOTAL:",SUM($F$4:$F252),IF(SUMIF('RAW DATA'!M:M,'RAW DATA'!B253,'RAW DATA'!H:H)=0,"",SUMIF('RAW DATA'!M:M,'RAW DATA'!B253,'RAW DATA'!H:H))))</f>
        <v/>
      </c>
      <c r="G253" s="4" t="str">
        <f>IF($D252="TOTAL:",FIXED(ROUND(((SUM($G$4:$G251)/'RAW DATA'!$E$2)*100),1),1)&amp;"%",IF($D253="TOTAL:",SUM($G$4:$G252),IF(SUMIF('RAW DATA'!M:M,'RAW DATA'!B253,'RAW DATA'!I:I)=0,"",SUMIF('RAW DATA'!M:M,'RAW DATA'!B253,'RAW DATA'!I:I))))</f>
        <v/>
      </c>
      <c r="H253" s="4" t="str">
        <f>IF(SUM(SUMIF('RAW DATA'!M:M,'RAW DATA'!B253,'RAW DATA'!J:J),SUMIF('RAW DATA'!N:N,'RAW DATA'!B253,'RAW DATA'!J:J),SUMIF('RAW DATA'!O:O,'RAW DATA'!B253,'RAW DATA'!J:J),SUMIF('RAW DATA'!P:P,'RAW DATA'!B253,'RAW DATA'!J:J))=0, "", SUM(SUMIF('RAW DATA'!M:M,'RAW DATA'!B253,'RAW DATA'!J:J),SUMIF('RAW DATA'!N:N,'RAW DATA'!B253,'RAW DATA'!J:J),SUMIF('RAW DATA'!O:O,'RAW DATA'!B253,'RAW DATA'!J:J),SUMIF('RAW DATA'!P:P,'RAW DATA'!B253,'RAW DATA'!J:J)))</f>
        <v/>
      </c>
      <c r="I253" s="4" t="str">
        <f>IF(SUMIF('RAW DATA'!M:M,'RAW DATA'!B253, 'RAW DATA'!K:K)=0, "", SUMIF('RAW DATA'!M:M,'RAW DATA'!B253, 'RAW DATA'!K:K))</f>
        <v/>
      </c>
      <c r="J253" s="29" t="str">
        <f>IF('RAW DATA'!B253&lt;&gt;"",IF(OR('RAW DATA'!H253=1,'RAW DATA'!H253=2),1,IF(ISNUMBER(FIND("Medic",'RAW DATA'!E253)),1,"")),"")</f>
        <v/>
      </c>
      <c r="K253" s="29" t="str">
        <f>IF(AND('RAW DATA'!$B253&lt;&gt;"",'RAW DATA'!L253=1),1,"")</f>
        <v/>
      </c>
      <c r="L253" s="24" t="str">
        <f t="shared" si="7"/>
        <v/>
      </c>
    </row>
    <row r="254" spans="2:12" x14ac:dyDescent="0.25">
      <c r="B254" s="1" t="str">
        <f>IF('RAW DATA'!$C256&lt;&gt;"",'RAW DATA'!$C256,"")</f>
        <v/>
      </c>
      <c r="C254" s="1" t="str">
        <f>IF('RAW DATA'!$D256&lt;&gt;"",'RAW DATA'!$D256,"")</f>
        <v/>
      </c>
      <c r="D254" s="1" t="str">
        <f>IF(AND($B253&lt;&gt;"", $B254=""), "TOTAL:", IF($D253="TOTAL:","VESSEL TARGET "&amp;'RAW DATA'!$E$2&amp;":",IF('RAW DATA'!$E254&lt;&gt;"",'RAW DATA'!$E254,"")))</f>
        <v/>
      </c>
      <c r="E254" s="29" t="str">
        <f t="shared" si="6"/>
        <v/>
      </c>
      <c r="F254" s="4" t="str">
        <f>IF($D253="TOTAL:",FIXED(ROUND(((SUM($F$4:$F252)/'RAW DATA'!$E$2)*100),1),1)&amp;"%",IF($D254="TOTAL:",SUM($F$4:$F253),IF(SUMIF('RAW DATA'!M:M,'RAW DATA'!B254,'RAW DATA'!H:H)=0,"",SUMIF('RAW DATA'!M:M,'RAW DATA'!B254,'RAW DATA'!H:H))))</f>
        <v/>
      </c>
      <c r="G254" s="4" t="str">
        <f>IF($D253="TOTAL:",FIXED(ROUND(((SUM($G$4:$G252)/'RAW DATA'!$E$2)*100),1),1)&amp;"%",IF($D254="TOTAL:",SUM($G$4:$G253),IF(SUMIF('RAW DATA'!M:M,'RAW DATA'!B254,'RAW DATA'!I:I)=0,"",SUMIF('RAW DATA'!M:M,'RAW DATA'!B254,'RAW DATA'!I:I))))</f>
        <v/>
      </c>
      <c r="H254" s="4" t="str">
        <f>IF(SUM(SUMIF('RAW DATA'!M:M,'RAW DATA'!B254,'RAW DATA'!J:J),SUMIF('RAW DATA'!N:N,'RAW DATA'!B254,'RAW DATA'!J:J),SUMIF('RAW DATA'!O:O,'RAW DATA'!B254,'RAW DATA'!J:J),SUMIF('RAW DATA'!P:P,'RAW DATA'!B254,'RAW DATA'!J:J))=0, "", SUM(SUMIF('RAW DATA'!M:M,'RAW DATA'!B254,'RAW DATA'!J:J),SUMIF('RAW DATA'!N:N,'RAW DATA'!B254,'RAW DATA'!J:J),SUMIF('RAW DATA'!O:O,'RAW DATA'!B254,'RAW DATA'!J:J),SUMIF('RAW DATA'!P:P,'RAW DATA'!B254,'RAW DATA'!J:J)))</f>
        <v/>
      </c>
      <c r="I254" s="4" t="str">
        <f>IF(SUMIF('RAW DATA'!M:M,'RAW DATA'!B254, 'RAW DATA'!K:K)=0, "", SUMIF('RAW DATA'!M:M,'RAW DATA'!B254, 'RAW DATA'!K:K))</f>
        <v/>
      </c>
      <c r="J254" s="29" t="str">
        <f>IF('RAW DATA'!B254&lt;&gt;"",IF(OR('RAW DATA'!H254=1,'RAW DATA'!H254=2),1,IF(ISNUMBER(FIND("Medic",'RAW DATA'!E254)),1,"")),"")</f>
        <v/>
      </c>
      <c r="K254" s="29" t="str">
        <f>IF(AND('RAW DATA'!$B254&lt;&gt;"",'RAW DATA'!L254=1),1,"")</f>
        <v/>
      </c>
      <c r="L254" s="24" t="str">
        <f t="shared" si="7"/>
        <v/>
      </c>
    </row>
    <row r="255" spans="2:12" x14ac:dyDescent="0.25">
      <c r="B255" s="1" t="str">
        <f>IF('RAW DATA'!$C257&lt;&gt;"",'RAW DATA'!$C257,"")</f>
        <v/>
      </c>
      <c r="C255" s="1" t="str">
        <f>IF('RAW DATA'!$D257&lt;&gt;"",'RAW DATA'!$D257,"")</f>
        <v/>
      </c>
      <c r="D255" s="1" t="str">
        <f>IF(AND($B254&lt;&gt;"", $B255=""), "TOTAL:", IF($D254="TOTAL:","VESSEL TARGET "&amp;'RAW DATA'!$E$2&amp;":",IF('RAW DATA'!$E255&lt;&gt;"",'RAW DATA'!$E255,"")))</f>
        <v/>
      </c>
      <c r="E255" s="29" t="str">
        <f t="shared" si="6"/>
        <v/>
      </c>
      <c r="F255" s="4" t="str">
        <f>IF($D254="TOTAL:",FIXED(ROUND(((SUM($F$4:$F253)/'RAW DATA'!$E$2)*100),1),1)&amp;"%",IF($D255="TOTAL:",SUM($F$4:$F254),IF(SUMIF('RAW DATA'!M:M,'RAW DATA'!B255,'RAW DATA'!H:H)=0,"",SUMIF('RAW DATA'!M:M,'RAW DATA'!B255,'RAW DATA'!H:H))))</f>
        <v/>
      </c>
      <c r="G255" s="4" t="str">
        <f>IF($D254="TOTAL:",FIXED(ROUND(((SUM($G$4:$G253)/'RAW DATA'!$E$2)*100),1),1)&amp;"%",IF($D255="TOTAL:",SUM($G$4:$G254),IF(SUMIF('RAW DATA'!M:M,'RAW DATA'!B255,'RAW DATA'!I:I)=0,"",SUMIF('RAW DATA'!M:M,'RAW DATA'!B255,'RAW DATA'!I:I))))</f>
        <v/>
      </c>
      <c r="H255" s="4" t="str">
        <f>IF(SUM(SUMIF('RAW DATA'!M:M,'RAW DATA'!B255,'RAW DATA'!J:J),SUMIF('RAW DATA'!N:N,'RAW DATA'!B255,'RAW DATA'!J:J),SUMIF('RAW DATA'!O:O,'RAW DATA'!B255,'RAW DATA'!J:J),SUMIF('RAW DATA'!P:P,'RAW DATA'!B255,'RAW DATA'!J:J))=0, "", SUM(SUMIF('RAW DATA'!M:M,'RAW DATA'!B255,'RAW DATA'!J:J),SUMIF('RAW DATA'!N:N,'RAW DATA'!B255,'RAW DATA'!J:J),SUMIF('RAW DATA'!O:O,'RAW DATA'!B255,'RAW DATA'!J:J),SUMIF('RAW DATA'!P:P,'RAW DATA'!B255,'RAW DATA'!J:J)))</f>
        <v/>
      </c>
      <c r="I255" s="4" t="str">
        <f>IF(SUMIF('RAW DATA'!M:M,'RAW DATA'!B255, 'RAW DATA'!K:K)=0, "", SUMIF('RAW DATA'!M:M,'RAW DATA'!B255, 'RAW DATA'!K:K))</f>
        <v/>
      </c>
      <c r="J255" s="29" t="str">
        <f>IF('RAW DATA'!B255&lt;&gt;"",IF(OR('RAW DATA'!H255=1,'RAW DATA'!H255=2),1,IF(ISNUMBER(FIND("Medic",'RAW DATA'!E255)),1,"")),"")</f>
        <v/>
      </c>
      <c r="K255" s="29" t="str">
        <f>IF(AND('RAW DATA'!$B255&lt;&gt;"",'RAW DATA'!L255=1),1,"")</f>
        <v/>
      </c>
      <c r="L255" s="24" t="str">
        <f t="shared" si="7"/>
        <v/>
      </c>
    </row>
    <row r="256" spans="2:12" x14ac:dyDescent="0.25">
      <c r="B256" s="1" t="str">
        <f>IF('RAW DATA'!$C258&lt;&gt;"",'RAW DATA'!$C258,"")</f>
        <v/>
      </c>
      <c r="C256" s="1" t="str">
        <f>IF('RAW DATA'!$D258&lt;&gt;"",'RAW DATA'!$D258,"")</f>
        <v/>
      </c>
      <c r="D256" s="1" t="str">
        <f>IF(AND($B255&lt;&gt;"", $B256=""), "TOTAL:", IF($D255="TOTAL:","VESSEL TARGET "&amp;'RAW DATA'!$E$2&amp;":",IF('RAW DATA'!$E256&lt;&gt;"",'RAW DATA'!$E256,"")))</f>
        <v/>
      </c>
      <c r="E256" s="29" t="str">
        <f t="shared" si="6"/>
        <v/>
      </c>
      <c r="F256" s="4" t="str">
        <f>IF($D255="TOTAL:",FIXED(ROUND(((SUM($F$4:$F254)/'RAW DATA'!$E$2)*100),1),1)&amp;"%",IF($D256="TOTAL:",SUM($F$4:$F255),IF(SUMIF('RAW DATA'!M:M,'RAW DATA'!B256,'RAW DATA'!H:H)=0,"",SUMIF('RAW DATA'!M:M,'RAW DATA'!B256,'RAW DATA'!H:H))))</f>
        <v/>
      </c>
      <c r="G256" s="4" t="str">
        <f>IF($D255="TOTAL:",FIXED(ROUND(((SUM($G$4:$G254)/'RAW DATA'!$E$2)*100),1),1)&amp;"%",IF($D256="TOTAL:",SUM($G$4:$G255),IF(SUMIF('RAW DATA'!M:M,'RAW DATA'!B256,'RAW DATA'!I:I)=0,"",SUMIF('RAW DATA'!M:M,'RAW DATA'!B256,'RAW DATA'!I:I))))</f>
        <v/>
      </c>
      <c r="H256" s="4" t="str">
        <f>IF(SUM(SUMIF('RAW DATA'!M:M,'RAW DATA'!B256,'RAW DATA'!J:J),SUMIF('RAW DATA'!N:N,'RAW DATA'!B256,'RAW DATA'!J:J),SUMIF('RAW DATA'!O:O,'RAW DATA'!B256,'RAW DATA'!J:J),SUMIF('RAW DATA'!P:P,'RAW DATA'!B256,'RAW DATA'!J:J))=0, "", SUM(SUMIF('RAW DATA'!M:M,'RAW DATA'!B256,'RAW DATA'!J:J),SUMIF('RAW DATA'!N:N,'RAW DATA'!B256,'RAW DATA'!J:J),SUMIF('RAW DATA'!O:O,'RAW DATA'!B256,'RAW DATA'!J:J),SUMIF('RAW DATA'!P:P,'RAW DATA'!B256,'RAW DATA'!J:J)))</f>
        <v/>
      </c>
      <c r="I256" s="4" t="str">
        <f>IF(SUMIF('RAW DATA'!M:M,'RAW DATA'!B256, 'RAW DATA'!K:K)=0, "", SUMIF('RAW DATA'!M:M,'RAW DATA'!B256, 'RAW DATA'!K:K))</f>
        <v/>
      </c>
      <c r="J256" s="29" t="str">
        <f>IF('RAW DATA'!B256&lt;&gt;"",IF(OR('RAW DATA'!H256=1,'RAW DATA'!H256=2),1,IF(ISNUMBER(FIND("Medic",'RAW DATA'!E256)),1,"")),"")</f>
        <v/>
      </c>
      <c r="K256" s="29" t="str">
        <f>IF(AND('RAW DATA'!$B256&lt;&gt;"",'RAW DATA'!L256=1),1,"")</f>
        <v/>
      </c>
      <c r="L256" s="24" t="str">
        <f t="shared" si="7"/>
        <v/>
      </c>
    </row>
    <row r="257" spans="2:12" x14ac:dyDescent="0.25">
      <c r="B257" s="1" t="str">
        <f>IF('RAW DATA'!$C259&lt;&gt;"",'RAW DATA'!$C259,"")</f>
        <v/>
      </c>
      <c r="C257" s="1" t="str">
        <f>IF('RAW DATA'!$D259&lt;&gt;"",'RAW DATA'!$D259,"")</f>
        <v/>
      </c>
      <c r="D257" s="1" t="str">
        <f>IF(AND($B256&lt;&gt;"", $B257=""), "TOTAL:", IF($D256="TOTAL:","VESSEL TARGET "&amp;'RAW DATA'!$E$2&amp;":",IF('RAW DATA'!$E257&lt;&gt;"",'RAW DATA'!$E257,"")))</f>
        <v/>
      </c>
      <c r="E257" s="29" t="str">
        <f t="shared" si="6"/>
        <v/>
      </c>
      <c r="F257" s="4" t="str">
        <f>IF($D256="TOTAL:",FIXED(ROUND(((SUM($F$4:$F255)/'RAW DATA'!$E$2)*100),1),1)&amp;"%",IF($D257="TOTAL:",SUM($F$4:$F256),IF(SUMIF('RAW DATA'!M:M,'RAW DATA'!B257,'RAW DATA'!H:H)=0,"",SUMIF('RAW DATA'!M:M,'RAW DATA'!B257,'RAW DATA'!H:H))))</f>
        <v/>
      </c>
      <c r="G257" s="4" t="str">
        <f>IF($D256="TOTAL:",FIXED(ROUND(((SUM($G$4:$G255)/'RAW DATA'!$E$2)*100),1),1)&amp;"%",IF($D257="TOTAL:",SUM($G$4:$G256),IF(SUMIF('RAW DATA'!M:M,'RAW DATA'!B257,'RAW DATA'!I:I)=0,"",SUMIF('RAW DATA'!M:M,'RAW DATA'!B257,'RAW DATA'!I:I))))</f>
        <v/>
      </c>
      <c r="H257" s="4" t="str">
        <f>IF(SUM(SUMIF('RAW DATA'!M:M,'RAW DATA'!B257,'RAW DATA'!J:J),SUMIF('RAW DATA'!N:N,'RAW DATA'!B257,'RAW DATA'!J:J),SUMIF('RAW DATA'!O:O,'RAW DATA'!B257,'RAW DATA'!J:J),SUMIF('RAW DATA'!P:P,'RAW DATA'!B257,'RAW DATA'!J:J))=0, "", SUM(SUMIF('RAW DATA'!M:M,'RAW DATA'!B257,'RAW DATA'!J:J),SUMIF('RAW DATA'!N:N,'RAW DATA'!B257,'RAW DATA'!J:J),SUMIF('RAW DATA'!O:O,'RAW DATA'!B257,'RAW DATA'!J:J),SUMIF('RAW DATA'!P:P,'RAW DATA'!B257,'RAW DATA'!J:J)))</f>
        <v/>
      </c>
      <c r="I257" s="4" t="str">
        <f>IF(SUMIF('RAW DATA'!M:M,'RAW DATA'!B257, 'RAW DATA'!K:K)=0, "", SUMIF('RAW DATA'!M:M,'RAW DATA'!B257, 'RAW DATA'!K:K))</f>
        <v/>
      </c>
      <c r="J257" s="29" t="str">
        <f>IF('RAW DATA'!B257&lt;&gt;"",IF(OR('RAW DATA'!H257=1,'RAW DATA'!H257=2),1,IF(ISNUMBER(FIND("Medic",'RAW DATA'!E257)),1,"")),"")</f>
        <v/>
      </c>
      <c r="K257" s="29" t="str">
        <f>IF(AND('RAW DATA'!$B257&lt;&gt;"",'RAW DATA'!L257=1),1,"")</f>
        <v/>
      </c>
      <c r="L257" s="24" t="str">
        <f t="shared" si="7"/>
        <v/>
      </c>
    </row>
    <row r="258" spans="2:12" x14ac:dyDescent="0.25">
      <c r="B258" s="1" t="str">
        <f>IF('RAW DATA'!$C260&lt;&gt;"",'RAW DATA'!$C260,"")</f>
        <v/>
      </c>
      <c r="C258" s="1" t="str">
        <f>IF('RAW DATA'!$D260&lt;&gt;"",'RAW DATA'!$D260,"")</f>
        <v/>
      </c>
      <c r="D258" s="1" t="str">
        <f>IF(AND($B257&lt;&gt;"", $B258=""), "TOTAL:", IF($D257="TOTAL:","VESSEL TARGET "&amp;'RAW DATA'!$E$2&amp;":",IF('RAW DATA'!$E258&lt;&gt;"",'RAW DATA'!$E258,"")))</f>
        <v/>
      </c>
      <c r="E258" s="29" t="str">
        <f t="shared" si="6"/>
        <v/>
      </c>
      <c r="F258" s="4" t="str">
        <f>IF($D257="TOTAL:",FIXED(ROUND(((SUM($F$4:$F256)/'RAW DATA'!$E$2)*100),1),1)&amp;"%",IF($D258="TOTAL:",SUM($F$4:$F257),IF(SUMIF('RAW DATA'!M:M,'RAW DATA'!B258,'RAW DATA'!H:H)=0,"",SUMIF('RAW DATA'!M:M,'RAW DATA'!B258,'RAW DATA'!H:H))))</f>
        <v/>
      </c>
      <c r="G258" s="4" t="str">
        <f>IF($D257="TOTAL:",FIXED(ROUND(((SUM($G$4:$G256)/'RAW DATA'!$E$2)*100),1),1)&amp;"%",IF($D258="TOTAL:",SUM($G$4:$G257),IF(SUMIF('RAW DATA'!M:M,'RAW DATA'!B258,'RAW DATA'!I:I)=0,"",SUMIF('RAW DATA'!M:M,'RAW DATA'!B258,'RAW DATA'!I:I))))</f>
        <v/>
      </c>
      <c r="H258" s="4" t="str">
        <f>IF(SUM(SUMIF('RAW DATA'!M:M,'RAW DATA'!B258,'RAW DATA'!J:J),SUMIF('RAW DATA'!N:N,'RAW DATA'!B258,'RAW DATA'!J:J),SUMIF('RAW DATA'!O:O,'RAW DATA'!B258,'RAW DATA'!J:J),SUMIF('RAW DATA'!P:P,'RAW DATA'!B258,'RAW DATA'!J:J))=0, "", SUM(SUMIF('RAW DATA'!M:M,'RAW DATA'!B258,'RAW DATA'!J:J),SUMIF('RAW DATA'!N:N,'RAW DATA'!B258,'RAW DATA'!J:J),SUMIF('RAW DATA'!O:O,'RAW DATA'!B258,'RAW DATA'!J:J),SUMIF('RAW DATA'!P:P,'RAW DATA'!B258,'RAW DATA'!J:J)))</f>
        <v/>
      </c>
      <c r="I258" s="4" t="str">
        <f>IF(SUMIF('RAW DATA'!M:M,'RAW DATA'!B258, 'RAW DATA'!K:K)=0, "", SUMIF('RAW DATA'!M:M,'RAW DATA'!B258, 'RAW DATA'!K:K))</f>
        <v/>
      </c>
      <c r="J258" s="29" t="str">
        <f>IF('RAW DATA'!B258&lt;&gt;"",IF(OR('RAW DATA'!H258=1,'RAW DATA'!H258=2),1,IF(ISNUMBER(FIND("Medic",'RAW DATA'!E258)),1,"")),"")</f>
        <v/>
      </c>
      <c r="K258" s="29" t="str">
        <f>IF(AND('RAW DATA'!$B258&lt;&gt;"",'RAW DATA'!L258=1),1,"")</f>
        <v/>
      </c>
      <c r="L258" s="24" t="str">
        <f t="shared" si="7"/>
        <v/>
      </c>
    </row>
    <row r="259" spans="2:12" x14ac:dyDescent="0.25">
      <c r="B259" s="1" t="str">
        <f>IF('RAW DATA'!$C261&lt;&gt;"",'RAW DATA'!$C261,"")</f>
        <v/>
      </c>
      <c r="C259" s="1" t="str">
        <f>IF('RAW DATA'!$D261&lt;&gt;"",'RAW DATA'!$D261,"")</f>
        <v/>
      </c>
      <c r="D259" s="1" t="str">
        <f>IF(AND($B258&lt;&gt;"", $B259=""), "TOTAL:", IF($D258="TOTAL:","VESSEL TARGET "&amp;'RAW DATA'!$E$2&amp;":",IF('RAW DATA'!$E259&lt;&gt;"",'RAW DATA'!$E259,"")))</f>
        <v/>
      </c>
      <c r="E259" s="29" t="str">
        <f t="shared" si="6"/>
        <v/>
      </c>
      <c r="F259" s="4" t="str">
        <f>IF($D258="TOTAL:",FIXED(ROUND(((SUM($F$4:$F257)/'RAW DATA'!$E$2)*100),1),1)&amp;"%",IF($D259="TOTAL:",SUM($F$4:$F258),IF(SUMIF('RAW DATA'!M:M,'RAW DATA'!B259,'RAW DATA'!H:H)=0,"",SUMIF('RAW DATA'!M:M,'RAW DATA'!B259,'RAW DATA'!H:H))))</f>
        <v/>
      </c>
      <c r="G259" s="4" t="str">
        <f>IF($D258="TOTAL:",FIXED(ROUND(((SUM($G$4:$G257)/'RAW DATA'!$E$2)*100),1),1)&amp;"%",IF($D259="TOTAL:",SUM($G$4:$G258),IF(SUMIF('RAW DATA'!M:M,'RAW DATA'!B259,'RAW DATA'!I:I)=0,"",SUMIF('RAW DATA'!M:M,'RAW DATA'!B259,'RAW DATA'!I:I))))</f>
        <v/>
      </c>
      <c r="H259" s="4" t="str">
        <f>IF(SUM(SUMIF('RAW DATA'!M:M,'RAW DATA'!B259,'RAW DATA'!J:J),SUMIF('RAW DATA'!N:N,'RAW DATA'!B259,'RAW DATA'!J:J),SUMIF('RAW DATA'!O:O,'RAW DATA'!B259,'RAW DATA'!J:J),SUMIF('RAW DATA'!P:P,'RAW DATA'!B259,'RAW DATA'!J:J))=0, "", SUM(SUMIF('RAW DATA'!M:M,'RAW DATA'!B259,'RAW DATA'!J:J),SUMIF('RAW DATA'!N:N,'RAW DATA'!B259,'RAW DATA'!J:J),SUMIF('RAW DATA'!O:O,'RAW DATA'!B259,'RAW DATA'!J:J),SUMIF('RAW DATA'!P:P,'RAW DATA'!B259,'RAW DATA'!J:J)))</f>
        <v/>
      </c>
      <c r="I259" s="4" t="str">
        <f>IF(SUMIF('RAW DATA'!M:M,'RAW DATA'!B259, 'RAW DATA'!K:K)=0, "", SUMIF('RAW DATA'!M:M,'RAW DATA'!B259, 'RAW DATA'!K:K))</f>
        <v/>
      </c>
      <c r="J259" s="29" t="str">
        <f>IF('RAW DATA'!B259&lt;&gt;"",IF(OR('RAW DATA'!H259=1,'RAW DATA'!H259=2),1,IF(ISNUMBER(FIND("Medic",'RAW DATA'!E259)),1,"")),"")</f>
        <v/>
      </c>
      <c r="K259" s="29" t="str">
        <f>IF(AND('RAW DATA'!$B259&lt;&gt;"",'RAW DATA'!L259=1),1,"")</f>
        <v/>
      </c>
      <c r="L259" s="24" t="str">
        <f t="shared" si="7"/>
        <v/>
      </c>
    </row>
    <row r="260" spans="2:12" x14ac:dyDescent="0.25">
      <c r="B260" s="1" t="str">
        <f>IF('RAW DATA'!$C262&lt;&gt;"",'RAW DATA'!$C262,"")</f>
        <v/>
      </c>
      <c r="C260" s="1" t="str">
        <f>IF('RAW DATA'!$D262&lt;&gt;"",'RAW DATA'!$D262,"")</f>
        <v/>
      </c>
      <c r="D260" s="1" t="str">
        <f>IF(AND($B259&lt;&gt;"", $B260=""), "TOTAL:", IF($D259="TOTAL:","VESSEL TARGET "&amp;'RAW DATA'!$E$2&amp;":",IF('RAW DATA'!$E260&lt;&gt;"",'RAW DATA'!$E260,"")))</f>
        <v/>
      </c>
      <c r="E260" s="29" t="str">
        <f t="shared" si="6"/>
        <v/>
      </c>
      <c r="F260" s="4" t="str">
        <f>IF($D259="TOTAL:",FIXED(ROUND(((SUM($F$4:$F258)/'RAW DATA'!$E$2)*100),1),1)&amp;"%",IF($D260="TOTAL:",SUM($F$4:$F259),IF(SUMIF('RAW DATA'!M:M,'RAW DATA'!B260,'RAW DATA'!H:H)=0,"",SUMIF('RAW DATA'!M:M,'RAW DATA'!B260,'RAW DATA'!H:H))))</f>
        <v/>
      </c>
      <c r="G260" s="4" t="str">
        <f>IF($D259="TOTAL:",FIXED(ROUND(((SUM($G$4:$G258)/'RAW DATA'!$E$2)*100),1),1)&amp;"%",IF($D260="TOTAL:",SUM($G$4:$G259),IF(SUMIF('RAW DATA'!M:M,'RAW DATA'!B260,'RAW DATA'!I:I)=0,"",SUMIF('RAW DATA'!M:M,'RAW DATA'!B260,'RAW DATA'!I:I))))</f>
        <v/>
      </c>
      <c r="H260" s="4" t="str">
        <f>IF(SUM(SUMIF('RAW DATA'!M:M,'RAW DATA'!B260,'RAW DATA'!J:J),SUMIF('RAW DATA'!N:N,'RAW DATA'!B260,'RAW DATA'!J:J),SUMIF('RAW DATA'!O:O,'RAW DATA'!B260,'RAW DATA'!J:J),SUMIF('RAW DATA'!P:P,'RAW DATA'!B260,'RAW DATA'!J:J))=0, "", SUM(SUMIF('RAW DATA'!M:M,'RAW DATA'!B260,'RAW DATA'!J:J),SUMIF('RAW DATA'!N:N,'RAW DATA'!B260,'RAW DATA'!J:J),SUMIF('RAW DATA'!O:O,'RAW DATA'!B260,'RAW DATA'!J:J),SUMIF('RAW DATA'!P:P,'RAW DATA'!B260,'RAW DATA'!J:J)))</f>
        <v/>
      </c>
      <c r="I260" s="4" t="str">
        <f>IF(SUMIF('RAW DATA'!M:M,'RAW DATA'!B260, 'RAW DATA'!K:K)=0, "", SUMIF('RAW DATA'!M:M,'RAW DATA'!B260, 'RAW DATA'!K:K))</f>
        <v/>
      </c>
      <c r="J260" s="29" t="str">
        <f>IF('RAW DATA'!B260&lt;&gt;"",IF(OR('RAW DATA'!H260=1,'RAW DATA'!H260=2),1,IF(ISNUMBER(FIND("Medic",'RAW DATA'!E260)),1,"")),"")</f>
        <v/>
      </c>
      <c r="K260" s="29" t="str">
        <f>IF(AND('RAW DATA'!$B260&lt;&gt;"",'RAW DATA'!L260=1),1,"")</f>
        <v/>
      </c>
      <c r="L260" s="24" t="str">
        <f t="shared" si="7"/>
        <v/>
      </c>
    </row>
    <row r="261" spans="2:12" x14ac:dyDescent="0.25">
      <c r="B261" s="1" t="str">
        <f>IF('RAW DATA'!$C263&lt;&gt;"",'RAW DATA'!$C263,"")</f>
        <v/>
      </c>
      <c r="C261" s="1" t="str">
        <f>IF('RAW DATA'!$D263&lt;&gt;"",'RAW DATA'!$D263,"")</f>
        <v/>
      </c>
      <c r="D261" s="1" t="str">
        <f>IF(AND($B260&lt;&gt;"", $B261=""), "TOTAL:", IF($D260="TOTAL:","VESSEL TARGET "&amp;'RAW DATA'!$E$2&amp;":",IF('RAW DATA'!$E261&lt;&gt;"",'RAW DATA'!$E261,"")))</f>
        <v/>
      </c>
      <c r="E261" s="29" t="str">
        <f t="shared" ref="E261:E324" si="8">IF(B261&lt;&gt;"",IF(SUM(FLOOR(SUM(F261)/3,1)*10,FLOOR(SUM(G261)/3,1)*10, IF(SUM(H261)&gt;=1,5,0), IF(SUM(I261)&gt;=2,5,0), IF(SUM(J261)&gt;=1,5,0), IF(SUM(K261)&gt;=1,15,0))&gt;0, SUM(FLOOR(SUM(F261)/3,1)*10,FLOOR(SUM(G261)/3,1)*10, IF(SUM(H261)&gt;=1,5,0), IF(SUM(I261)&gt;=2,5,0), IF(SUM(J261)&gt;=1,5,0), IF(SUM(K261)&gt;=1,15,0)),""),"")</f>
        <v/>
      </c>
      <c r="F261" s="4" t="str">
        <f>IF($D260="TOTAL:",FIXED(ROUND(((SUM($F$4:$F259)/'RAW DATA'!$E$2)*100),1),1)&amp;"%",IF($D261="TOTAL:",SUM($F$4:$F260),IF(SUMIF('RAW DATA'!M:M,'RAW DATA'!B261,'RAW DATA'!H:H)=0,"",SUMIF('RAW DATA'!M:M,'RAW DATA'!B261,'RAW DATA'!H:H))))</f>
        <v/>
      </c>
      <c r="G261" s="4" t="str">
        <f>IF($D260="TOTAL:",FIXED(ROUND(((SUM($G$4:$G259)/'RAW DATA'!$E$2)*100),1),1)&amp;"%",IF($D261="TOTAL:",SUM($G$4:$G260),IF(SUMIF('RAW DATA'!M:M,'RAW DATA'!B261,'RAW DATA'!I:I)=0,"",SUMIF('RAW DATA'!M:M,'RAW DATA'!B261,'RAW DATA'!I:I))))</f>
        <v/>
      </c>
      <c r="H261" s="4" t="str">
        <f>IF(SUM(SUMIF('RAW DATA'!M:M,'RAW DATA'!B261,'RAW DATA'!J:J),SUMIF('RAW DATA'!N:N,'RAW DATA'!B261,'RAW DATA'!J:J),SUMIF('RAW DATA'!O:O,'RAW DATA'!B261,'RAW DATA'!J:J),SUMIF('RAW DATA'!P:P,'RAW DATA'!B261,'RAW DATA'!J:J))=0, "", SUM(SUMIF('RAW DATA'!M:M,'RAW DATA'!B261,'RAW DATA'!J:J),SUMIF('RAW DATA'!N:N,'RAW DATA'!B261,'RAW DATA'!J:J),SUMIF('RAW DATA'!O:O,'RAW DATA'!B261,'RAW DATA'!J:J),SUMIF('RAW DATA'!P:P,'RAW DATA'!B261,'RAW DATA'!J:J)))</f>
        <v/>
      </c>
      <c r="I261" s="4" t="str">
        <f>IF(SUMIF('RAW DATA'!M:M,'RAW DATA'!B261, 'RAW DATA'!K:K)=0, "", SUMIF('RAW DATA'!M:M,'RAW DATA'!B261, 'RAW DATA'!K:K))</f>
        <v/>
      </c>
      <c r="J261" s="29" t="str">
        <f>IF('RAW DATA'!B261&lt;&gt;"",IF(OR('RAW DATA'!H261=1,'RAW DATA'!H261=2),1,IF(ISNUMBER(FIND("Medic",'RAW DATA'!E261)),1,"")),"")</f>
        <v/>
      </c>
      <c r="K261" s="29" t="str">
        <f>IF(AND('RAW DATA'!$B261&lt;&gt;"",'RAW DATA'!L261=1),1,"")</f>
        <v/>
      </c>
      <c r="L261" s="24" t="str">
        <f t="shared" ref="L261:L324" si="9">IF(OR($B261="", $F261="",$G261=""),"",IF(AND($F261&gt;=2,$G261&gt;=2),1,""))</f>
        <v/>
      </c>
    </row>
    <row r="262" spans="2:12" x14ac:dyDescent="0.25">
      <c r="B262" s="1" t="str">
        <f>IF('RAW DATA'!$C264&lt;&gt;"",'RAW DATA'!$C264,"")</f>
        <v/>
      </c>
      <c r="C262" s="1" t="str">
        <f>IF('RAW DATA'!$D264&lt;&gt;"",'RAW DATA'!$D264,"")</f>
        <v/>
      </c>
      <c r="D262" s="1" t="str">
        <f>IF(AND($B261&lt;&gt;"", $B262=""), "TOTAL:", IF($D261="TOTAL:","VESSEL TARGET "&amp;'RAW DATA'!$E$2&amp;":",IF('RAW DATA'!$E262&lt;&gt;"",'RAW DATA'!$E262,"")))</f>
        <v/>
      </c>
      <c r="E262" s="29" t="str">
        <f t="shared" si="8"/>
        <v/>
      </c>
      <c r="F262" s="4" t="str">
        <f>IF($D261="TOTAL:",FIXED(ROUND(((SUM($F$4:$F260)/'RAW DATA'!$E$2)*100),1),1)&amp;"%",IF($D262="TOTAL:",SUM($F$4:$F261),IF(SUMIF('RAW DATA'!M:M,'RAW DATA'!B262,'RAW DATA'!H:H)=0,"",SUMIF('RAW DATA'!M:M,'RAW DATA'!B262,'RAW DATA'!H:H))))</f>
        <v/>
      </c>
      <c r="G262" s="4" t="str">
        <f>IF($D261="TOTAL:",FIXED(ROUND(((SUM($G$4:$G260)/'RAW DATA'!$E$2)*100),1),1)&amp;"%",IF($D262="TOTAL:",SUM($G$4:$G261),IF(SUMIF('RAW DATA'!M:M,'RAW DATA'!B262,'RAW DATA'!I:I)=0,"",SUMIF('RAW DATA'!M:M,'RAW DATA'!B262,'RAW DATA'!I:I))))</f>
        <v/>
      </c>
      <c r="H262" s="4" t="str">
        <f>IF(SUM(SUMIF('RAW DATA'!M:M,'RAW DATA'!B262,'RAW DATA'!J:J),SUMIF('RAW DATA'!N:N,'RAW DATA'!B262,'RAW DATA'!J:J),SUMIF('RAW DATA'!O:O,'RAW DATA'!B262,'RAW DATA'!J:J),SUMIF('RAW DATA'!P:P,'RAW DATA'!B262,'RAW DATA'!J:J))=0, "", SUM(SUMIF('RAW DATA'!M:M,'RAW DATA'!B262,'RAW DATA'!J:J),SUMIF('RAW DATA'!N:N,'RAW DATA'!B262,'RAW DATA'!J:J),SUMIF('RAW DATA'!O:O,'RAW DATA'!B262,'RAW DATA'!J:J),SUMIF('RAW DATA'!P:P,'RAW DATA'!B262,'RAW DATA'!J:J)))</f>
        <v/>
      </c>
      <c r="I262" s="4" t="str">
        <f>IF(SUMIF('RAW DATA'!M:M,'RAW DATA'!B262, 'RAW DATA'!K:K)=0, "", SUMIF('RAW DATA'!M:M,'RAW DATA'!B262, 'RAW DATA'!K:K))</f>
        <v/>
      </c>
      <c r="J262" s="29" t="str">
        <f>IF('RAW DATA'!B262&lt;&gt;"",IF(OR('RAW DATA'!H262=1,'RAW DATA'!H262=2),1,IF(ISNUMBER(FIND("Medic",'RAW DATA'!E262)),1,"")),"")</f>
        <v/>
      </c>
      <c r="K262" s="29" t="str">
        <f>IF(AND('RAW DATA'!$B262&lt;&gt;"",'RAW DATA'!L262=1),1,"")</f>
        <v/>
      </c>
      <c r="L262" s="24" t="str">
        <f t="shared" si="9"/>
        <v/>
      </c>
    </row>
    <row r="263" spans="2:12" x14ac:dyDescent="0.25">
      <c r="B263" s="1" t="str">
        <f>IF('RAW DATA'!$C265&lt;&gt;"",'RAW DATA'!$C265,"")</f>
        <v/>
      </c>
      <c r="C263" s="1" t="str">
        <f>IF('RAW DATA'!$D265&lt;&gt;"",'RAW DATA'!$D265,"")</f>
        <v/>
      </c>
      <c r="D263" s="1" t="str">
        <f>IF(AND($B262&lt;&gt;"", $B263=""), "TOTAL:", IF($D262="TOTAL:","VESSEL TARGET "&amp;'RAW DATA'!$E$2&amp;":",IF('RAW DATA'!$E263&lt;&gt;"",'RAW DATA'!$E263,"")))</f>
        <v/>
      </c>
      <c r="E263" s="29" t="str">
        <f t="shared" si="8"/>
        <v/>
      </c>
      <c r="F263" s="4" t="str">
        <f>IF($D262="TOTAL:",FIXED(ROUND(((SUM($F$4:$F261)/'RAW DATA'!$E$2)*100),1),1)&amp;"%",IF($D263="TOTAL:",SUM($F$4:$F262),IF(SUMIF('RAW DATA'!M:M,'RAW DATA'!B263,'RAW DATA'!H:H)=0,"",SUMIF('RAW DATA'!M:M,'RAW DATA'!B263,'RAW DATA'!H:H))))</f>
        <v/>
      </c>
      <c r="G263" s="4" t="str">
        <f>IF($D262="TOTAL:",FIXED(ROUND(((SUM($G$4:$G261)/'RAW DATA'!$E$2)*100),1),1)&amp;"%",IF($D263="TOTAL:",SUM($G$4:$G262),IF(SUMIF('RAW DATA'!M:M,'RAW DATA'!B263,'RAW DATA'!I:I)=0,"",SUMIF('RAW DATA'!M:M,'RAW DATA'!B263,'RAW DATA'!I:I))))</f>
        <v/>
      </c>
      <c r="H263" s="4" t="str">
        <f>IF(SUM(SUMIF('RAW DATA'!M:M,'RAW DATA'!B263,'RAW DATA'!J:J),SUMIF('RAW DATA'!N:N,'RAW DATA'!B263,'RAW DATA'!J:J),SUMIF('RAW DATA'!O:O,'RAW DATA'!B263,'RAW DATA'!J:J),SUMIF('RAW DATA'!P:P,'RAW DATA'!B263,'RAW DATA'!J:J))=0, "", SUM(SUMIF('RAW DATA'!M:M,'RAW DATA'!B263,'RAW DATA'!J:J),SUMIF('RAW DATA'!N:N,'RAW DATA'!B263,'RAW DATA'!J:J),SUMIF('RAW DATA'!O:O,'RAW DATA'!B263,'RAW DATA'!J:J),SUMIF('RAW DATA'!P:P,'RAW DATA'!B263,'RAW DATA'!J:J)))</f>
        <v/>
      </c>
      <c r="I263" s="4" t="str">
        <f>IF(SUMIF('RAW DATA'!M:M,'RAW DATA'!B263, 'RAW DATA'!K:K)=0, "", SUMIF('RAW DATA'!M:M,'RAW DATA'!B263, 'RAW DATA'!K:K))</f>
        <v/>
      </c>
      <c r="J263" s="29" t="str">
        <f>IF('RAW DATA'!B263&lt;&gt;"",IF(OR('RAW DATA'!H263=1,'RAW DATA'!H263=2),1,IF(ISNUMBER(FIND("Medic",'RAW DATA'!E263)),1,"")),"")</f>
        <v/>
      </c>
      <c r="K263" s="29" t="str">
        <f>IF(AND('RAW DATA'!$B263&lt;&gt;"",'RAW DATA'!L263=1),1,"")</f>
        <v/>
      </c>
      <c r="L263" s="24" t="str">
        <f t="shared" si="9"/>
        <v/>
      </c>
    </row>
    <row r="264" spans="2:12" x14ac:dyDescent="0.25">
      <c r="B264" s="1" t="str">
        <f>IF('RAW DATA'!$C266&lt;&gt;"",'RAW DATA'!$C266,"")</f>
        <v/>
      </c>
      <c r="C264" s="1" t="str">
        <f>IF('RAW DATA'!$D266&lt;&gt;"",'RAW DATA'!$D266,"")</f>
        <v/>
      </c>
      <c r="D264" s="1" t="str">
        <f>IF(AND($B263&lt;&gt;"", $B264=""), "TOTAL:", IF($D263="TOTAL:","VESSEL TARGET "&amp;'RAW DATA'!$E$2&amp;":",IF('RAW DATA'!$E264&lt;&gt;"",'RAW DATA'!$E264,"")))</f>
        <v/>
      </c>
      <c r="E264" s="29" t="str">
        <f t="shared" si="8"/>
        <v/>
      </c>
      <c r="F264" s="4" t="str">
        <f>IF($D263="TOTAL:",FIXED(ROUND(((SUM($F$4:$F262)/'RAW DATA'!$E$2)*100),1),1)&amp;"%",IF($D264="TOTAL:",SUM($F$4:$F263),IF(SUMIF('RAW DATA'!M:M,'RAW DATA'!B264,'RAW DATA'!H:H)=0,"",SUMIF('RAW DATA'!M:M,'RAW DATA'!B264,'RAW DATA'!H:H))))</f>
        <v/>
      </c>
      <c r="G264" s="4" t="str">
        <f>IF($D263="TOTAL:",FIXED(ROUND(((SUM($G$4:$G262)/'RAW DATA'!$E$2)*100),1),1)&amp;"%",IF($D264="TOTAL:",SUM($G$4:$G263),IF(SUMIF('RAW DATA'!M:M,'RAW DATA'!B264,'RAW DATA'!I:I)=0,"",SUMIF('RAW DATA'!M:M,'RAW DATA'!B264,'RAW DATA'!I:I))))</f>
        <v/>
      </c>
      <c r="H264" s="4" t="str">
        <f>IF(SUM(SUMIF('RAW DATA'!M:M,'RAW DATA'!B264,'RAW DATA'!J:J),SUMIF('RAW DATA'!N:N,'RAW DATA'!B264,'RAW DATA'!J:J),SUMIF('RAW DATA'!O:O,'RAW DATA'!B264,'RAW DATA'!J:J),SUMIF('RAW DATA'!P:P,'RAW DATA'!B264,'RAW DATA'!J:J))=0, "", SUM(SUMIF('RAW DATA'!M:M,'RAW DATA'!B264,'RAW DATA'!J:J),SUMIF('RAW DATA'!N:N,'RAW DATA'!B264,'RAW DATA'!J:J),SUMIF('RAW DATA'!O:O,'RAW DATA'!B264,'RAW DATA'!J:J),SUMIF('RAW DATA'!P:P,'RAW DATA'!B264,'RAW DATA'!J:J)))</f>
        <v/>
      </c>
      <c r="I264" s="4" t="str">
        <f>IF(SUMIF('RAW DATA'!M:M,'RAW DATA'!B264, 'RAW DATA'!K:K)=0, "", SUMIF('RAW DATA'!M:M,'RAW DATA'!B264, 'RAW DATA'!K:K))</f>
        <v/>
      </c>
      <c r="J264" s="29" t="str">
        <f>IF('RAW DATA'!B264&lt;&gt;"",IF(OR('RAW DATA'!H264=1,'RAW DATA'!H264=2),1,IF(ISNUMBER(FIND("Medic",'RAW DATA'!E264)),1,"")),"")</f>
        <v/>
      </c>
      <c r="K264" s="29" t="str">
        <f>IF(AND('RAW DATA'!$B264&lt;&gt;"",'RAW DATA'!L264=1),1,"")</f>
        <v/>
      </c>
      <c r="L264" s="24" t="str">
        <f t="shared" si="9"/>
        <v/>
      </c>
    </row>
    <row r="265" spans="2:12" x14ac:dyDescent="0.25">
      <c r="B265" s="1" t="str">
        <f>IF('RAW DATA'!$C267&lt;&gt;"",'RAW DATA'!$C267,"")</f>
        <v/>
      </c>
      <c r="C265" s="1" t="str">
        <f>IF('RAW DATA'!$D267&lt;&gt;"",'RAW DATA'!$D267,"")</f>
        <v/>
      </c>
      <c r="D265" s="1" t="str">
        <f>IF(AND($B264&lt;&gt;"", $B265=""), "TOTAL:", IF($D264="TOTAL:","VESSEL TARGET "&amp;'RAW DATA'!$E$2&amp;":",IF('RAW DATA'!$E265&lt;&gt;"",'RAW DATA'!$E265,"")))</f>
        <v/>
      </c>
      <c r="E265" s="29" t="str">
        <f t="shared" si="8"/>
        <v/>
      </c>
      <c r="F265" s="4" t="str">
        <f>IF($D264="TOTAL:",FIXED(ROUND(((SUM($F$4:$F263)/'RAW DATA'!$E$2)*100),1),1)&amp;"%",IF($D265="TOTAL:",SUM($F$4:$F264),IF(SUMIF('RAW DATA'!M:M,'RAW DATA'!B265,'RAW DATA'!H:H)=0,"",SUMIF('RAW DATA'!M:M,'RAW DATA'!B265,'RAW DATA'!H:H))))</f>
        <v/>
      </c>
      <c r="G265" s="4" t="str">
        <f>IF($D264="TOTAL:",FIXED(ROUND(((SUM($G$4:$G263)/'RAW DATA'!$E$2)*100),1),1)&amp;"%",IF($D265="TOTAL:",SUM($G$4:$G264),IF(SUMIF('RAW DATA'!M:M,'RAW DATA'!B265,'RAW DATA'!I:I)=0,"",SUMIF('RAW DATA'!M:M,'RAW DATA'!B265,'RAW DATA'!I:I))))</f>
        <v/>
      </c>
      <c r="H265" s="4" t="str">
        <f>IF(SUM(SUMIF('RAW DATA'!M:M,'RAW DATA'!B265,'RAW DATA'!J:J),SUMIF('RAW DATA'!N:N,'RAW DATA'!B265,'RAW DATA'!J:J),SUMIF('RAW DATA'!O:O,'RAW DATA'!B265,'RAW DATA'!J:J),SUMIF('RAW DATA'!P:P,'RAW DATA'!B265,'RAW DATA'!J:J))=0, "", SUM(SUMIF('RAW DATA'!M:M,'RAW DATA'!B265,'RAW DATA'!J:J),SUMIF('RAW DATA'!N:N,'RAW DATA'!B265,'RAW DATA'!J:J),SUMIF('RAW DATA'!O:O,'RAW DATA'!B265,'RAW DATA'!J:J),SUMIF('RAW DATA'!P:P,'RAW DATA'!B265,'RAW DATA'!J:J)))</f>
        <v/>
      </c>
      <c r="I265" s="4" t="str">
        <f>IF(SUMIF('RAW DATA'!M:M,'RAW DATA'!B265, 'RAW DATA'!K:K)=0, "", SUMIF('RAW DATA'!M:M,'RAW DATA'!B265, 'RAW DATA'!K:K))</f>
        <v/>
      </c>
      <c r="J265" s="29" t="str">
        <f>IF('RAW DATA'!B265&lt;&gt;"",IF(OR('RAW DATA'!H265=1,'RAW DATA'!H265=2),1,IF(ISNUMBER(FIND("Medic",'RAW DATA'!E265)),1,"")),"")</f>
        <v/>
      </c>
      <c r="K265" s="29" t="str">
        <f>IF(AND('RAW DATA'!$B265&lt;&gt;"",'RAW DATA'!L265=1),1,"")</f>
        <v/>
      </c>
      <c r="L265" s="24" t="str">
        <f t="shared" si="9"/>
        <v/>
      </c>
    </row>
    <row r="266" spans="2:12" x14ac:dyDescent="0.25">
      <c r="B266" s="1" t="str">
        <f>IF('RAW DATA'!$C268&lt;&gt;"",'RAW DATA'!$C268,"")</f>
        <v/>
      </c>
      <c r="C266" s="1" t="str">
        <f>IF('RAW DATA'!$D268&lt;&gt;"",'RAW DATA'!$D268,"")</f>
        <v/>
      </c>
      <c r="D266" s="1" t="str">
        <f>IF(AND($B265&lt;&gt;"", $B266=""), "TOTAL:", IF($D265="TOTAL:","VESSEL TARGET "&amp;'RAW DATA'!$E$2&amp;":",IF('RAW DATA'!$E266&lt;&gt;"",'RAW DATA'!$E266,"")))</f>
        <v/>
      </c>
      <c r="E266" s="29" t="str">
        <f t="shared" si="8"/>
        <v/>
      </c>
      <c r="F266" s="4" t="str">
        <f>IF($D265="TOTAL:",FIXED(ROUND(((SUM($F$4:$F264)/'RAW DATA'!$E$2)*100),1),1)&amp;"%",IF($D266="TOTAL:",SUM($F$4:$F265),IF(SUMIF('RAW DATA'!M:M,'RAW DATA'!B266,'RAW DATA'!H:H)=0,"",SUMIF('RAW DATA'!M:M,'RAW DATA'!B266,'RAW DATA'!H:H))))</f>
        <v/>
      </c>
      <c r="G266" s="4" t="str">
        <f>IF($D265="TOTAL:",FIXED(ROUND(((SUM($G$4:$G264)/'RAW DATA'!$E$2)*100),1),1)&amp;"%",IF($D266="TOTAL:",SUM($G$4:$G265),IF(SUMIF('RAW DATA'!M:M,'RAW DATA'!B266,'RAW DATA'!I:I)=0,"",SUMIF('RAW DATA'!M:M,'RAW DATA'!B266,'RAW DATA'!I:I))))</f>
        <v/>
      </c>
      <c r="H266" s="4" t="str">
        <f>IF(SUM(SUMIF('RAW DATA'!M:M,'RAW DATA'!B266,'RAW DATA'!J:J),SUMIF('RAW DATA'!N:N,'RAW DATA'!B266,'RAW DATA'!J:J),SUMIF('RAW DATA'!O:O,'RAW DATA'!B266,'RAW DATA'!J:J),SUMIF('RAW DATA'!P:P,'RAW DATA'!B266,'RAW DATA'!J:J))=0, "", SUM(SUMIF('RAW DATA'!M:M,'RAW DATA'!B266,'RAW DATA'!J:J),SUMIF('RAW DATA'!N:N,'RAW DATA'!B266,'RAW DATA'!J:J),SUMIF('RAW DATA'!O:O,'RAW DATA'!B266,'RAW DATA'!J:J),SUMIF('RAW DATA'!P:P,'RAW DATA'!B266,'RAW DATA'!J:J)))</f>
        <v/>
      </c>
      <c r="I266" s="4" t="str">
        <f>IF(SUMIF('RAW DATA'!M:M,'RAW DATA'!B266, 'RAW DATA'!K:K)=0, "", SUMIF('RAW DATA'!M:M,'RAW DATA'!B266, 'RAW DATA'!K:K))</f>
        <v/>
      </c>
      <c r="J266" s="29" t="str">
        <f>IF('RAW DATA'!B266&lt;&gt;"",IF(OR('RAW DATA'!H266=1,'RAW DATA'!H266=2),1,IF(ISNUMBER(FIND("Medic",'RAW DATA'!E266)),1,"")),"")</f>
        <v/>
      </c>
      <c r="K266" s="29" t="str">
        <f>IF(AND('RAW DATA'!$B266&lt;&gt;"",'RAW DATA'!L266=1),1,"")</f>
        <v/>
      </c>
      <c r="L266" s="24" t="str">
        <f t="shared" si="9"/>
        <v/>
      </c>
    </row>
    <row r="267" spans="2:12" x14ac:dyDescent="0.25">
      <c r="B267" s="1" t="str">
        <f>IF('RAW DATA'!$C269&lt;&gt;"",'RAW DATA'!$C269,"")</f>
        <v/>
      </c>
      <c r="C267" s="1" t="str">
        <f>IF('RAW DATA'!$D269&lt;&gt;"",'RAW DATA'!$D269,"")</f>
        <v/>
      </c>
      <c r="D267" s="1" t="str">
        <f>IF(AND($B266&lt;&gt;"", $B267=""), "TOTAL:", IF($D266="TOTAL:","VESSEL TARGET "&amp;'RAW DATA'!$E$2&amp;":",IF('RAW DATA'!$E267&lt;&gt;"",'RAW DATA'!$E267,"")))</f>
        <v/>
      </c>
      <c r="E267" s="29" t="str">
        <f t="shared" si="8"/>
        <v/>
      </c>
      <c r="F267" s="4" t="str">
        <f>IF($D266="TOTAL:",FIXED(ROUND(((SUM($F$4:$F265)/'RAW DATA'!$E$2)*100),1),1)&amp;"%",IF($D267="TOTAL:",SUM($F$4:$F266),IF(SUMIF('RAW DATA'!M:M,'RAW DATA'!B267,'RAW DATA'!H:H)=0,"",SUMIF('RAW DATA'!M:M,'RAW DATA'!B267,'RAW DATA'!H:H))))</f>
        <v/>
      </c>
      <c r="G267" s="4" t="str">
        <f>IF($D266="TOTAL:",FIXED(ROUND(((SUM($G$4:$G265)/'RAW DATA'!$E$2)*100),1),1)&amp;"%",IF($D267="TOTAL:",SUM($G$4:$G266),IF(SUMIF('RAW DATA'!M:M,'RAW DATA'!B267,'RAW DATA'!I:I)=0,"",SUMIF('RAW DATA'!M:M,'RAW DATA'!B267,'RAW DATA'!I:I))))</f>
        <v/>
      </c>
      <c r="H267" s="4" t="str">
        <f>IF(SUM(SUMIF('RAW DATA'!M:M,'RAW DATA'!B267,'RAW DATA'!J:J),SUMIF('RAW DATA'!N:N,'RAW DATA'!B267,'RAW DATA'!J:J),SUMIF('RAW DATA'!O:O,'RAW DATA'!B267,'RAW DATA'!J:J),SUMIF('RAW DATA'!P:P,'RAW DATA'!B267,'RAW DATA'!J:J))=0, "", SUM(SUMIF('RAW DATA'!M:M,'RAW DATA'!B267,'RAW DATA'!J:J),SUMIF('RAW DATA'!N:N,'RAW DATA'!B267,'RAW DATA'!J:J),SUMIF('RAW DATA'!O:O,'RAW DATA'!B267,'RAW DATA'!J:J),SUMIF('RAW DATA'!P:P,'RAW DATA'!B267,'RAW DATA'!J:J)))</f>
        <v/>
      </c>
      <c r="I267" s="4" t="str">
        <f>IF(SUMIF('RAW DATA'!M:M,'RAW DATA'!B267, 'RAW DATA'!K:K)=0, "", SUMIF('RAW DATA'!M:M,'RAW DATA'!B267, 'RAW DATA'!K:K))</f>
        <v/>
      </c>
      <c r="J267" s="29" t="str">
        <f>IF('RAW DATA'!B267&lt;&gt;"",IF(OR('RAW DATA'!H267=1,'RAW DATA'!H267=2),1,IF(ISNUMBER(FIND("Medic",'RAW DATA'!E267)),1,"")),"")</f>
        <v/>
      </c>
      <c r="K267" s="29" t="str">
        <f>IF(AND('RAW DATA'!$B267&lt;&gt;"",'RAW DATA'!L267=1),1,"")</f>
        <v/>
      </c>
      <c r="L267" s="24" t="str">
        <f t="shared" si="9"/>
        <v/>
      </c>
    </row>
    <row r="268" spans="2:12" x14ac:dyDescent="0.25">
      <c r="B268" s="1" t="str">
        <f>IF('RAW DATA'!$C270&lt;&gt;"",'RAW DATA'!$C270,"")</f>
        <v/>
      </c>
      <c r="C268" s="1" t="str">
        <f>IF('RAW DATA'!$D270&lt;&gt;"",'RAW DATA'!$D270,"")</f>
        <v/>
      </c>
      <c r="D268" s="1" t="str">
        <f>IF(AND($B267&lt;&gt;"", $B268=""), "TOTAL:", IF($D267="TOTAL:","VESSEL TARGET "&amp;'RAW DATA'!$E$2&amp;":",IF('RAW DATA'!$E268&lt;&gt;"",'RAW DATA'!$E268,"")))</f>
        <v/>
      </c>
      <c r="E268" s="29" t="str">
        <f t="shared" si="8"/>
        <v/>
      </c>
      <c r="F268" s="4" t="str">
        <f>IF($D267="TOTAL:",FIXED(ROUND(((SUM($F$4:$F266)/'RAW DATA'!$E$2)*100),1),1)&amp;"%",IF($D268="TOTAL:",SUM($F$4:$F267),IF(SUMIF('RAW DATA'!M:M,'RAW DATA'!B268,'RAW DATA'!H:H)=0,"",SUMIF('RAW DATA'!M:M,'RAW DATA'!B268,'RAW DATA'!H:H))))</f>
        <v/>
      </c>
      <c r="G268" s="4" t="str">
        <f>IF($D267="TOTAL:",FIXED(ROUND(((SUM($G$4:$G266)/'RAW DATA'!$E$2)*100),1),1)&amp;"%",IF($D268="TOTAL:",SUM($G$4:$G267),IF(SUMIF('RAW DATA'!M:M,'RAW DATA'!B268,'RAW DATA'!I:I)=0,"",SUMIF('RAW DATA'!M:M,'RAW DATA'!B268,'RAW DATA'!I:I))))</f>
        <v/>
      </c>
      <c r="H268" s="4" t="str">
        <f>IF(SUM(SUMIF('RAW DATA'!M:M,'RAW DATA'!B268,'RAW DATA'!J:J),SUMIF('RAW DATA'!N:N,'RAW DATA'!B268,'RAW DATA'!J:J),SUMIF('RAW DATA'!O:O,'RAW DATA'!B268,'RAW DATA'!J:J),SUMIF('RAW DATA'!P:P,'RAW DATA'!B268,'RAW DATA'!J:J))=0, "", SUM(SUMIF('RAW DATA'!M:M,'RAW DATA'!B268,'RAW DATA'!J:J),SUMIF('RAW DATA'!N:N,'RAW DATA'!B268,'RAW DATA'!J:J),SUMIF('RAW DATA'!O:O,'RAW DATA'!B268,'RAW DATA'!J:J),SUMIF('RAW DATA'!P:P,'RAW DATA'!B268,'RAW DATA'!J:J)))</f>
        <v/>
      </c>
      <c r="I268" s="4" t="str">
        <f>IF(SUMIF('RAW DATA'!M:M,'RAW DATA'!B268, 'RAW DATA'!K:K)=0, "", SUMIF('RAW DATA'!M:M,'RAW DATA'!B268, 'RAW DATA'!K:K))</f>
        <v/>
      </c>
      <c r="J268" s="29" t="str">
        <f>IF('RAW DATA'!B268&lt;&gt;"",IF(OR('RAW DATA'!H268=1,'RAW DATA'!H268=2),1,IF(ISNUMBER(FIND("Medic",'RAW DATA'!E268)),1,"")),"")</f>
        <v/>
      </c>
      <c r="K268" s="29" t="str">
        <f>IF(AND('RAW DATA'!$B268&lt;&gt;"",'RAW DATA'!L268=1),1,"")</f>
        <v/>
      </c>
      <c r="L268" s="24" t="str">
        <f t="shared" si="9"/>
        <v/>
      </c>
    </row>
    <row r="269" spans="2:12" x14ac:dyDescent="0.25">
      <c r="B269" s="1" t="str">
        <f>IF('RAW DATA'!$C271&lt;&gt;"",'RAW DATA'!$C271,"")</f>
        <v/>
      </c>
      <c r="C269" s="1" t="str">
        <f>IF('RAW DATA'!$D271&lt;&gt;"",'RAW DATA'!$D271,"")</f>
        <v/>
      </c>
      <c r="D269" s="1" t="str">
        <f>IF(AND($B268&lt;&gt;"", $B269=""), "TOTAL:", IF($D268="TOTAL:","VESSEL TARGET "&amp;'RAW DATA'!$E$2&amp;":",IF('RAW DATA'!$E269&lt;&gt;"",'RAW DATA'!$E269,"")))</f>
        <v/>
      </c>
      <c r="E269" s="29" t="str">
        <f t="shared" si="8"/>
        <v/>
      </c>
      <c r="F269" s="4" t="str">
        <f>IF($D268="TOTAL:",FIXED(ROUND(((SUM($F$4:$F267)/'RAW DATA'!$E$2)*100),1),1)&amp;"%",IF($D269="TOTAL:",SUM($F$4:$F268),IF(SUMIF('RAW DATA'!M:M,'RAW DATA'!B269,'RAW DATA'!H:H)=0,"",SUMIF('RAW DATA'!M:M,'RAW DATA'!B269,'RAW DATA'!H:H))))</f>
        <v/>
      </c>
      <c r="G269" s="4" t="str">
        <f>IF($D268="TOTAL:",FIXED(ROUND(((SUM($G$4:$G267)/'RAW DATA'!$E$2)*100),1),1)&amp;"%",IF($D269="TOTAL:",SUM($G$4:$G268),IF(SUMIF('RAW DATA'!M:M,'RAW DATA'!B269,'RAW DATA'!I:I)=0,"",SUMIF('RAW DATA'!M:M,'RAW DATA'!B269,'RAW DATA'!I:I))))</f>
        <v/>
      </c>
      <c r="H269" s="4" t="str">
        <f>IF(SUM(SUMIF('RAW DATA'!M:M,'RAW DATA'!B269,'RAW DATA'!J:J),SUMIF('RAW DATA'!N:N,'RAW DATA'!B269,'RAW DATA'!J:J),SUMIF('RAW DATA'!O:O,'RAW DATA'!B269,'RAW DATA'!J:J),SUMIF('RAW DATA'!P:P,'RAW DATA'!B269,'RAW DATA'!J:J))=0, "", SUM(SUMIF('RAW DATA'!M:M,'RAW DATA'!B269,'RAW DATA'!J:J),SUMIF('RAW DATA'!N:N,'RAW DATA'!B269,'RAW DATA'!J:J),SUMIF('RAW DATA'!O:O,'RAW DATA'!B269,'RAW DATA'!J:J),SUMIF('RAW DATA'!P:P,'RAW DATA'!B269,'RAW DATA'!J:J)))</f>
        <v/>
      </c>
      <c r="I269" s="4" t="str">
        <f>IF(SUMIF('RAW DATA'!M:M,'RAW DATA'!B269, 'RAW DATA'!K:K)=0, "", SUMIF('RAW DATA'!M:M,'RAW DATA'!B269, 'RAW DATA'!K:K))</f>
        <v/>
      </c>
      <c r="J269" s="29" t="str">
        <f>IF('RAW DATA'!B269&lt;&gt;"",IF(OR('RAW DATA'!H269=1,'RAW DATA'!H269=2),1,IF(ISNUMBER(FIND("Medic",'RAW DATA'!E269)),1,"")),"")</f>
        <v/>
      </c>
      <c r="K269" s="29" t="str">
        <f>IF(AND('RAW DATA'!$B269&lt;&gt;"",'RAW DATA'!L269=1),1,"")</f>
        <v/>
      </c>
      <c r="L269" s="24" t="str">
        <f t="shared" si="9"/>
        <v/>
      </c>
    </row>
    <row r="270" spans="2:12" x14ac:dyDescent="0.25">
      <c r="B270" s="1" t="str">
        <f>IF('RAW DATA'!$C272&lt;&gt;"",'RAW DATA'!$C272,"")</f>
        <v/>
      </c>
      <c r="C270" s="1" t="str">
        <f>IF('RAW DATA'!$D272&lt;&gt;"",'RAW DATA'!$D272,"")</f>
        <v/>
      </c>
      <c r="D270" s="1" t="str">
        <f>IF(AND($B269&lt;&gt;"", $B270=""), "TOTAL:", IF($D269="TOTAL:","VESSEL TARGET "&amp;'RAW DATA'!$E$2&amp;":",IF('RAW DATA'!$E270&lt;&gt;"",'RAW DATA'!$E270,"")))</f>
        <v/>
      </c>
      <c r="E270" s="29" t="str">
        <f t="shared" si="8"/>
        <v/>
      </c>
      <c r="F270" s="4" t="str">
        <f>IF($D269="TOTAL:",FIXED(ROUND(((SUM($F$4:$F268)/'RAW DATA'!$E$2)*100),1),1)&amp;"%",IF($D270="TOTAL:",SUM($F$4:$F269),IF(SUMIF('RAW DATA'!M:M,'RAW DATA'!B270,'RAW DATA'!H:H)=0,"",SUMIF('RAW DATA'!M:M,'RAW DATA'!B270,'RAW DATA'!H:H))))</f>
        <v/>
      </c>
      <c r="G270" s="4" t="str">
        <f>IF($D269="TOTAL:",FIXED(ROUND(((SUM($G$4:$G268)/'RAW DATA'!$E$2)*100),1),1)&amp;"%",IF($D270="TOTAL:",SUM($G$4:$G269),IF(SUMIF('RAW DATA'!M:M,'RAW DATA'!B270,'RAW DATA'!I:I)=0,"",SUMIF('RAW DATA'!M:M,'RAW DATA'!B270,'RAW DATA'!I:I))))</f>
        <v/>
      </c>
      <c r="H270" s="4" t="str">
        <f>IF(SUM(SUMIF('RAW DATA'!M:M,'RAW DATA'!B270,'RAW DATA'!J:J),SUMIF('RAW DATA'!N:N,'RAW DATA'!B270,'RAW DATA'!J:J),SUMIF('RAW DATA'!O:O,'RAW DATA'!B270,'RAW DATA'!J:J),SUMIF('RAW DATA'!P:P,'RAW DATA'!B270,'RAW DATA'!J:J))=0, "", SUM(SUMIF('RAW DATA'!M:M,'RAW DATA'!B270,'RAW DATA'!J:J),SUMIF('RAW DATA'!N:N,'RAW DATA'!B270,'RAW DATA'!J:J),SUMIF('RAW DATA'!O:O,'RAW DATA'!B270,'RAW DATA'!J:J),SUMIF('RAW DATA'!P:P,'RAW DATA'!B270,'RAW DATA'!J:J)))</f>
        <v/>
      </c>
      <c r="I270" s="4" t="str">
        <f>IF(SUMIF('RAW DATA'!M:M,'RAW DATA'!B270, 'RAW DATA'!K:K)=0, "", SUMIF('RAW DATA'!M:M,'RAW DATA'!B270, 'RAW DATA'!K:K))</f>
        <v/>
      </c>
      <c r="J270" s="29" t="str">
        <f>IF('RAW DATA'!B270&lt;&gt;"",IF(OR('RAW DATA'!H270=1,'RAW DATA'!H270=2),1,IF(ISNUMBER(FIND("Medic",'RAW DATA'!E270)),1,"")),"")</f>
        <v/>
      </c>
      <c r="K270" s="29" t="str">
        <f>IF(AND('RAW DATA'!$B270&lt;&gt;"",'RAW DATA'!L270=1),1,"")</f>
        <v/>
      </c>
      <c r="L270" s="24" t="str">
        <f t="shared" si="9"/>
        <v/>
      </c>
    </row>
    <row r="271" spans="2:12" x14ac:dyDescent="0.25">
      <c r="B271" s="1" t="str">
        <f>IF('RAW DATA'!$C273&lt;&gt;"",'RAW DATA'!$C273,"")</f>
        <v/>
      </c>
      <c r="C271" s="1" t="str">
        <f>IF('RAW DATA'!$D273&lt;&gt;"",'RAW DATA'!$D273,"")</f>
        <v/>
      </c>
      <c r="D271" s="1" t="str">
        <f>IF(AND($B270&lt;&gt;"", $B271=""), "TOTAL:", IF($D270="TOTAL:","VESSEL TARGET "&amp;'RAW DATA'!$E$2&amp;":",IF('RAW DATA'!$E271&lt;&gt;"",'RAW DATA'!$E271,"")))</f>
        <v/>
      </c>
      <c r="E271" s="29" t="str">
        <f t="shared" si="8"/>
        <v/>
      </c>
      <c r="F271" s="4" t="str">
        <f>IF($D270="TOTAL:",FIXED(ROUND(((SUM($F$4:$F269)/'RAW DATA'!$E$2)*100),1),1)&amp;"%",IF($D271="TOTAL:",SUM($F$4:$F270),IF(SUMIF('RAW DATA'!M:M,'RAW DATA'!B271,'RAW DATA'!H:H)=0,"",SUMIF('RAW DATA'!M:M,'RAW DATA'!B271,'RAW DATA'!H:H))))</f>
        <v/>
      </c>
      <c r="G271" s="4" t="str">
        <f>IF($D270="TOTAL:",FIXED(ROUND(((SUM($G$4:$G269)/'RAW DATA'!$E$2)*100),1),1)&amp;"%",IF($D271="TOTAL:",SUM($G$4:$G270),IF(SUMIF('RAW DATA'!M:M,'RAW DATA'!B271,'RAW DATA'!I:I)=0,"",SUMIF('RAW DATA'!M:M,'RAW DATA'!B271,'RAW DATA'!I:I))))</f>
        <v/>
      </c>
      <c r="H271" s="4" t="str">
        <f>IF(SUM(SUMIF('RAW DATA'!M:M,'RAW DATA'!B271,'RAW DATA'!J:J),SUMIF('RAW DATA'!N:N,'RAW DATA'!B271,'RAW DATA'!J:J),SUMIF('RAW DATA'!O:O,'RAW DATA'!B271,'RAW DATA'!J:J),SUMIF('RAW DATA'!P:P,'RAW DATA'!B271,'RAW DATA'!J:J))=0, "", SUM(SUMIF('RAW DATA'!M:M,'RAW DATA'!B271,'RAW DATA'!J:J),SUMIF('RAW DATA'!N:N,'RAW DATA'!B271,'RAW DATA'!J:J),SUMIF('RAW DATA'!O:O,'RAW DATA'!B271,'RAW DATA'!J:J),SUMIF('RAW DATA'!P:P,'RAW DATA'!B271,'RAW DATA'!J:J)))</f>
        <v/>
      </c>
      <c r="I271" s="4" t="str">
        <f>IF(SUMIF('RAW DATA'!M:M,'RAW DATA'!B271, 'RAW DATA'!K:K)=0, "", SUMIF('RAW DATA'!M:M,'RAW DATA'!B271, 'RAW DATA'!K:K))</f>
        <v/>
      </c>
      <c r="J271" s="29" t="str">
        <f>IF('RAW DATA'!B271&lt;&gt;"",IF(OR('RAW DATA'!H271=1,'RAW DATA'!H271=2),1,IF(ISNUMBER(FIND("Medic",'RAW DATA'!E271)),1,"")),"")</f>
        <v/>
      </c>
      <c r="K271" s="29" t="str">
        <f>IF(AND('RAW DATA'!$B271&lt;&gt;"",'RAW DATA'!L271=1),1,"")</f>
        <v/>
      </c>
      <c r="L271" s="24" t="str">
        <f t="shared" si="9"/>
        <v/>
      </c>
    </row>
    <row r="272" spans="2:12" x14ac:dyDescent="0.25">
      <c r="B272" s="1" t="str">
        <f>IF('RAW DATA'!$C274&lt;&gt;"",'RAW DATA'!$C274,"")</f>
        <v/>
      </c>
      <c r="C272" s="1" t="str">
        <f>IF('RAW DATA'!$D274&lt;&gt;"",'RAW DATA'!$D274,"")</f>
        <v/>
      </c>
      <c r="D272" s="1" t="str">
        <f>IF(AND($B271&lt;&gt;"", $B272=""), "TOTAL:", IF($D271="TOTAL:","VESSEL TARGET "&amp;'RAW DATA'!$E$2&amp;":",IF('RAW DATA'!$E272&lt;&gt;"",'RAW DATA'!$E272,"")))</f>
        <v/>
      </c>
      <c r="E272" s="29" t="str">
        <f t="shared" si="8"/>
        <v/>
      </c>
      <c r="F272" s="4" t="str">
        <f>IF($D271="TOTAL:",FIXED(ROUND(((SUM($F$4:$F270)/'RAW DATA'!$E$2)*100),1),1)&amp;"%",IF($D272="TOTAL:",SUM($F$4:$F271),IF(SUMIF('RAW DATA'!M:M,'RAW DATA'!B272,'RAW DATA'!H:H)=0,"",SUMIF('RAW DATA'!M:M,'RAW DATA'!B272,'RAW DATA'!H:H))))</f>
        <v/>
      </c>
      <c r="G272" s="4" t="str">
        <f>IF($D271="TOTAL:",FIXED(ROUND(((SUM($G$4:$G270)/'RAW DATA'!$E$2)*100),1),1)&amp;"%",IF($D272="TOTAL:",SUM($G$4:$G271),IF(SUMIF('RAW DATA'!M:M,'RAW DATA'!B272,'RAW DATA'!I:I)=0,"",SUMIF('RAW DATA'!M:M,'RAW DATA'!B272,'RAW DATA'!I:I))))</f>
        <v/>
      </c>
      <c r="H272" s="4" t="str">
        <f>IF(SUM(SUMIF('RAW DATA'!M:M,'RAW DATA'!B272,'RAW DATA'!J:J),SUMIF('RAW DATA'!N:N,'RAW DATA'!B272,'RAW DATA'!J:J),SUMIF('RAW DATA'!O:O,'RAW DATA'!B272,'RAW DATA'!J:J),SUMIF('RAW DATA'!P:P,'RAW DATA'!B272,'RAW DATA'!J:J))=0, "", SUM(SUMIF('RAW DATA'!M:M,'RAW DATA'!B272,'RAW DATA'!J:J),SUMIF('RAW DATA'!N:N,'RAW DATA'!B272,'RAW DATA'!J:J),SUMIF('RAW DATA'!O:O,'RAW DATA'!B272,'RAW DATA'!J:J),SUMIF('RAW DATA'!P:P,'RAW DATA'!B272,'RAW DATA'!J:J)))</f>
        <v/>
      </c>
      <c r="I272" s="4" t="str">
        <f>IF(SUMIF('RAW DATA'!M:M,'RAW DATA'!B272, 'RAW DATA'!K:K)=0, "", SUMIF('RAW DATA'!M:M,'RAW DATA'!B272, 'RAW DATA'!K:K))</f>
        <v/>
      </c>
      <c r="J272" s="29" t="str">
        <f>IF('RAW DATA'!B272&lt;&gt;"",IF(OR('RAW DATA'!H272=1,'RAW DATA'!H272=2),1,IF(ISNUMBER(FIND("Medic",'RAW DATA'!E272)),1,"")),"")</f>
        <v/>
      </c>
      <c r="K272" s="29" t="str">
        <f>IF(AND('RAW DATA'!$B272&lt;&gt;"",'RAW DATA'!L272=1),1,"")</f>
        <v/>
      </c>
      <c r="L272" s="24" t="str">
        <f t="shared" si="9"/>
        <v/>
      </c>
    </row>
    <row r="273" spans="2:12" x14ac:dyDescent="0.25">
      <c r="B273" s="1" t="str">
        <f>IF('RAW DATA'!$C275&lt;&gt;"",'RAW DATA'!$C275,"")</f>
        <v/>
      </c>
      <c r="C273" s="1" t="str">
        <f>IF('RAW DATA'!$D275&lt;&gt;"",'RAW DATA'!$D275,"")</f>
        <v/>
      </c>
      <c r="D273" s="1" t="str">
        <f>IF(AND($B272&lt;&gt;"", $B273=""), "TOTAL:", IF($D272="TOTAL:","VESSEL TARGET "&amp;'RAW DATA'!$E$2&amp;":",IF('RAW DATA'!$E273&lt;&gt;"",'RAW DATA'!$E273,"")))</f>
        <v/>
      </c>
      <c r="E273" s="29" t="str">
        <f t="shared" si="8"/>
        <v/>
      </c>
      <c r="F273" s="4" t="str">
        <f>IF($D272="TOTAL:",FIXED(ROUND(((SUM($F$4:$F271)/'RAW DATA'!$E$2)*100),1),1)&amp;"%",IF($D273="TOTAL:",SUM($F$4:$F272),IF(SUMIF('RAW DATA'!M:M,'RAW DATA'!B273,'RAW DATA'!H:H)=0,"",SUMIF('RAW DATA'!M:M,'RAW DATA'!B273,'RAW DATA'!H:H))))</f>
        <v/>
      </c>
      <c r="G273" s="4" t="str">
        <f>IF($D272="TOTAL:",FIXED(ROUND(((SUM($G$4:$G271)/'RAW DATA'!$E$2)*100),1),1)&amp;"%",IF($D273="TOTAL:",SUM($G$4:$G272),IF(SUMIF('RAW DATA'!M:M,'RAW DATA'!B273,'RAW DATA'!I:I)=0,"",SUMIF('RAW DATA'!M:M,'RAW DATA'!B273,'RAW DATA'!I:I))))</f>
        <v/>
      </c>
      <c r="H273" s="4" t="str">
        <f>IF(SUM(SUMIF('RAW DATA'!M:M,'RAW DATA'!B273,'RAW DATA'!J:J),SUMIF('RAW DATA'!N:N,'RAW DATA'!B273,'RAW DATA'!J:J),SUMIF('RAW DATA'!O:O,'RAW DATA'!B273,'RAW DATA'!J:J),SUMIF('RAW DATA'!P:P,'RAW DATA'!B273,'RAW DATA'!J:J))=0, "", SUM(SUMIF('RAW DATA'!M:M,'RAW DATA'!B273,'RAW DATA'!J:J),SUMIF('RAW DATA'!N:N,'RAW DATA'!B273,'RAW DATA'!J:J),SUMIF('RAW DATA'!O:O,'RAW DATA'!B273,'RAW DATA'!J:J),SUMIF('RAW DATA'!P:P,'RAW DATA'!B273,'RAW DATA'!J:J)))</f>
        <v/>
      </c>
      <c r="I273" s="4" t="str">
        <f>IF(SUMIF('RAW DATA'!M:M,'RAW DATA'!B273, 'RAW DATA'!K:K)=0, "", SUMIF('RAW DATA'!M:M,'RAW DATA'!B273, 'RAW DATA'!K:K))</f>
        <v/>
      </c>
      <c r="J273" s="29" t="str">
        <f>IF('RAW DATA'!B273&lt;&gt;"",IF(OR('RAW DATA'!H273=1,'RAW DATA'!H273=2),1,IF(ISNUMBER(FIND("Medic",'RAW DATA'!E273)),1,"")),"")</f>
        <v/>
      </c>
      <c r="K273" s="29" t="str">
        <f>IF(AND('RAW DATA'!$B273&lt;&gt;"",'RAW DATA'!L273=1),1,"")</f>
        <v/>
      </c>
      <c r="L273" s="24" t="str">
        <f t="shared" si="9"/>
        <v/>
      </c>
    </row>
    <row r="274" spans="2:12" x14ac:dyDescent="0.25">
      <c r="B274" s="1" t="str">
        <f>IF('RAW DATA'!$C276&lt;&gt;"",'RAW DATA'!$C276,"")</f>
        <v/>
      </c>
      <c r="C274" s="1" t="str">
        <f>IF('RAW DATA'!$D276&lt;&gt;"",'RAW DATA'!$D276,"")</f>
        <v/>
      </c>
      <c r="D274" s="1" t="str">
        <f>IF(AND($B273&lt;&gt;"", $B274=""), "TOTAL:", IF($D273="TOTAL:","VESSEL TARGET "&amp;'RAW DATA'!$E$2&amp;":",IF('RAW DATA'!$E274&lt;&gt;"",'RAW DATA'!$E274,"")))</f>
        <v/>
      </c>
      <c r="E274" s="29" t="str">
        <f t="shared" si="8"/>
        <v/>
      </c>
      <c r="F274" s="4" t="str">
        <f>IF($D273="TOTAL:",FIXED(ROUND(((SUM($F$4:$F272)/'RAW DATA'!$E$2)*100),1),1)&amp;"%",IF($D274="TOTAL:",SUM($F$4:$F273),IF(SUMIF('RAW DATA'!M:M,'RAW DATA'!B274,'RAW DATA'!H:H)=0,"",SUMIF('RAW DATA'!M:M,'RAW DATA'!B274,'RAW DATA'!H:H))))</f>
        <v/>
      </c>
      <c r="G274" s="4" t="str">
        <f>IF($D273="TOTAL:",FIXED(ROUND(((SUM($G$4:$G272)/'RAW DATA'!$E$2)*100),1),1)&amp;"%",IF($D274="TOTAL:",SUM($G$4:$G273),IF(SUMIF('RAW DATA'!M:M,'RAW DATA'!B274,'RAW DATA'!I:I)=0,"",SUMIF('RAW DATA'!M:M,'RAW DATA'!B274,'RAW DATA'!I:I))))</f>
        <v/>
      </c>
      <c r="H274" s="4" t="str">
        <f>IF(SUM(SUMIF('RAW DATA'!M:M,'RAW DATA'!B274,'RAW DATA'!J:J),SUMIF('RAW DATA'!N:N,'RAW DATA'!B274,'RAW DATA'!J:J),SUMIF('RAW DATA'!O:O,'RAW DATA'!B274,'RAW DATA'!J:J),SUMIF('RAW DATA'!P:P,'RAW DATA'!B274,'RAW DATA'!J:J))=0, "", SUM(SUMIF('RAW DATA'!M:M,'RAW DATA'!B274,'RAW DATA'!J:J),SUMIF('RAW DATA'!N:N,'RAW DATA'!B274,'RAW DATA'!J:J),SUMIF('RAW DATA'!O:O,'RAW DATA'!B274,'RAW DATA'!J:J),SUMIF('RAW DATA'!P:P,'RAW DATA'!B274,'RAW DATA'!J:J)))</f>
        <v/>
      </c>
      <c r="I274" s="4" t="str">
        <f>IF(SUMIF('RAW DATA'!M:M,'RAW DATA'!B274, 'RAW DATA'!K:K)=0, "", SUMIF('RAW DATA'!M:M,'RAW DATA'!B274, 'RAW DATA'!K:K))</f>
        <v/>
      </c>
      <c r="J274" s="29" t="str">
        <f>IF('RAW DATA'!B274&lt;&gt;"",IF(OR('RAW DATA'!H274=1,'RAW DATA'!H274=2),1,IF(ISNUMBER(FIND("Medic",'RAW DATA'!E274)),1,"")),"")</f>
        <v/>
      </c>
      <c r="K274" s="29" t="str">
        <f>IF(AND('RAW DATA'!$B274&lt;&gt;"",'RAW DATA'!L274=1),1,"")</f>
        <v/>
      </c>
      <c r="L274" s="24" t="str">
        <f t="shared" si="9"/>
        <v/>
      </c>
    </row>
    <row r="275" spans="2:12" x14ac:dyDescent="0.25">
      <c r="B275" s="1" t="str">
        <f>IF('RAW DATA'!$C277&lt;&gt;"",'RAW DATA'!$C277,"")</f>
        <v/>
      </c>
      <c r="C275" s="1" t="str">
        <f>IF('RAW DATA'!$D277&lt;&gt;"",'RAW DATA'!$D277,"")</f>
        <v/>
      </c>
      <c r="D275" s="1" t="str">
        <f>IF(AND($B274&lt;&gt;"", $B275=""), "TOTAL:", IF($D274="TOTAL:","VESSEL TARGET "&amp;'RAW DATA'!$E$2&amp;":",IF('RAW DATA'!$E275&lt;&gt;"",'RAW DATA'!$E275,"")))</f>
        <v/>
      </c>
      <c r="E275" s="29" t="str">
        <f t="shared" si="8"/>
        <v/>
      </c>
      <c r="F275" s="4" t="str">
        <f>IF($D274="TOTAL:",FIXED(ROUND(((SUM($F$4:$F273)/'RAW DATA'!$E$2)*100),1),1)&amp;"%",IF($D275="TOTAL:",SUM($F$4:$F274),IF(SUMIF('RAW DATA'!M:M,'RAW DATA'!B275,'RAW DATA'!H:H)=0,"",SUMIF('RAW DATA'!M:M,'RAW DATA'!B275,'RAW DATA'!H:H))))</f>
        <v/>
      </c>
      <c r="G275" s="4" t="str">
        <f>IF($D274="TOTAL:",FIXED(ROUND(((SUM($G$4:$G273)/'RAW DATA'!$E$2)*100),1),1)&amp;"%",IF($D275="TOTAL:",SUM($G$4:$G274),IF(SUMIF('RAW DATA'!M:M,'RAW DATA'!B275,'RAW DATA'!I:I)=0,"",SUMIF('RAW DATA'!M:M,'RAW DATA'!B275,'RAW DATA'!I:I))))</f>
        <v/>
      </c>
      <c r="H275" s="4" t="str">
        <f>IF(SUM(SUMIF('RAW DATA'!M:M,'RAW DATA'!B275,'RAW DATA'!J:J),SUMIF('RAW DATA'!N:N,'RAW DATA'!B275,'RAW DATA'!J:J),SUMIF('RAW DATA'!O:O,'RAW DATA'!B275,'RAW DATA'!J:J),SUMIF('RAW DATA'!P:P,'RAW DATA'!B275,'RAW DATA'!J:J))=0, "", SUM(SUMIF('RAW DATA'!M:M,'RAW DATA'!B275,'RAW DATA'!J:J),SUMIF('RAW DATA'!N:N,'RAW DATA'!B275,'RAW DATA'!J:J),SUMIF('RAW DATA'!O:O,'RAW DATA'!B275,'RAW DATA'!J:J),SUMIF('RAW DATA'!P:P,'RAW DATA'!B275,'RAW DATA'!J:J)))</f>
        <v/>
      </c>
      <c r="I275" s="4" t="str">
        <f>IF(SUMIF('RAW DATA'!M:M,'RAW DATA'!B275, 'RAW DATA'!K:K)=0, "", SUMIF('RAW DATA'!M:M,'RAW DATA'!B275, 'RAW DATA'!K:K))</f>
        <v/>
      </c>
      <c r="J275" s="29" t="str">
        <f>IF('RAW DATA'!B275&lt;&gt;"",IF(OR('RAW DATA'!H275=1,'RAW DATA'!H275=2),1,IF(ISNUMBER(FIND("Medic",'RAW DATA'!E275)),1,"")),"")</f>
        <v/>
      </c>
      <c r="K275" s="29" t="str">
        <f>IF(AND('RAW DATA'!$B275&lt;&gt;"",'RAW DATA'!L275=1),1,"")</f>
        <v/>
      </c>
      <c r="L275" s="24" t="str">
        <f t="shared" si="9"/>
        <v/>
      </c>
    </row>
    <row r="276" spans="2:12" x14ac:dyDescent="0.25">
      <c r="B276" s="1" t="str">
        <f>IF('RAW DATA'!$C278&lt;&gt;"",'RAW DATA'!$C278,"")</f>
        <v/>
      </c>
      <c r="C276" s="1" t="str">
        <f>IF('RAW DATA'!$D278&lt;&gt;"",'RAW DATA'!$D278,"")</f>
        <v/>
      </c>
      <c r="D276" s="1" t="str">
        <f>IF(AND($B275&lt;&gt;"", $B276=""), "TOTAL:", IF($D275="TOTAL:","VESSEL TARGET "&amp;'RAW DATA'!$E$2&amp;":",IF('RAW DATA'!$E276&lt;&gt;"",'RAW DATA'!$E276,"")))</f>
        <v/>
      </c>
      <c r="E276" s="29" t="str">
        <f t="shared" si="8"/>
        <v/>
      </c>
      <c r="F276" s="4" t="str">
        <f>IF($D275="TOTAL:",FIXED(ROUND(((SUM($F$4:$F274)/'RAW DATA'!$E$2)*100),1),1)&amp;"%",IF($D276="TOTAL:",SUM($F$4:$F275),IF(SUMIF('RAW DATA'!M:M,'RAW DATA'!B276,'RAW DATA'!H:H)=0,"",SUMIF('RAW DATA'!M:M,'RAW DATA'!B276,'RAW DATA'!H:H))))</f>
        <v/>
      </c>
      <c r="G276" s="4" t="str">
        <f>IF($D275="TOTAL:",FIXED(ROUND(((SUM($G$4:$G274)/'RAW DATA'!$E$2)*100),1),1)&amp;"%",IF($D276="TOTAL:",SUM($G$4:$G275),IF(SUMIF('RAW DATA'!M:M,'RAW DATA'!B276,'RAW DATA'!I:I)=0,"",SUMIF('RAW DATA'!M:M,'RAW DATA'!B276,'RAW DATA'!I:I))))</f>
        <v/>
      </c>
      <c r="H276" s="4" t="str">
        <f>IF(SUM(SUMIF('RAW DATA'!M:M,'RAW DATA'!B276,'RAW DATA'!J:J),SUMIF('RAW DATA'!N:N,'RAW DATA'!B276,'RAW DATA'!J:J),SUMIF('RAW DATA'!O:O,'RAW DATA'!B276,'RAW DATA'!J:J),SUMIF('RAW DATA'!P:P,'RAW DATA'!B276,'RAW DATA'!J:J))=0, "", SUM(SUMIF('RAW DATA'!M:M,'RAW DATA'!B276,'RAW DATA'!J:J),SUMIF('RAW DATA'!N:N,'RAW DATA'!B276,'RAW DATA'!J:J),SUMIF('RAW DATA'!O:O,'RAW DATA'!B276,'RAW DATA'!J:J),SUMIF('RAW DATA'!P:P,'RAW DATA'!B276,'RAW DATA'!J:J)))</f>
        <v/>
      </c>
      <c r="I276" s="4" t="str">
        <f>IF(SUMIF('RAW DATA'!M:M,'RAW DATA'!B276, 'RAW DATA'!K:K)=0, "", SUMIF('RAW DATA'!M:M,'RAW DATA'!B276, 'RAW DATA'!K:K))</f>
        <v/>
      </c>
      <c r="J276" s="29" t="str">
        <f>IF('RAW DATA'!B276&lt;&gt;"",IF(OR('RAW DATA'!H276=1,'RAW DATA'!H276=2),1,IF(ISNUMBER(FIND("Medic",'RAW DATA'!E276)),1,"")),"")</f>
        <v/>
      </c>
      <c r="K276" s="29" t="str">
        <f>IF(AND('RAW DATA'!$B276&lt;&gt;"",'RAW DATA'!L276=1),1,"")</f>
        <v/>
      </c>
      <c r="L276" s="24" t="str">
        <f t="shared" si="9"/>
        <v/>
      </c>
    </row>
    <row r="277" spans="2:12" x14ac:dyDescent="0.25">
      <c r="B277" s="1" t="str">
        <f>IF('RAW DATA'!$C279&lt;&gt;"",'RAW DATA'!$C279,"")</f>
        <v/>
      </c>
      <c r="C277" s="1" t="str">
        <f>IF('RAW DATA'!$D279&lt;&gt;"",'RAW DATA'!$D279,"")</f>
        <v/>
      </c>
      <c r="D277" s="1" t="str">
        <f>IF(AND($B276&lt;&gt;"", $B277=""), "TOTAL:", IF($D276="TOTAL:","VESSEL TARGET "&amp;'RAW DATA'!$E$2&amp;":",IF('RAW DATA'!$E277&lt;&gt;"",'RAW DATA'!$E277,"")))</f>
        <v/>
      </c>
      <c r="E277" s="29" t="str">
        <f t="shared" si="8"/>
        <v/>
      </c>
      <c r="F277" s="4" t="str">
        <f>IF($D276="TOTAL:",FIXED(ROUND(((SUM($F$4:$F275)/'RAW DATA'!$E$2)*100),1),1)&amp;"%",IF($D277="TOTAL:",SUM($F$4:$F276),IF(SUMIF('RAW DATA'!M:M,'RAW DATA'!B277,'RAW DATA'!H:H)=0,"",SUMIF('RAW DATA'!M:M,'RAW DATA'!B277,'RAW DATA'!H:H))))</f>
        <v/>
      </c>
      <c r="G277" s="4" t="str">
        <f>IF($D276="TOTAL:",FIXED(ROUND(((SUM($G$4:$G275)/'RAW DATA'!$E$2)*100),1),1)&amp;"%",IF($D277="TOTAL:",SUM($G$4:$G276),IF(SUMIF('RAW DATA'!M:M,'RAW DATA'!B277,'RAW DATA'!I:I)=0,"",SUMIF('RAW DATA'!M:M,'RAW DATA'!B277,'RAW DATA'!I:I))))</f>
        <v/>
      </c>
      <c r="H277" s="4" t="str">
        <f>IF(SUM(SUMIF('RAW DATA'!M:M,'RAW DATA'!B277,'RAW DATA'!J:J),SUMIF('RAW DATA'!N:N,'RAW DATA'!B277,'RAW DATA'!J:J),SUMIF('RAW DATA'!O:O,'RAW DATA'!B277,'RAW DATA'!J:J),SUMIF('RAW DATA'!P:P,'RAW DATA'!B277,'RAW DATA'!J:J))=0, "", SUM(SUMIF('RAW DATA'!M:M,'RAW DATA'!B277,'RAW DATA'!J:J),SUMIF('RAW DATA'!N:N,'RAW DATA'!B277,'RAW DATA'!J:J),SUMIF('RAW DATA'!O:O,'RAW DATA'!B277,'RAW DATA'!J:J),SUMIF('RAW DATA'!P:P,'RAW DATA'!B277,'RAW DATA'!J:J)))</f>
        <v/>
      </c>
      <c r="I277" s="4" t="str">
        <f>IF(SUMIF('RAW DATA'!M:M,'RAW DATA'!B277, 'RAW DATA'!K:K)=0, "", SUMIF('RAW DATA'!M:M,'RAW DATA'!B277, 'RAW DATA'!K:K))</f>
        <v/>
      </c>
      <c r="J277" s="29" t="str">
        <f>IF('RAW DATA'!B277&lt;&gt;"",IF(OR('RAW DATA'!H277=1,'RAW DATA'!H277=2),1,IF(ISNUMBER(FIND("Medic",'RAW DATA'!E277)),1,"")),"")</f>
        <v/>
      </c>
      <c r="K277" s="29" t="str">
        <f>IF(AND('RAW DATA'!$B277&lt;&gt;"",'RAW DATA'!L277=1),1,"")</f>
        <v/>
      </c>
      <c r="L277" s="24" t="str">
        <f t="shared" si="9"/>
        <v/>
      </c>
    </row>
    <row r="278" spans="2:12" x14ac:dyDescent="0.25">
      <c r="B278" s="1" t="str">
        <f>IF('RAW DATA'!$C280&lt;&gt;"",'RAW DATA'!$C280,"")</f>
        <v/>
      </c>
      <c r="C278" s="1" t="str">
        <f>IF('RAW DATA'!$D280&lt;&gt;"",'RAW DATA'!$D280,"")</f>
        <v/>
      </c>
      <c r="D278" s="1" t="str">
        <f>IF(AND($B277&lt;&gt;"", $B278=""), "TOTAL:", IF($D277="TOTAL:","VESSEL TARGET "&amp;'RAW DATA'!$E$2&amp;":",IF('RAW DATA'!$E278&lt;&gt;"",'RAW DATA'!$E278,"")))</f>
        <v/>
      </c>
      <c r="E278" s="29" t="str">
        <f t="shared" si="8"/>
        <v/>
      </c>
      <c r="F278" s="4" t="str">
        <f>IF($D277="TOTAL:",FIXED(ROUND(((SUM($F$4:$F276)/'RAW DATA'!$E$2)*100),1),1)&amp;"%",IF($D278="TOTAL:",SUM($F$4:$F277),IF(SUMIF('RAW DATA'!M:M,'RAW DATA'!B278,'RAW DATA'!H:H)=0,"",SUMIF('RAW DATA'!M:M,'RAW DATA'!B278,'RAW DATA'!H:H))))</f>
        <v/>
      </c>
      <c r="G278" s="4" t="str">
        <f>IF($D277="TOTAL:",FIXED(ROUND(((SUM($G$4:$G276)/'RAW DATA'!$E$2)*100),1),1)&amp;"%",IF($D278="TOTAL:",SUM($G$4:$G277),IF(SUMIF('RAW DATA'!M:M,'RAW DATA'!B278,'RAW DATA'!I:I)=0,"",SUMIF('RAW DATA'!M:M,'RAW DATA'!B278,'RAW DATA'!I:I))))</f>
        <v/>
      </c>
      <c r="H278" s="4" t="str">
        <f>IF(SUM(SUMIF('RAW DATA'!M:M,'RAW DATA'!B278,'RAW DATA'!J:J),SUMIF('RAW DATA'!N:N,'RAW DATA'!B278,'RAW DATA'!J:J),SUMIF('RAW DATA'!O:O,'RAW DATA'!B278,'RAW DATA'!J:J),SUMIF('RAW DATA'!P:P,'RAW DATA'!B278,'RAW DATA'!J:J))=0, "", SUM(SUMIF('RAW DATA'!M:M,'RAW DATA'!B278,'RAW DATA'!J:J),SUMIF('RAW DATA'!N:N,'RAW DATA'!B278,'RAW DATA'!J:J),SUMIF('RAW DATA'!O:O,'RAW DATA'!B278,'RAW DATA'!J:J),SUMIF('RAW DATA'!P:P,'RAW DATA'!B278,'RAW DATA'!J:J)))</f>
        <v/>
      </c>
      <c r="I278" s="4" t="str">
        <f>IF(SUMIF('RAW DATA'!M:M,'RAW DATA'!B278, 'RAW DATA'!K:K)=0, "", SUMIF('RAW DATA'!M:M,'RAW DATA'!B278, 'RAW DATA'!K:K))</f>
        <v/>
      </c>
      <c r="J278" s="29" t="str">
        <f>IF('RAW DATA'!B278&lt;&gt;"",IF(OR('RAW DATA'!H278=1,'RAW DATA'!H278=2),1,IF(ISNUMBER(FIND("Medic",'RAW DATA'!E278)),1,"")),"")</f>
        <v/>
      </c>
      <c r="K278" s="29" t="str">
        <f>IF(AND('RAW DATA'!$B278&lt;&gt;"",'RAW DATA'!L278=1),1,"")</f>
        <v/>
      </c>
      <c r="L278" s="24" t="str">
        <f t="shared" si="9"/>
        <v/>
      </c>
    </row>
    <row r="279" spans="2:12" x14ac:dyDescent="0.25">
      <c r="B279" s="1" t="str">
        <f>IF('RAW DATA'!$C281&lt;&gt;"",'RAW DATA'!$C281,"")</f>
        <v/>
      </c>
      <c r="C279" s="1" t="str">
        <f>IF('RAW DATA'!$D281&lt;&gt;"",'RAW DATA'!$D281,"")</f>
        <v/>
      </c>
      <c r="D279" s="1" t="str">
        <f>IF(AND($B278&lt;&gt;"", $B279=""), "TOTAL:", IF($D278="TOTAL:","VESSEL TARGET "&amp;'RAW DATA'!$E$2&amp;":",IF('RAW DATA'!$E279&lt;&gt;"",'RAW DATA'!$E279,"")))</f>
        <v/>
      </c>
      <c r="E279" s="29" t="str">
        <f t="shared" si="8"/>
        <v/>
      </c>
      <c r="F279" s="4" t="str">
        <f>IF($D278="TOTAL:",FIXED(ROUND(((SUM($F$4:$F277)/'RAW DATA'!$E$2)*100),1),1)&amp;"%",IF($D279="TOTAL:",SUM($F$4:$F278),IF(SUMIF('RAW DATA'!M:M,'RAW DATA'!B279,'RAW DATA'!H:H)=0,"",SUMIF('RAW DATA'!M:M,'RAW DATA'!B279,'RAW DATA'!H:H))))</f>
        <v/>
      </c>
      <c r="G279" s="4" t="str">
        <f>IF($D278="TOTAL:",FIXED(ROUND(((SUM($G$4:$G277)/'RAW DATA'!$E$2)*100),1),1)&amp;"%",IF($D279="TOTAL:",SUM($G$4:$G278),IF(SUMIF('RAW DATA'!M:M,'RAW DATA'!B279,'RAW DATA'!I:I)=0,"",SUMIF('RAW DATA'!M:M,'RAW DATA'!B279,'RAW DATA'!I:I))))</f>
        <v/>
      </c>
      <c r="H279" s="4" t="str">
        <f>IF(SUM(SUMIF('RAW DATA'!M:M,'RAW DATA'!B279,'RAW DATA'!J:J),SUMIF('RAW DATA'!N:N,'RAW DATA'!B279,'RAW DATA'!J:J),SUMIF('RAW DATA'!O:O,'RAW DATA'!B279,'RAW DATA'!J:J),SUMIF('RAW DATA'!P:P,'RAW DATA'!B279,'RAW DATA'!J:J))=0, "", SUM(SUMIF('RAW DATA'!M:M,'RAW DATA'!B279,'RAW DATA'!J:J),SUMIF('RAW DATA'!N:N,'RAW DATA'!B279,'RAW DATA'!J:J),SUMIF('RAW DATA'!O:O,'RAW DATA'!B279,'RAW DATA'!J:J),SUMIF('RAW DATA'!P:P,'RAW DATA'!B279,'RAW DATA'!J:J)))</f>
        <v/>
      </c>
      <c r="I279" s="4" t="str">
        <f>IF(SUMIF('RAW DATA'!M:M,'RAW DATA'!B279, 'RAW DATA'!K:K)=0, "", SUMIF('RAW DATA'!M:M,'RAW DATA'!B279, 'RAW DATA'!K:K))</f>
        <v/>
      </c>
      <c r="J279" s="29" t="str">
        <f>IF('RAW DATA'!B279&lt;&gt;"",IF(OR('RAW DATA'!H279=1,'RAW DATA'!H279=2),1,IF(ISNUMBER(FIND("Medic",'RAW DATA'!E279)),1,"")),"")</f>
        <v/>
      </c>
      <c r="K279" s="29" t="str">
        <f>IF(AND('RAW DATA'!$B279&lt;&gt;"",'RAW DATA'!L279=1),1,"")</f>
        <v/>
      </c>
      <c r="L279" s="24" t="str">
        <f t="shared" si="9"/>
        <v/>
      </c>
    </row>
    <row r="280" spans="2:12" x14ac:dyDescent="0.25">
      <c r="B280" s="1" t="str">
        <f>IF('RAW DATA'!$C282&lt;&gt;"",'RAW DATA'!$C282,"")</f>
        <v/>
      </c>
      <c r="C280" s="1" t="str">
        <f>IF('RAW DATA'!$D282&lt;&gt;"",'RAW DATA'!$D282,"")</f>
        <v/>
      </c>
      <c r="D280" s="1" t="str">
        <f>IF(AND($B279&lt;&gt;"", $B280=""), "TOTAL:", IF($D279="TOTAL:","VESSEL TARGET "&amp;'RAW DATA'!$E$2&amp;":",IF('RAW DATA'!$E280&lt;&gt;"",'RAW DATA'!$E280,"")))</f>
        <v/>
      </c>
      <c r="E280" s="29" t="str">
        <f t="shared" si="8"/>
        <v/>
      </c>
      <c r="F280" s="4" t="str">
        <f>IF($D279="TOTAL:",FIXED(ROUND(((SUM($F$4:$F278)/'RAW DATA'!$E$2)*100),1),1)&amp;"%",IF($D280="TOTAL:",SUM($F$4:$F279),IF(SUMIF('RAW DATA'!M:M,'RAW DATA'!B280,'RAW DATA'!H:H)=0,"",SUMIF('RAW DATA'!M:M,'RAW DATA'!B280,'RAW DATA'!H:H))))</f>
        <v/>
      </c>
      <c r="G280" s="4" t="str">
        <f>IF($D279="TOTAL:",FIXED(ROUND(((SUM($G$4:$G278)/'RAW DATA'!$E$2)*100),1),1)&amp;"%",IF($D280="TOTAL:",SUM($G$4:$G279),IF(SUMIF('RAW DATA'!M:M,'RAW DATA'!B280,'RAW DATA'!I:I)=0,"",SUMIF('RAW DATA'!M:M,'RAW DATA'!B280,'RAW DATA'!I:I))))</f>
        <v/>
      </c>
      <c r="H280" s="4" t="str">
        <f>IF(SUM(SUMIF('RAW DATA'!M:M,'RAW DATA'!B280,'RAW DATA'!J:J),SUMIF('RAW DATA'!N:N,'RAW DATA'!B280,'RAW DATA'!J:J),SUMIF('RAW DATA'!O:O,'RAW DATA'!B280,'RAW DATA'!J:J),SUMIF('RAW DATA'!P:P,'RAW DATA'!B280,'RAW DATA'!J:J))=0, "", SUM(SUMIF('RAW DATA'!M:M,'RAW DATA'!B280,'RAW DATA'!J:J),SUMIF('RAW DATA'!N:N,'RAW DATA'!B280,'RAW DATA'!J:J),SUMIF('RAW DATA'!O:O,'RAW DATA'!B280,'RAW DATA'!J:J),SUMIF('RAW DATA'!P:P,'RAW DATA'!B280,'RAW DATA'!J:J)))</f>
        <v/>
      </c>
      <c r="I280" s="4" t="str">
        <f>IF(SUMIF('RAW DATA'!M:M,'RAW DATA'!B280, 'RAW DATA'!K:K)=0, "", SUMIF('RAW DATA'!M:M,'RAW DATA'!B280, 'RAW DATA'!K:K))</f>
        <v/>
      </c>
      <c r="J280" s="29" t="str">
        <f>IF('RAW DATA'!B280&lt;&gt;"",IF(OR('RAW DATA'!H280=1,'RAW DATA'!H280=2),1,IF(ISNUMBER(FIND("Medic",'RAW DATA'!E280)),1,"")),"")</f>
        <v/>
      </c>
      <c r="K280" s="29" t="str">
        <f>IF(AND('RAW DATA'!$B280&lt;&gt;"",'RAW DATA'!L280=1),1,"")</f>
        <v/>
      </c>
      <c r="L280" s="24" t="str">
        <f t="shared" si="9"/>
        <v/>
      </c>
    </row>
    <row r="281" spans="2:12" x14ac:dyDescent="0.25">
      <c r="B281" s="1" t="str">
        <f>IF('RAW DATA'!$C283&lt;&gt;"",'RAW DATA'!$C283,"")</f>
        <v/>
      </c>
      <c r="C281" s="1" t="str">
        <f>IF('RAW DATA'!$D283&lt;&gt;"",'RAW DATA'!$D283,"")</f>
        <v/>
      </c>
      <c r="D281" s="1" t="str">
        <f>IF(AND($B280&lt;&gt;"", $B281=""), "TOTAL:", IF($D280="TOTAL:","VESSEL TARGET "&amp;'RAW DATA'!$E$2&amp;":",IF('RAW DATA'!$E281&lt;&gt;"",'RAW DATA'!$E281,"")))</f>
        <v/>
      </c>
      <c r="E281" s="29" t="str">
        <f t="shared" si="8"/>
        <v/>
      </c>
      <c r="F281" s="4" t="str">
        <f>IF($D280="TOTAL:",FIXED(ROUND(((SUM($F$4:$F279)/'RAW DATA'!$E$2)*100),1),1)&amp;"%",IF($D281="TOTAL:",SUM($F$4:$F280),IF(SUMIF('RAW DATA'!M:M,'RAW DATA'!B281,'RAW DATA'!H:H)=0,"",SUMIF('RAW DATA'!M:M,'RAW DATA'!B281,'RAW DATA'!H:H))))</f>
        <v/>
      </c>
      <c r="G281" s="4" t="str">
        <f>IF($D280="TOTAL:",FIXED(ROUND(((SUM($G$4:$G279)/'RAW DATA'!$E$2)*100),1),1)&amp;"%",IF($D281="TOTAL:",SUM($G$4:$G280),IF(SUMIF('RAW DATA'!M:M,'RAW DATA'!B281,'RAW DATA'!I:I)=0,"",SUMIF('RAW DATA'!M:M,'RAW DATA'!B281,'RAW DATA'!I:I))))</f>
        <v/>
      </c>
      <c r="H281" s="4" t="str">
        <f>IF(SUM(SUMIF('RAW DATA'!M:M,'RAW DATA'!B281,'RAW DATA'!J:J),SUMIF('RAW DATA'!N:N,'RAW DATA'!B281,'RAW DATA'!J:J),SUMIF('RAW DATA'!O:O,'RAW DATA'!B281,'RAW DATA'!J:J),SUMIF('RAW DATA'!P:P,'RAW DATA'!B281,'RAW DATA'!J:J))=0, "", SUM(SUMIF('RAW DATA'!M:M,'RAW DATA'!B281,'RAW DATA'!J:J),SUMIF('RAW DATA'!N:N,'RAW DATA'!B281,'RAW DATA'!J:J),SUMIF('RAW DATA'!O:O,'RAW DATA'!B281,'RAW DATA'!J:J),SUMIF('RAW DATA'!P:P,'RAW DATA'!B281,'RAW DATA'!J:J)))</f>
        <v/>
      </c>
      <c r="I281" s="4" t="str">
        <f>IF(SUMIF('RAW DATA'!M:M,'RAW DATA'!B281, 'RAW DATA'!K:K)=0, "", SUMIF('RAW DATA'!M:M,'RAW DATA'!B281, 'RAW DATA'!K:K))</f>
        <v/>
      </c>
      <c r="J281" s="29" t="str">
        <f>IF('RAW DATA'!B281&lt;&gt;"",IF(OR('RAW DATA'!H281=1,'RAW DATA'!H281=2),1,IF(ISNUMBER(FIND("Medic",'RAW DATA'!E281)),1,"")),"")</f>
        <v/>
      </c>
      <c r="K281" s="29" t="str">
        <f>IF(AND('RAW DATA'!$B281&lt;&gt;"",'RAW DATA'!L281=1),1,"")</f>
        <v/>
      </c>
      <c r="L281" s="24" t="str">
        <f t="shared" si="9"/>
        <v/>
      </c>
    </row>
    <row r="282" spans="2:12" x14ac:dyDescent="0.25">
      <c r="B282" s="1" t="str">
        <f>IF('RAW DATA'!$C284&lt;&gt;"",'RAW DATA'!$C284,"")</f>
        <v/>
      </c>
      <c r="C282" s="1" t="str">
        <f>IF('RAW DATA'!$D284&lt;&gt;"",'RAW DATA'!$D284,"")</f>
        <v/>
      </c>
      <c r="D282" s="1" t="str">
        <f>IF(AND($B281&lt;&gt;"", $B282=""), "TOTAL:", IF($D281="TOTAL:","VESSEL TARGET "&amp;'RAW DATA'!$E$2&amp;":",IF('RAW DATA'!$E282&lt;&gt;"",'RAW DATA'!$E282,"")))</f>
        <v/>
      </c>
      <c r="E282" s="29" t="str">
        <f t="shared" si="8"/>
        <v/>
      </c>
      <c r="F282" s="4" t="str">
        <f>IF($D281="TOTAL:",FIXED(ROUND(((SUM($F$4:$F280)/'RAW DATA'!$E$2)*100),1),1)&amp;"%",IF($D282="TOTAL:",SUM($F$4:$F281),IF(SUMIF('RAW DATA'!M:M,'RAW DATA'!B282,'RAW DATA'!H:H)=0,"",SUMIF('RAW DATA'!M:M,'RAW DATA'!B282,'RAW DATA'!H:H))))</f>
        <v/>
      </c>
      <c r="G282" s="4" t="str">
        <f>IF($D281="TOTAL:",FIXED(ROUND(((SUM($G$4:$G280)/'RAW DATA'!$E$2)*100),1),1)&amp;"%",IF($D282="TOTAL:",SUM($G$4:$G281),IF(SUMIF('RAW DATA'!M:M,'RAW DATA'!B282,'RAW DATA'!I:I)=0,"",SUMIF('RAW DATA'!M:M,'RAW DATA'!B282,'RAW DATA'!I:I))))</f>
        <v/>
      </c>
      <c r="H282" s="4" t="str">
        <f>IF(SUM(SUMIF('RAW DATA'!M:M,'RAW DATA'!B282,'RAW DATA'!J:J),SUMIF('RAW DATA'!N:N,'RAW DATA'!B282,'RAW DATA'!J:J),SUMIF('RAW DATA'!O:O,'RAW DATA'!B282,'RAW DATA'!J:J),SUMIF('RAW DATA'!P:P,'RAW DATA'!B282,'RAW DATA'!J:J))=0, "", SUM(SUMIF('RAW DATA'!M:M,'RAW DATA'!B282,'RAW DATA'!J:J),SUMIF('RAW DATA'!N:N,'RAW DATA'!B282,'RAW DATA'!J:J),SUMIF('RAW DATA'!O:O,'RAW DATA'!B282,'RAW DATA'!J:J),SUMIF('RAW DATA'!P:P,'RAW DATA'!B282,'RAW DATA'!J:J)))</f>
        <v/>
      </c>
      <c r="I282" s="4" t="str">
        <f>IF(SUMIF('RAW DATA'!M:M,'RAW DATA'!B282, 'RAW DATA'!K:K)=0, "", SUMIF('RAW DATA'!M:M,'RAW DATA'!B282, 'RAW DATA'!K:K))</f>
        <v/>
      </c>
      <c r="J282" s="29" t="str">
        <f>IF('RAW DATA'!B282&lt;&gt;"",IF(OR('RAW DATA'!H282=1,'RAW DATA'!H282=2),1,IF(ISNUMBER(FIND("Medic",'RAW DATA'!E282)),1,"")),"")</f>
        <v/>
      </c>
      <c r="K282" s="29" t="str">
        <f>IF(AND('RAW DATA'!$B282&lt;&gt;"",'RAW DATA'!L282=1),1,"")</f>
        <v/>
      </c>
      <c r="L282" s="24" t="str">
        <f t="shared" si="9"/>
        <v/>
      </c>
    </row>
    <row r="283" spans="2:12" x14ac:dyDescent="0.25">
      <c r="B283" s="1" t="str">
        <f>IF('RAW DATA'!$C285&lt;&gt;"",'RAW DATA'!$C285,"")</f>
        <v/>
      </c>
      <c r="C283" s="1" t="str">
        <f>IF('RAW DATA'!$D285&lt;&gt;"",'RAW DATA'!$D285,"")</f>
        <v/>
      </c>
      <c r="D283" s="1" t="str">
        <f>IF(AND($B282&lt;&gt;"", $B283=""), "TOTAL:", IF($D282="TOTAL:","VESSEL TARGET "&amp;'RAW DATA'!$E$2&amp;":",IF('RAW DATA'!$E283&lt;&gt;"",'RAW DATA'!$E283,"")))</f>
        <v/>
      </c>
      <c r="E283" s="29" t="str">
        <f t="shared" si="8"/>
        <v/>
      </c>
      <c r="F283" s="4" t="str">
        <f>IF($D282="TOTAL:",FIXED(ROUND(((SUM($F$4:$F281)/'RAW DATA'!$E$2)*100),1),1)&amp;"%",IF($D283="TOTAL:",SUM($F$4:$F282),IF(SUMIF('RAW DATA'!M:M,'RAW DATA'!B283,'RAW DATA'!H:H)=0,"",SUMIF('RAW DATA'!M:M,'RAW DATA'!B283,'RAW DATA'!H:H))))</f>
        <v/>
      </c>
      <c r="G283" s="4" t="str">
        <f>IF($D282="TOTAL:",FIXED(ROUND(((SUM($G$4:$G281)/'RAW DATA'!$E$2)*100),1),1)&amp;"%",IF($D283="TOTAL:",SUM($G$4:$G282),IF(SUMIF('RAW DATA'!M:M,'RAW DATA'!B283,'RAW DATA'!I:I)=0,"",SUMIF('RAW DATA'!M:M,'RAW DATA'!B283,'RAW DATA'!I:I))))</f>
        <v/>
      </c>
      <c r="H283" s="4" t="str">
        <f>IF(SUM(SUMIF('RAW DATA'!M:M,'RAW DATA'!B283,'RAW DATA'!J:J),SUMIF('RAW DATA'!N:N,'RAW DATA'!B283,'RAW DATA'!J:J),SUMIF('RAW DATA'!O:O,'RAW DATA'!B283,'RAW DATA'!J:J),SUMIF('RAW DATA'!P:P,'RAW DATA'!B283,'RAW DATA'!J:J))=0, "", SUM(SUMIF('RAW DATA'!M:M,'RAW DATA'!B283,'RAW DATA'!J:J),SUMIF('RAW DATA'!N:N,'RAW DATA'!B283,'RAW DATA'!J:J),SUMIF('RAW DATA'!O:O,'RAW DATA'!B283,'RAW DATA'!J:J),SUMIF('RAW DATA'!P:P,'RAW DATA'!B283,'RAW DATA'!J:J)))</f>
        <v/>
      </c>
      <c r="I283" s="4" t="str">
        <f>IF(SUMIF('RAW DATA'!M:M,'RAW DATA'!B283, 'RAW DATA'!K:K)=0, "", SUMIF('RAW DATA'!M:M,'RAW DATA'!B283, 'RAW DATA'!K:K))</f>
        <v/>
      </c>
      <c r="J283" s="29" t="str">
        <f>IF('RAW DATA'!B283&lt;&gt;"",IF(OR('RAW DATA'!H283=1,'RAW DATA'!H283=2),1,IF(ISNUMBER(FIND("Medic",'RAW DATA'!E283)),1,"")),"")</f>
        <v/>
      </c>
      <c r="K283" s="29" t="str">
        <f>IF(AND('RAW DATA'!$B283&lt;&gt;"",'RAW DATA'!L283=1),1,"")</f>
        <v/>
      </c>
      <c r="L283" s="24" t="str">
        <f t="shared" si="9"/>
        <v/>
      </c>
    </row>
    <row r="284" spans="2:12" x14ac:dyDescent="0.25">
      <c r="B284" s="1" t="str">
        <f>IF('RAW DATA'!$C286&lt;&gt;"",'RAW DATA'!$C286,"")</f>
        <v/>
      </c>
      <c r="C284" s="1" t="str">
        <f>IF('RAW DATA'!$D286&lt;&gt;"",'RAW DATA'!$D286,"")</f>
        <v/>
      </c>
      <c r="D284" s="1" t="str">
        <f>IF(AND($B283&lt;&gt;"", $B284=""), "TOTAL:", IF($D283="TOTAL:","VESSEL TARGET "&amp;'RAW DATA'!$E$2&amp;":",IF('RAW DATA'!$E284&lt;&gt;"",'RAW DATA'!$E284,"")))</f>
        <v/>
      </c>
      <c r="E284" s="29" t="str">
        <f t="shared" si="8"/>
        <v/>
      </c>
      <c r="F284" s="4" t="str">
        <f>IF($D283="TOTAL:",FIXED(ROUND(((SUM($F$4:$F282)/'RAW DATA'!$E$2)*100),1),1)&amp;"%",IF($D284="TOTAL:",SUM($F$4:$F283),IF(SUMIF('RAW DATA'!M:M,'RAW DATA'!B284,'RAW DATA'!H:H)=0,"",SUMIF('RAW DATA'!M:M,'RAW DATA'!B284,'RAW DATA'!H:H))))</f>
        <v/>
      </c>
      <c r="G284" s="4" t="str">
        <f>IF($D283="TOTAL:",FIXED(ROUND(((SUM($G$4:$G282)/'RAW DATA'!$E$2)*100),1),1)&amp;"%",IF($D284="TOTAL:",SUM($G$4:$G283),IF(SUMIF('RAW DATA'!M:M,'RAW DATA'!B284,'RAW DATA'!I:I)=0,"",SUMIF('RAW DATA'!M:M,'RAW DATA'!B284,'RAW DATA'!I:I))))</f>
        <v/>
      </c>
      <c r="H284" s="4" t="str">
        <f>IF(SUM(SUMIF('RAW DATA'!M:M,'RAW DATA'!B284,'RAW DATA'!J:J),SUMIF('RAW DATA'!N:N,'RAW DATA'!B284,'RAW DATA'!J:J),SUMIF('RAW DATA'!O:O,'RAW DATA'!B284,'RAW DATA'!J:J),SUMIF('RAW DATA'!P:P,'RAW DATA'!B284,'RAW DATA'!J:J))=0, "", SUM(SUMIF('RAW DATA'!M:M,'RAW DATA'!B284,'RAW DATA'!J:J),SUMIF('RAW DATA'!N:N,'RAW DATA'!B284,'RAW DATA'!J:J),SUMIF('RAW DATA'!O:O,'RAW DATA'!B284,'RAW DATA'!J:J),SUMIF('RAW DATA'!P:P,'RAW DATA'!B284,'RAW DATA'!J:J)))</f>
        <v/>
      </c>
      <c r="I284" s="4" t="str">
        <f>IF(SUMIF('RAW DATA'!M:M,'RAW DATA'!B284, 'RAW DATA'!K:K)=0, "", SUMIF('RAW DATA'!M:M,'RAW DATA'!B284, 'RAW DATA'!K:K))</f>
        <v/>
      </c>
      <c r="J284" s="29" t="str">
        <f>IF('RAW DATA'!B284&lt;&gt;"",IF(OR('RAW DATA'!H284=1,'RAW DATA'!H284=2),1,IF(ISNUMBER(FIND("Medic",'RAW DATA'!E284)),1,"")),"")</f>
        <v/>
      </c>
      <c r="K284" s="29" t="str">
        <f>IF(AND('RAW DATA'!$B284&lt;&gt;"",'RAW DATA'!L284=1),1,"")</f>
        <v/>
      </c>
      <c r="L284" s="24" t="str">
        <f t="shared" si="9"/>
        <v/>
      </c>
    </row>
    <row r="285" spans="2:12" x14ac:dyDescent="0.25">
      <c r="B285" s="1" t="str">
        <f>IF('RAW DATA'!$C287&lt;&gt;"",'RAW DATA'!$C287,"")</f>
        <v/>
      </c>
      <c r="C285" s="1" t="str">
        <f>IF('RAW DATA'!$D287&lt;&gt;"",'RAW DATA'!$D287,"")</f>
        <v/>
      </c>
      <c r="D285" s="1" t="str">
        <f>IF(AND($B284&lt;&gt;"", $B285=""), "TOTAL:", IF($D284="TOTAL:","VESSEL TARGET "&amp;'RAW DATA'!$E$2&amp;":",IF('RAW DATA'!$E285&lt;&gt;"",'RAW DATA'!$E285,"")))</f>
        <v/>
      </c>
      <c r="E285" s="29" t="str">
        <f t="shared" si="8"/>
        <v/>
      </c>
      <c r="F285" s="4" t="str">
        <f>IF($D284="TOTAL:",FIXED(ROUND(((SUM($F$4:$F283)/'RAW DATA'!$E$2)*100),1),1)&amp;"%",IF($D285="TOTAL:",SUM($F$4:$F284),IF(SUMIF('RAW DATA'!M:M,'RAW DATA'!B285,'RAW DATA'!H:H)=0,"",SUMIF('RAW DATA'!M:M,'RAW DATA'!B285,'RAW DATA'!H:H))))</f>
        <v/>
      </c>
      <c r="G285" s="4" t="str">
        <f>IF($D284="TOTAL:",FIXED(ROUND(((SUM($G$4:$G283)/'RAW DATA'!$E$2)*100),1),1)&amp;"%",IF($D285="TOTAL:",SUM($G$4:$G284),IF(SUMIF('RAW DATA'!M:M,'RAW DATA'!B285,'RAW DATA'!I:I)=0,"",SUMIF('RAW DATA'!M:M,'RAW DATA'!B285,'RAW DATA'!I:I))))</f>
        <v/>
      </c>
      <c r="H285" s="4" t="str">
        <f>IF(SUM(SUMIF('RAW DATA'!M:M,'RAW DATA'!B285,'RAW DATA'!J:J),SUMIF('RAW DATA'!N:N,'RAW DATA'!B285,'RAW DATA'!J:J),SUMIF('RAW DATA'!O:O,'RAW DATA'!B285,'RAW DATA'!J:J),SUMIF('RAW DATA'!P:P,'RAW DATA'!B285,'RAW DATA'!J:J))=0, "", SUM(SUMIF('RAW DATA'!M:M,'RAW DATA'!B285,'RAW DATA'!J:J),SUMIF('RAW DATA'!N:N,'RAW DATA'!B285,'RAW DATA'!J:J),SUMIF('RAW DATA'!O:O,'RAW DATA'!B285,'RAW DATA'!J:J),SUMIF('RAW DATA'!P:P,'RAW DATA'!B285,'RAW DATA'!J:J)))</f>
        <v/>
      </c>
      <c r="I285" s="4" t="str">
        <f>IF(SUMIF('RAW DATA'!M:M,'RAW DATA'!B285, 'RAW DATA'!K:K)=0, "", SUMIF('RAW DATA'!M:M,'RAW DATA'!B285, 'RAW DATA'!K:K))</f>
        <v/>
      </c>
      <c r="J285" s="29" t="str">
        <f>IF('RAW DATA'!B285&lt;&gt;"",IF(OR('RAW DATA'!H285=1,'RAW DATA'!H285=2),1,IF(ISNUMBER(FIND("Medic",'RAW DATA'!E285)),1,"")),"")</f>
        <v/>
      </c>
      <c r="K285" s="29" t="str">
        <f>IF(AND('RAW DATA'!$B285&lt;&gt;"",'RAW DATA'!L285=1),1,"")</f>
        <v/>
      </c>
      <c r="L285" s="24" t="str">
        <f t="shared" si="9"/>
        <v/>
      </c>
    </row>
    <row r="286" spans="2:12" x14ac:dyDescent="0.25">
      <c r="B286" s="1" t="str">
        <f>IF('RAW DATA'!$C288&lt;&gt;"",'RAW DATA'!$C288,"")</f>
        <v/>
      </c>
      <c r="C286" s="1" t="str">
        <f>IF('RAW DATA'!$D288&lt;&gt;"",'RAW DATA'!$D288,"")</f>
        <v/>
      </c>
      <c r="D286" s="1" t="str">
        <f>IF(AND($B285&lt;&gt;"", $B286=""), "TOTAL:", IF($D285="TOTAL:","VESSEL TARGET "&amp;'RAW DATA'!$E$2&amp;":",IF('RAW DATA'!$E286&lt;&gt;"",'RAW DATA'!$E286,"")))</f>
        <v/>
      </c>
      <c r="E286" s="29" t="str">
        <f t="shared" si="8"/>
        <v/>
      </c>
      <c r="F286" s="4" t="str">
        <f>IF($D285="TOTAL:",FIXED(ROUND(((SUM($F$4:$F284)/'RAW DATA'!$E$2)*100),1),1)&amp;"%",IF($D286="TOTAL:",SUM($F$4:$F285),IF(SUMIF('RAW DATA'!M:M,'RAW DATA'!B286,'RAW DATA'!H:H)=0,"",SUMIF('RAW DATA'!M:M,'RAW DATA'!B286,'RAW DATA'!H:H))))</f>
        <v/>
      </c>
      <c r="G286" s="4" t="str">
        <f>IF($D285="TOTAL:",FIXED(ROUND(((SUM($G$4:$G284)/'RAW DATA'!$E$2)*100),1),1)&amp;"%",IF($D286="TOTAL:",SUM($G$4:$G285),IF(SUMIF('RAW DATA'!M:M,'RAW DATA'!B286,'RAW DATA'!I:I)=0,"",SUMIF('RAW DATA'!M:M,'RAW DATA'!B286,'RAW DATA'!I:I))))</f>
        <v/>
      </c>
      <c r="H286" s="4" t="str">
        <f>IF(SUM(SUMIF('RAW DATA'!M:M,'RAW DATA'!B286,'RAW DATA'!J:J),SUMIF('RAW DATA'!N:N,'RAW DATA'!B286,'RAW DATA'!J:J),SUMIF('RAW DATA'!O:O,'RAW DATA'!B286,'RAW DATA'!J:J),SUMIF('RAW DATA'!P:P,'RAW DATA'!B286,'RAW DATA'!J:J))=0, "", SUM(SUMIF('RAW DATA'!M:M,'RAW DATA'!B286,'RAW DATA'!J:J),SUMIF('RAW DATA'!N:N,'RAW DATA'!B286,'RAW DATA'!J:J),SUMIF('RAW DATA'!O:O,'RAW DATA'!B286,'RAW DATA'!J:J),SUMIF('RAW DATA'!P:P,'RAW DATA'!B286,'RAW DATA'!J:J)))</f>
        <v/>
      </c>
      <c r="I286" s="4" t="str">
        <f>IF(SUMIF('RAW DATA'!M:M,'RAW DATA'!B286, 'RAW DATA'!K:K)=0, "", SUMIF('RAW DATA'!M:M,'RAW DATA'!B286, 'RAW DATA'!K:K))</f>
        <v/>
      </c>
      <c r="J286" s="29" t="str">
        <f>IF('RAW DATA'!B286&lt;&gt;"",IF(OR('RAW DATA'!H286=1,'RAW DATA'!H286=2),1,IF(ISNUMBER(FIND("Medic",'RAW DATA'!E286)),1,"")),"")</f>
        <v/>
      </c>
      <c r="K286" s="29" t="str">
        <f>IF(AND('RAW DATA'!$B286&lt;&gt;"",'RAW DATA'!L286=1),1,"")</f>
        <v/>
      </c>
      <c r="L286" s="24" t="str">
        <f t="shared" si="9"/>
        <v/>
      </c>
    </row>
    <row r="287" spans="2:12" x14ac:dyDescent="0.25">
      <c r="B287" s="1" t="str">
        <f>IF('RAW DATA'!$C289&lt;&gt;"",'RAW DATA'!$C289,"")</f>
        <v/>
      </c>
      <c r="C287" s="1" t="str">
        <f>IF('RAW DATA'!$D289&lt;&gt;"",'RAW DATA'!$D289,"")</f>
        <v/>
      </c>
      <c r="D287" s="1" t="str">
        <f>IF(AND($B286&lt;&gt;"", $B287=""), "TOTAL:", IF($D286="TOTAL:","VESSEL TARGET "&amp;'RAW DATA'!$E$2&amp;":",IF('RAW DATA'!$E287&lt;&gt;"",'RAW DATA'!$E287,"")))</f>
        <v/>
      </c>
      <c r="E287" s="29" t="str">
        <f t="shared" si="8"/>
        <v/>
      </c>
      <c r="F287" s="4" t="str">
        <f>IF($D286="TOTAL:",FIXED(ROUND(((SUM($F$4:$F285)/'RAW DATA'!$E$2)*100),1),1)&amp;"%",IF($D287="TOTAL:",SUM($F$4:$F286),IF(SUMIF('RAW DATA'!M:M,'RAW DATA'!B287,'RAW DATA'!H:H)=0,"",SUMIF('RAW DATA'!M:M,'RAW DATA'!B287,'RAW DATA'!H:H))))</f>
        <v/>
      </c>
      <c r="G287" s="4" t="str">
        <f>IF($D286="TOTAL:",FIXED(ROUND(((SUM($G$4:$G285)/'RAW DATA'!$E$2)*100),1),1)&amp;"%",IF($D287="TOTAL:",SUM($G$4:$G286),IF(SUMIF('RAW DATA'!M:M,'RAW DATA'!B287,'RAW DATA'!I:I)=0,"",SUMIF('RAW DATA'!M:M,'RAW DATA'!B287,'RAW DATA'!I:I))))</f>
        <v/>
      </c>
      <c r="H287" s="4" t="str">
        <f>IF(SUM(SUMIF('RAW DATA'!M:M,'RAW DATA'!B287,'RAW DATA'!J:J),SUMIF('RAW DATA'!N:N,'RAW DATA'!B287,'RAW DATA'!J:J),SUMIF('RAW DATA'!O:O,'RAW DATA'!B287,'RAW DATA'!J:J),SUMIF('RAW DATA'!P:P,'RAW DATA'!B287,'RAW DATA'!J:J))=0, "", SUM(SUMIF('RAW DATA'!M:M,'RAW DATA'!B287,'RAW DATA'!J:J),SUMIF('RAW DATA'!N:N,'RAW DATA'!B287,'RAW DATA'!J:J),SUMIF('RAW DATA'!O:O,'RAW DATA'!B287,'RAW DATA'!J:J),SUMIF('RAW DATA'!P:P,'RAW DATA'!B287,'RAW DATA'!J:J)))</f>
        <v/>
      </c>
      <c r="I287" s="4" t="str">
        <f>IF(SUMIF('RAW DATA'!M:M,'RAW DATA'!B287, 'RAW DATA'!K:K)=0, "", SUMIF('RAW DATA'!M:M,'RAW DATA'!B287, 'RAW DATA'!K:K))</f>
        <v/>
      </c>
      <c r="J287" s="29" t="str">
        <f>IF('RAW DATA'!B287&lt;&gt;"",IF(OR('RAW DATA'!H287=1,'RAW DATA'!H287=2),1,IF(ISNUMBER(FIND("Medic",'RAW DATA'!E287)),1,"")),"")</f>
        <v/>
      </c>
      <c r="K287" s="29" t="str">
        <f>IF(AND('RAW DATA'!$B287&lt;&gt;"",'RAW DATA'!L287=1),1,"")</f>
        <v/>
      </c>
      <c r="L287" s="24" t="str">
        <f t="shared" si="9"/>
        <v/>
      </c>
    </row>
    <row r="288" spans="2:12" x14ac:dyDescent="0.25">
      <c r="B288" s="1" t="str">
        <f>IF('RAW DATA'!$C290&lt;&gt;"",'RAW DATA'!$C290,"")</f>
        <v/>
      </c>
      <c r="C288" s="1" t="str">
        <f>IF('RAW DATA'!$D290&lt;&gt;"",'RAW DATA'!$D290,"")</f>
        <v/>
      </c>
      <c r="D288" s="1" t="str">
        <f>IF(AND($B287&lt;&gt;"", $B288=""), "TOTAL:", IF($D287="TOTAL:","VESSEL TARGET "&amp;'RAW DATA'!$E$2&amp;":",IF('RAW DATA'!$E288&lt;&gt;"",'RAW DATA'!$E288,"")))</f>
        <v/>
      </c>
      <c r="E288" s="29" t="str">
        <f t="shared" si="8"/>
        <v/>
      </c>
      <c r="F288" s="4" t="str">
        <f>IF($D287="TOTAL:",FIXED(ROUND(((SUM($F$4:$F286)/'RAW DATA'!$E$2)*100),1),1)&amp;"%",IF($D288="TOTAL:",SUM($F$4:$F287),IF(SUMIF('RAW DATA'!M:M,'RAW DATA'!B288,'RAW DATA'!H:H)=0,"",SUMIF('RAW DATA'!M:M,'RAW DATA'!B288,'RAW DATA'!H:H))))</f>
        <v/>
      </c>
      <c r="G288" s="4" t="str">
        <f>IF($D287="TOTAL:",FIXED(ROUND(((SUM($G$4:$G286)/'RAW DATA'!$E$2)*100),1),1)&amp;"%",IF($D288="TOTAL:",SUM($G$4:$G287),IF(SUMIF('RAW DATA'!M:M,'RAW DATA'!B288,'RAW DATA'!I:I)=0,"",SUMIF('RAW DATA'!M:M,'RAW DATA'!B288,'RAW DATA'!I:I))))</f>
        <v/>
      </c>
      <c r="H288" s="4" t="str">
        <f>IF(SUM(SUMIF('RAW DATA'!M:M,'RAW DATA'!B288,'RAW DATA'!J:J),SUMIF('RAW DATA'!N:N,'RAW DATA'!B288,'RAW DATA'!J:J),SUMIF('RAW DATA'!O:O,'RAW DATA'!B288,'RAW DATA'!J:J),SUMIF('RAW DATA'!P:P,'RAW DATA'!B288,'RAW DATA'!J:J))=0, "", SUM(SUMIF('RAW DATA'!M:M,'RAW DATA'!B288,'RAW DATA'!J:J),SUMIF('RAW DATA'!N:N,'RAW DATA'!B288,'RAW DATA'!J:J),SUMIF('RAW DATA'!O:O,'RAW DATA'!B288,'RAW DATA'!J:J),SUMIF('RAW DATA'!P:P,'RAW DATA'!B288,'RAW DATA'!J:J)))</f>
        <v/>
      </c>
      <c r="I288" s="4" t="str">
        <f>IF(SUMIF('RAW DATA'!M:M,'RAW DATA'!B288, 'RAW DATA'!K:K)=0, "", SUMIF('RAW DATA'!M:M,'RAW DATA'!B288, 'RAW DATA'!K:K))</f>
        <v/>
      </c>
      <c r="J288" s="29" t="str">
        <f>IF('RAW DATA'!B288&lt;&gt;"",IF(OR('RAW DATA'!H288=1,'RAW DATA'!H288=2),1,IF(ISNUMBER(FIND("Medic",'RAW DATA'!E288)),1,"")),"")</f>
        <v/>
      </c>
      <c r="K288" s="29" t="str">
        <f>IF(AND('RAW DATA'!$B288&lt;&gt;"",'RAW DATA'!L288=1),1,"")</f>
        <v/>
      </c>
      <c r="L288" s="24" t="str">
        <f t="shared" si="9"/>
        <v/>
      </c>
    </row>
    <row r="289" spans="2:12" x14ac:dyDescent="0.25">
      <c r="B289" s="1" t="str">
        <f>IF('RAW DATA'!$C291&lt;&gt;"",'RAW DATA'!$C291,"")</f>
        <v/>
      </c>
      <c r="C289" s="1" t="str">
        <f>IF('RAW DATA'!$D291&lt;&gt;"",'RAW DATA'!$D291,"")</f>
        <v/>
      </c>
      <c r="D289" s="1" t="str">
        <f>IF(AND($B288&lt;&gt;"", $B289=""), "TOTAL:", IF($D288="TOTAL:","VESSEL TARGET "&amp;'RAW DATA'!$E$2&amp;":",IF('RAW DATA'!$E289&lt;&gt;"",'RAW DATA'!$E289,"")))</f>
        <v/>
      </c>
      <c r="E289" s="29" t="str">
        <f t="shared" si="8"/>
        <v/>
      </c>
      <c r="F289" s="4" t="str">
        <f>IF($D288="TOTAL:",FIXED(ROUND(((SUM($F$4:$F287)/'RAW DATA'!$E$2)*100),1),1)&amp;"%",IF($D289="TOTAL:",SUM($F$4:$F288),IF(SUMIF('RAW DATA'!M:M,'RAW DATA'!B289,'RAW DATA'!H:H)=0,"",SUMIF('RAW DATA'!M:M,'RAW DATA'!B289,'RAW DATA'!H:H))))</f>
        <v/>
      </c>
      <c r="G289" s="4" t="str">
        <f>IF($D288="TOTAL:",FIXED(ROUND(((SUM($G$4:$G287)/'RAW DATA'!$E$2)*100),1),1)&amp;"%",IF($D289="TOTAL:",SUM($G$4:$G288),IF(SUMIF('RAW DATA'!M:M,'RAW DATA'!B289,'RAW DATA'!I:I)=0,"",SUMIF('RAW DATA'!M:M,'RAW DATA'!B289,'RAW DATA'!I:I))))</f>
        <v/>
      </c>
      <c r="H289" s="4" t="str">
        <f>IF(SUM(SUMIF('RAW DATA'!M:M,'RAW DATA'!B289,'RAW DATA'!J:J),SUMIF('RAW DATA'!N:N,'RAW DATA'!B289,'RAW DATA'!J:J),SUMIF('RAW DATA'!O:O,'RAW DATA'!B289,'RAW DATA'!J:J),SUMIF('RAW DATA'!P:P,'RAW DATA'!B289,'RAW DATA'!J:J))=0, "", SUM(SUMIF('RAW DATA'!M:M,'RAW DATA'!B289,'RAW DATA'!J:J),SUMIF('RAW DATA'!N:N,'RAW DATA'!B289,'RAW DATA'!J:J),SUMIF('RAW DATA'!O:O,'RAW DATA'!B289,'RAW DATA'!J:J),SUMIF('RAW DATA'!P:P,'RAW DATA'!B289,'RAW DATA'!J:J)))</f>
        <v/>
      </c>
      <c r="I289" s="4" t="str">
        <f>IF(SUMIF('RAW DATA'!M:M,'RAW DATA'!B289, 'RAW DATA'!K:K)=0, "", SUMIF('RAW DATA'!M:M,'RAW DATA'!B289, 'RAW DATA'!K:K))</f>
        <v/>
      </c>
      <c r="J289" s="29" t="str">
        <f>IF('RAW DATA'!B289&lt;&gt;"",IF(OR('RAW DATA'!H289=1,'RAW DATA'!H289=2),1,IF(ISNUMBER(FIND("Medic",'RAW DATA'!E289)),1,"")),"")</f>
        <v/>
      </c>
      <c r="K289" s="29" t="str">
        <f>IF(AND('RAW DATA'!$B289&lt;&gt;"",'RAW DATA'!L289=1),1,"")</f>
        <v/>
      </c>
      <c r="L289" s="24" t="str">
        <f t="shared" si="9"/>
        <v/>
      </c>
    </row>
    <row r="290" spans="2:12" x14ac:dyDescent="0.25">
      <c r="B290" s="1" t="str">
        <f>IF('RAW DATA'!$C292&lt;&gt;"",'RAW DATA'!$C292,"")</f>
        <v/>
      </c>
      <c r="C290" s="1" t="str">
        <f>IF('RAW DATA'!$D292&lt;&gt;"",'RAW DATA'!$D292,"")</f>
        <v/>
      </c>
      <c r="D290" s="1" t="str">
        <f>IF(AND($B289&lt;&gt;"", $B290=""), "TOTAL:", IF($D289="TOTAL:","VESSEL TARGET "&amp;'RAW DATA'!$E$2&amp;":",IF('RAW DATA'!$E290&lt;&gt;"",'RAW DATA'!$E290,"")))</f>
        <v/>
      </c>
      <c r="E290" s="29" t="str">
        <f t="shared" si="8"/>
        <v/>
      </c>
      <c r="F290" s="4" t="str">
        <f>IF($D289="TOTAL:",FIXED(ROUND(((SUM($F$4:$F288)/'RAW DATA'!$E$2)*100),1),1)&amp;"%",IF($D290="TOTAL:",SUM($F$4:$F289),IF(SUMIF('RAW DATA'!M:M,'RAW DATA'!B290,'RAW DATA'!H:H)=0,"",SUMIF('RAW DATA'!M:M,'RAW DATA'!B290,'RAW DATA'!H:H))))</f>
        <v/>
      </c>
      <c r="G290" s="4" t="str">
        <f>IF($D289="TOTAL:",FIXED(ROUND(((SUM($G$4:$G288)/'RAW DATA'!$E$2)*100),1),1)&amp;"%",IF($D290="TOTAL:",SUM($G$4:$G289),IF(SUMIF('RAW DATA'!M:M,'RAW DATA'!B290,'RAW DATA'!I:I)=0,"",SUMIF('RAW DATA'!M:M,'RAW DATA'!B290,'RAW DATA'!I:I))))</f>
        <v/>
      </c>
      <c r="H290" s="4" t="str">
        <f>IF(SUM(SUMIF('RAW DATA'!M:M,'RAW DATA'!B290,'RAW DATA'!J:J),SUMIF('RAW DATA'!N:N,'RAW DATA'!B290,'RAW DATA'!J:J),SUMIF('RAW DATA'!O:O,'RAW DATA'!B290,'RAW DATA'!J:J),SUMIF('RAW DATA'!P:P,'RAW DATA'!B290,'RAW DATA'!J:J))=0, "", SUM(SUMIF('RAW DATA'!M:M,'RAW DATA'!B290,'RAW DATA'!J:J),SUMIF('RAW DATA'!N:N,'RAW DATA'!B290,'RAW DATA'!J:J),SUMIF('RAW DATA'!O:O,'RAW DATA'!B290,'RAW DATA'!J:J),SUMIF('RAW DATA'!P:P,'RAW DATA'!B290,'RAW DATA'!J:J)))</f>
        <v/>
      </c>
      <c r="I290" s="4" t="str">
        <f>IF(SUMIF('RAW DATA'!M:M,'RAW DATA'!B290, 'RAW DATA'!K:K)=0, "", SUMIF('RAW DATA'!M:M,'RAW DATA'!B290, 'RAW DATA'!K:K))</f>
        <v/>
      </c>
      <c r="J290" s="29" t="str">
        <f>IF('RAW DATA'!B290&lt;&gt;"",IF(OR('RAW DATA'!H290=1,'RAW DATA'!H290=2),1,IF(ISNUMBER(FIND("Medic",'RAW DATA'!E290)),1,"")),"")</f>
        <v/>
      </c>
      <c r="K290" s="29" t="str">
        <f>IF(AND('RAW DATA'!$B290&lt;&gt;"",'RAW DATA'!L290=1),1,"")</f>
        <v/>
      </c>
      <c r="L290" s="24" t="str">
        <f t="shared" si="9"/>
        <v/>
      </c>
    </row>
    <row r="291" spans="2:12" x14ac:dyDescent="0.25">
      <c r="B291" s="1" t="str">
        <f>IF('RAW DATA'!$C293&lt;&gt;"",'RAW DATA'!$C293,"")</f>
        <v/>
      </c>
      <c r="C291" s="1" t="str">
        <f>IF('RAW DATA'!$D293&lt;&gt;"",'RAW DATA'!$D293,"")</f>
        <v/>
      </c>
      <c r="D291" s="1" t="str">
        <f>IF(AND($B290&lt;&gt;"", $B291=""), "TOTAL:", IF($D290="TOTAL:","VESSEL TARGET "&amp;'RAW DATA'!$E$2&amp;":",IF('RAW DATA'!$E291&lt;&gt;"",'RAW DATA'!$E291,"")))</f>
        <v/>
      </c>
      <c r="E291" s="29" t="str">
        <f t="shared" si="8"/>
        <v/>
      </c>
      <c r="F291" s="4" t="str">
        <f>IF($D290="TOTAL:",FIXED(ROUND(((SUM($F$4:$F289)/'RAW DATA'!$E$2)*100),1),1)&amp;"%",IF($D291="TOTAL:",SUM($F$4:$F290),IF(SUMIF('RAW DATA'!M:M,'RAW DATA'!B291,'RAW DATA'!H:H)=0,"",SUMIF('RAW DATA'!M:M,'RAW DATA'!B291,'RAW DATA'!H:H))))</f>
        <v/>
      </c>
      <c r="G291" s="4" t="str">
        <f>IF($D290="TOTAL:",FIXED(ROUND(((SUM($G$4:$G289)/'RAW DATA'!$E$2)*100),1),1)&amp;"%",IF($D291="TOTAL:",SUM($G$4:$G290),IF(SUMIF('RAW DATA'!M:M,'RAW DATA'!B291,'RAW DATA'!I:I)=0,"",SUMIF('RAW DATA'!M:M,'RAW DATA'!B291,'RAW DATA'!I:I))))</f>
        <v/>
      </c>
      <c r="H291" s="4" t="str">
        <f>IF(SUM(SUMIF('RAW DATA'!M:M,'RAW DATA'!B291,'RAW DATA'!J:J),SUMIF('RAW DATA'!N:N,'RAW DATA'!B291,'RAW DATA'!J:J),SUMIF('RAW DATA'!O:O,'RAW DATA'!B291,'RAW DATA'!J:J),SUMIF('RAW DATA'!P:P,'RAW DATA'!B291,'RAW DATA'!J:J))=0, "", SUM(SUMIF('RAW DATA'!M:M,'RAW DATA'!B291,'RAW DATA'!J:J),SUMIF('RAW DATA'!N:N,'RAW DATA'!B291,'RAW DATA'!J:J),SUMIF('RAW DATA'!O:O,'RAW DATA'!B291,'RAW DATA'!J:J),SUMIF('RAW DATA'!P:P,'RAW DATA'!B291,'RAW DATA'!J:J)))</f>
        <v/>
      </c>
      <c r="I291" s="4" t="str">
        <f>IF(SUMIF('RAW DATA'!M:M,'RAW DATA'!B291, 'RAW DATA'!K:K)=0, "", SUMIF('RAW DATA'!M:M,'RAW DATA'!B291, 'RAW DATA'!K:K))</f>
        <v/>
      </c>
      <c r="J291" s="29" t="str">
        <f>IF('RAW DATA'!B291&lt;&gt;"",IF(OR('RAW DATA'!H291=1,'RAW DATA'!H291=2),1,IF(ISNUMBER(FIND("Medic",'RAW DATA'!E291)),1,"")),"")</f>
        <v/>
      </c>
      <c r="K291" s="29" t="str">
        <f>IF(AND('RAW DATA'!$B291&lt;&gt;"",'RAW DATA'!L291=1),1,"")</f>
        <v/>
      </c>
      <c r="L291" s="24" t="str">
        <f t="shared" si="9"/>
        <v/>
      </c>
    </row>
    <row r="292" spans="2:12" x14ac:dyDescent="0.25">
      <c r="B292" s="1" t="str">
        <f>IF('RAW DATA'!$C294&lt;&gt;"",'RAW DATA'!$C294,"")</f>
        <v/>
      </c>
      <c r="C292" s="1" t="str">
        <f>IF('RAW DATA'!$D294&lt;&gt;"",'RAW DATA'!$D294,"")</f>
        <v/>
      </c>
      <c r="D292" s="1" t="str">
        <f>IF(AND($B291&lt;&gt;"", $B292=""), "TOTAL:", IF($D291="TOTAL:","VESSEL TARGET "&amp;'RAW DATA'!$E$2&amp;":",IF('RAW DATA'!$E292&lt;&gt;"",'RAW DATA'!$E292,"")))</f>
        <v/>
      </c>
      <c r="E292" s="29" t="str">
        <f t="shared" si="8"/>
        <v/>
      </c>
      <c r="F292" s="4" t="str">
        <f>IF($D291="TOTAL:",FIXED(ROUND(((SUM($F$4:$F290)/'RAW DATA'!$E$2)*100),1),1)&amp;"%",IF($D292="TOTAL:",SUM($F$4:$F291),IF(SUMIF('RAW DATA'!M:M,'RAW DATA'!B292,'RAW DATA'!H:H)=0,"",SUMIF('RAW DATA'!M:M,'RAW DATA'!B292,'RAW DATA'!H:H))))</f>
        <v/>
      </c>
      <c r="G292" s="4" t="str">
        <f>IF($D291="TOTAL:",FIXED(ROUND(((SUM($G$4:$G290)/'RAW DATA'!$E$2)*100),1),1)&amp;"%",IF($D292="TOTAL:",SUM($G$4:$G291),IF(SUMIF('RAW DATA'!M:M,'RAW DATA'!B292,'RAW DATA'!I:I)=0,"",SUMIF('RAW DATA'!M:M,'RAW DATA'!B292,'RAW DATA'!I:I))))</f>
        <v/>
      </c>
      <c r="H292" s="4" t="str">
        <f>IF(SUM(SUMIF('RAW DATA'!M:M,'RAW DATA'!B292,'RAW DATA'!J:J),SUMIF('RAW DATA'!N:N,'RAW DATA'!B292,'RAW DATA'!J:J),SUMIF('RAW DATA'!O:O,'RAW DATA'!B292,'RAW DATA'!J:J),SUMIF('RAW DATA'!P:P,'RAW DATA'!B292,'RAW DATA'!J:J))=0, "", SUM(SUMIF('RAW DATA'!M:M,'RAW DATA'!B292,'RAW DATA'!J:J),SUMIF('RAW DATA'!N:N,'RAW DATA'!B292,'RAW DATA'!J:J),SUMIF('RAW DATA'!O:O,'RAW DATA'!B292,'RAW DATA'!J:J),SUMIF('RAW DATA'!P:P,'RAW DATA'!B292,'RAW DATA'!J:J)))</f>
        <v/>
      </c>
      <c r="I292" s="4" t="str">
        <f>IF(SUMIF('RAW DATA'!M:M,'RAW DATA'!B292, 'RAW DATA'!K:K)=0, "", SUMIF('RAW DATA'!M:M,'RAW DATA'!B292, 'RAW DATA'!K:K))</f>
        <v/>
      </c>
      <c r="J292" s="29" t="str">
        <f>IF('RAW DATA'!B292&lt;&gt;"",IF(OR('RAW DATA'!H292=1,'RAW DATA'!H292=2),1,IF(ISNUMBER(FIND("Medic",'RAW DATA'!E292)),1,"")),"")</f>
        <v/>
      </c>
      <c r="K292" s="29" t="str">
        <f>IF(AND('RAW DATA'!$B292&lt;&gt;"",'RAW DATA'!L292=1),1,"")</f>
        <v/>
      </c>
      <c r="L292" s="24" t="str">
        <f t="shared" si="9"/>
        <v/>
      </c>
    </row>
    <row r="293" spans="2:12" x14ac:dyDescent="0.25">
      <c r="B293" s="1" t="str">
        <f>IF('RAW DATA'!$C295&lt;&gt;"",'RAW DATA'!$C295,"")</f>
        <v/>
      </c>
      <c r="C293" s="1" t="str">
        <f>IF('RAW DATA'!$D295&lt;&gt;"",'RAW DATA'!$D295,"")</f>
        <v/>
      </c>
      <c r="D293" s="1" t="str">
        <f>IF(AND($B292&lt;&gt;"", $B293=""), "TOTAL:", IF($D292="TOTAL:","VESSEL TARGET "&amp;'RAW DATA'!$E$2&amp;":",IF('RAW DATA'!$E293&lt;&gt;"",'RAW DATA'!$E293,"")))</f>
        <v/>
      </c>
      <c r="E293" s="29" t="str">
        <f t="shared" si="8"/>
        <v/>
      </c>
      <c r="F293" s="4" t="str">
        <f>IF($D292="TOTAL:",FIXED(ROUND(((SUM($F$4:$F291)/'RAW DATA'!$E$2)*100),1),1)&amp;"%",IF($D293="TOTAL:",SUM($F$4:$F292),IF(SUMIF('RAW DATA'!M:M,'RAW DATA'!B293,'RAW DATA'!H:H)=0,"",SUMIF('RAW DATA'!M:M,'RAW DATA'!B293,'RAW DATA'!H:H))))</f>
        <v/>
      </c>
      <c r="G293" s="4" t="str">
        <f>IF($D292="TOTAL:",FIXED(ROUND(((SUM($G$4:$G291)/'RAW DATA'!$E$2)*100),1),1)&amp;"%",IF($D293="TOTAL:",SUM($G$4:$G292),IF(SUMIF('RAW DATA'!M:M,'RAW DATA'!B293,'RAW DATA'!I:I)=0,"",SUMIF('RAW DATA'!M:M,'RAW DATA'!B293,'RAW DATA'!I:I))))</f>
        <v/>
      </c>
      <c r="H293" s="4" t="str">
        <f>IF(SUM(SUMIF('RAW DATA'!M:M,'RAW DATA'!B293,'RAW DATA'!J:J),SUMIF('RAW DATA'!N:N,'RAW DATA'!B293,'RAW DATA'!J:J),SUMIF('RAW DATA'!O:O,'RAW DATA'!B293,'RAW DATA'!J:J),SUMIF('RAW DATA'!P:P,'RAW DATA'!B293,'RAW DATA'!J:J))=0, "", SUM(SUMIF('RAW DATA'!M:M,'RAW DATA'!B293,'RAW DATA'!J:J),SUMIF('RAW DATA'!N:N,'RAW DATA'!B293,'RAW DATA'!J:J),SUMIF('RAW DATA'!O:O,'RAW DATA'!B293,'RAW DATA'!J:J),SUMIF('RAW DATA'!P:P,'RAW DATA'!B293,'RAW DATA'!J:J)))</f>
        <v/>
      </c>
      <c r="I293" s="4" t="str">
        <f>IF(SUMIF('RAW DATA'!M:M,'RAW DATA'!B293, 'RAW DATA'!K:K)=0, "", SUMIF('RAW DATA'!M:M,'RAW DATA'!B293, 'RAW DATA'!K:K))</f>
        <v/>
      </c>
      <c r="J293" s="29" t="str">
        <f>IF('RAW DATA'!B293&lt;&gt;"",IF(OR('RAW DATA'!H293=1,'RAW DATA'!H293=2),1,IF(ISNUMBER(FIND("Medic",'RAW DATA'!E293)),1,"")),"")</f>
        <v/>
      </c>
      <c r="K293" s="29" t="str">
        <f>IF(AND('RAW DATA'!$B293&lt;&gt;"",'RAW DATA'!L293=1),1,"")</f>
        <v/>
      </c>
      <c r="L293" s="24" t="str">
        <f t="shared" si="9"/>
        <v/>
      </c>
    </row>
    <row r="294" spans="2:12" x14ac:dyDescent="0.25">
      <c r="B294" s="1" t="str">
        <f>IF('RAW DATA'!$C296&lt;&gt;"",'RAW DATA'!$C296,"")</f>
        <v/>
      </c>
      <c r="C294" s="1" t="str">
        <f>IF('RAW DATA'!$D296&lt;&gt;"",'RAW DATA'!$D296,"")</f>
        <v/>
      </c>
      <c r="D294" s="1" t="str">
        <f>IF(AND($B293&lt;&gt;"", $B294=""), "TOTAL:", IF($D293="TOTAL:","VESSEL TARGET "&amp;'RAW DATA'!$E$2&amp;":",IF('RAW DATA'!$E294&lt;&gt;"",'RAW DATA'!$E294,"")))</f>
        <v/>
      </c>
      <c r="E294" s="29" t="str">
        <f t="shared" si="8"/>
        <v/>
      </c>
      <c r="F294" s="4" t="str">
        <f>IF($D293="TOTAL:",FIXED(ROUND(((SUM($F$4:$F292)/'RAW DATA'!$E$2)*100),1),1)&amp;"%",IF($D294="TOTAL:",SUM($F$4:$F293),IF(SUMIF('RAW DATA'!M:M,'RAW DATA'!B294,'RAW DATA'!H:H)=0,"",SUMIF('RAW DATA'!M:M,'RAW DATA'!B294,'RAW DATA'!H:H))))</f>
        <v/>
      </c>
      <c r="G294" s="4" t="str">
        <f>IF($D293="TOTAL:",FIXED(ROUND(((SUM($G$4:$G292)/'RAW DATA'!$E$2)*100),1),1)&amp;"%",IF($D294="TOTAL:",SUM($G$4:$G293),IF(SUMIF('RAW DATA'!M:M,'RAW DATA'!B294,'RAW DATA'!I:I)=0,"",SUMIF('RAW DATA'!M:M,'RAW DATA'!B294,'RAW DATA'!I:I))))</f>
        <v/>
      </c>
      <c r="H294" s="4" t="str">
        <f>IF(SUM(SUMIF('RAW DATA'!M:M,'RAW DATA'!B294,'RAW DATA'!J:J),SUMIF('RAW DATA'!N:N,'RAW DATA'!B294,'RAW DATA'!J:J),SUMIF('RAW DATA'!O:O,'RAW DATA'!B294,'RAW DATA'!J:J),SUMIF('RAW DATA'!P:P,'RAW DATA'!B294,'RAW DATA'!J:J))=0, "", SUM(SUMIF('RAW DATA'!M:M,'RAW DATA'!B294,'RAW DATA'!J:J),SUMIF('RAW DATA'!N:N,'RAW DATA'!B294,'RAW DATA'!J:J),SUMIF('RAW DATA'!O:O,'RAW DATA'!B294,'RAW DATA'!J:J),SUMIF('RAW DATA'!P:P,'RAW DATA'!B294,'RAW DATA'!J:J)))</f>
        <v/>
      </c>
      <c r="I294" s="4" t="str">
        <f>IF(SUMIF('RAW DATA'!M:M,'RAW DATA'!B294, 'RAW DATA'!K:K)=0, "", SUMIF('RAW DATA'!M:M,'RAW DATA'!B294, 'RAW DATA'!K:K))</f>
        <v/>
      </c>
      <c r="J294" s="29" t="str">
        <f>IF('RAW DATA'!B294&lt;&gt;"",IF(OR('RAW DATA'!H294=1,'RAW DATA'!H294=2),1,IF(ISNUMBER(FIND("Medic",'RAW DATA'!E294)),1,"")),"")</f>
        <v/>
      </c>
      <c r="K294" s="29" t="str">
        <f>IF(AND('RAW DATA'!$B294&lt;&gt;"",'RAW DATA'!L294=1),1,"")</f>
        <v/>
      </c>
      <c r="L294" s="24" t="str">
        <f t="shared" si="9"/>
        <v/>
      </c>
    </row>
    <row r="295" spans="2:12" x14ac:dyDescent="0.25">
      <c r="B295" s="1" t="str">
        <f>IF('RAW DATA'!$C297&lt;&gt;"",'RAW DATA'!$C297,"")</f>
        <v/>
      </c>
      <c r="C295" s="1" t="str">
        <f>IF('RAW DATA'!$D297&lt;&gt;"",'RAW DATA'!$D297,"")</f>
        <v/>
      </c>
      <c r="D295" s="1" t="str">
        <f>IF(AND($B294&lt;&gt;"", $B295=""), "TOTAL:", IF($D294="TOTAL:","VESSEL TARGET "&amp;'RAW DATA'!$E$2&amp;":",IF('RAW DATA'!$E295&lt;&gt;"",'RAW DATA'!$E295,"")))</f>
        <v/>
      </c>
      <c r="E295" s="29" t="str">
        <f t="shared" si="8"/>
        <v/>
      </c>
      <c r="F295" s="4" t="str">
        <f>IF($D294="TOTAL:",FIXED(ROUND(((SUM($F$4:$F293)/'RAW DATA'!$E$2)*100),1),1)&amp;"%",IF($D295="TOTAL:",SUM($F$4:$F294),IF(SUMIF('RAW DATA'!M:M,'RAW DATA'!B295,'RAW DATA'!H:H)=0,"",SUMIF('RAW DATA'!M:M,'RAW DATA'!B295,'RAW DATA'!H:H))))</f>
        <v/>
      </c>
      <c r="G295" s="4" t="str">
        <f>IF($D294="TOTAL:",FIXED(ROUND(((SUM($G$4:$G293)/'RAW DATA'!$E$2)*100),1),1)&amp;"%",IF($D295="TOTAL:",SUM($G$4:$G294),IF(SUMIF('RAW DATA'!M:M,'RAW DATA'!B295,'RAW DATA'!I:I)=0,"",SUMIF('RAW DATA'!M:M,'RAW DATA'!B295,'RAW DATA'!I:I))))</f>
        <v/>
      </c>
      <c r="H295" s="4" t="str">
        <f>IF(SUM(SUMIF('RAW DATA'!M:M,'RAW DATA'!B295,'RAW DATA'!J:J),SUMIF('RAW DATA'!N:N,'RAW DATA'!B295,'RAW DATA'!J:J),SUMIF('RAW DATA'!O:O,'RAW DATA'!B295,'RAW DATA'!J:J),SUMIF('RAW DATA'!P:P,'RAW DATA'!B295,'RAW DATA'!J:J))=0, "", SUM(SUMIF('RAW DATA'!M:M,'RAW DATA'!B295,'RAW DATA'!J:J),SUMIF('RAW DATA'!N:N,'RAW DATA'!B295,'RAW DATA'!J:J),SUMIF('RAW DATA'!O:O,'RAW DATA'!B295,'RAW DATA'!J:J),SUMIF('RAW DATA'!P:P,'RAW DATA'!B295,'RAW DATA'!J:J)))</f>
        <v/>
      </c>
      <c r="I295" s="4" t="str">
        <f>IF(SUMIF('RAW DATA'!M:M,'RAW DATA'!B295, 'RAW DATA'!K:K)=0, "", SUMIF('RAW DATA'!M:M,'RAW DATA'!B295, 'RAW DATA'!K:K))</f>
        <v/>
      </c>
      <c r="J295" s="29" t="str">
        <f>IF('RAW DATA'!B295&lt;&gt;"",IF(OR('RAW DATA'!H295=1,'RAW DATA'!H295=2),1,IF(ISNUMBER(FIND("Medic",'RAW DATA'!E295)),1,"")),"")</f>
        <v/>
      </c>
      <c r="K295" s="29" t="str">
        <f>IF(AND('RAW DATA'!$B295&lt;&gt;"",'RAW DATA'!L295=1),1,"")</f>
        <v/>
      </c>
      <c r="L295" s="24" t="str">
        <f t="shared" si="9"/>
        <v/>
      </c>
    </row>
    <row r="296" spans="2:12" x14ac:dyDescent="0.25">
      <c r="B296" s="1" t="str">
        <f>IF('RAW DATA'!$C298&lt;&gt;"",'RAW DATA'!$C298,"")</f>
        <v/>
      </c>
      <c r="C296" s="1" t="str">
        <f>IF('RAW DATA'!$D298&lt;&gt;"",'RAW DATA'!$D298,"")</f>
        <v/>
      </c>
      <c r="D296" s="1" t="str">
        <f>IF(AND($B295&lt;&gt;"", $B296=""), "TOTAL:", IF($D295="TOTAL:","VESSEL TARGET "&amp;'RAW DATA'!$E$2&amp;":",IF('RAW DATA'!$E296&lt;&gt;"",'RAW DATA'!$E296,"")))</f>
        <v/>
      </c>
      <c r="E296" s="29" t="str">
        <f t="shared" si="8"/>
        <v/>
      </c>
      <c r="F296" s="4" t="str">
        <f>IF($D295="TOTAL:",FIXED(ROUND(((SUM($F$4:$F294)/'RAW DATA'!$E$2)*100),1),1)&amp;"%",IF($D296="TOTAL:",SUM($F$4:$F295),IF(SUMIF('RAW DATA'!M:M,'RAW DATA'!B296,'RAW DATA'!H:H)=0,"",SUMIF('RAW DATA'!M:M,'RAW DATA'!B296,'RAW DATA'!H:H))))</f>
        <v/>
      </c>
      <c r="G296" s="4" t="str">
        <f>IF($D295="TOTAL:",FIXED(ROUND(((SUM($G$4:$G294)/'RAW DATA'!$E$2)*100),1),1)&amp;"%",IF($D296="TOTAL:",SUM($G$4:$G295),IF(SUMIF('RAW DATA'!M:M,'RAW DATA'!B296,'RAW DATA'!I:I)=0,"",SUMIF('RAW DATA'!M:M,'RAW DATA'!B296,'RAW DATA'!I:I))))</f>
        <v/>
      </c>
      <c r="H296" s="4" t="str">
        <f>IF(SUM(SUMIF('RAW DATA'!M:M,'RAW DATA'!B296,'RAW DATA'!J:J),SUMIF('RAW DATA'!N:N,'RAW DATA'!B296,'RAW DATA'!J:J),SUMIF('RAW DATA'!O:O,'RAW DATA'!B296,'RAW DATA'!J:J),SUMIF('RAW DATA'!P:P,'RAW DATA'!B296,'RAW DATA'!J:J))=0, "", SUM(SUMIF('RAW DATA'!M:M,'RAW DATA'!B296,'RAW DATA'!J:J),SUMIF('RAW DATA'!N:N,'RAW DATA'!B296,'RAW DATA'!J:J),SUMIF('RAW DATA'!O:O,'RAW DATA'!B296,'RAW DATA'!J:J),SUMIF('RAW DATA'!P:P,'RAW DATA'!B296,'RAW DATA'!J:J)))</f>
        <v/>
      </c>
      <c r="I296" s="4" t="str">
        <f>IF(SUMIF('RAW DATA'!M:M,'RAW DATA'!B296, 'RAW DATA'!K:K)=0, "", SUMIF('RAW DATA'!M:M,'RAW DATA'!B296, 'RAW DATA'!K:K))</f>
        <v/>
      </c>
      <c r="J296" s="29" t="str">
        <f>IF('RAW DATA'!B296&lt;&gt;"",IF(OR('RAW DATA'!H296=1,'RAW DATA'!H296=2),1,IF(ISNUMBER(FIND("Medic",'RAW DATA'!E296)),1,"")),"")</f>
        <v/>
      </c>
      <c r="K296" s="29" t="str">
        <f>IF(AND('RAW DATA'!$B296&lt;&gt;"",'RAW DATA'!L296=1),1,"")</f>
        <v/>
      </c>
      <c r="L296" s="24" t="str">
        <f t="shared" si="9"/>
        <v/>
      </c>
    </row>
    <row r="297" spans="2:12" x14ac:dyDescent="0.25">
      <c r="B297" s="1" t="str">
        <f>IF('RAW DATA'!$C299&lt;&gt;"",'RAW DATA'!$C299,"")</f>
        <v/>
      </c>
      <c r="C297" s="1" t="str">
        <f>IF('RAW DATA'!$D299&lt;&gt;"",'RAW DATA'!$D299,"")</f>
        <v/>
      </c>
      <c r="D297" s="1" t="str">
        <f>IF(AND($B296&lt;&gt;"", $B297=""), "TOTAL:", IF($D296="TOTAL:","VESSEL TARGET "&amp;'RAW DATA'!$E$2&amp;":",IF('RAW DATA'!$E297&lt;&gt;"",'RAW DATA'!$E297,"")))</f>
        <v/>
      </c>
      <c r="E297" s="29" t="str">
        <f t="shared" si="8"/>
        <v/>
      </c>
      <c r="F297" s="4" t="str">
        <f>IF($D296="TOTAL:",FIXED(ROUND(((SUM($F$4:$F295)/'RAW DATA'!$E$2)*100),1),1)&amp;"%",IF($D297="TOTAL:",SUM($F$4:$F296),IF(SUMIF('RAW DATA'!M:M,'RAW DATA'!B297,'RAW DATA'!H:H)=0,"",SUMIF('RAW DATA'!M:M,'RAW DATA'!B297,'RAW DATA'!H:H))))</f>
        <v/>
      </c>
      <c r="G297" s="4" t="str">
        <f>IF($D296="TOTAL:",FIXED(ROUND(((SUM($G$4:$G295)/'RAW DATA'!$E$2)*100),1),1)&amp;"%",IF($D297="TOTAL:",SUM($G$4:$G296),IF(SUMIF('RAW DATA'!M:M,'RAW DATA'!B297,'RAW DATA'!I:I)=0,"",SUMIF('RAW DATA'!M:M,'RAW DATA'!B297,'RAW DATA'!I:I))))</f>
        <v/>
      </c>
      <c r="H297" s="4" t="str">
        <f>IF(SUM(SUMIF('RAW DATA'!M:M,'RAW DATA'!B297,'RAW DATA'!J:J),SUMIF('RAW DATA'!N:N,'RAW DATA'!B297,'RAW DATA'!J:J),SUMIF('RAW DATA'!O:O,'RAW DATA'!B297,'RAW DATA'!J:J),SUMIF('RAW DATA'!P:P,'RAW DATA'!B297,'RAW DATA'!J:J))=0, "", SUM(SUMIF('RAW DATA'!M:M,'RAW DATA'!B297,'RAW DATA'!J:J),SUMIF('RAW DATA'!N:N,'RAW DATA'!B297,'RAW DATA'!J:J),SUMIF('RAW DATA'!O:O,'RAW DATA'!B297,'RAW DATA'!J:J),SUMIF('RAW DATA'!P:P,'RAW DATA'!B297,'RAW DATA'!J:J)))</f>
        <v/>
      </c>
      <c r="I297" s="4" t="str">
        <f>IF(SUMIF('RAW DATA'!M:M,'RAW DATA'!B297, 'RAW DATA'!K:K)=0, "", SUMIF('RAW DATA'!M:M,'RAW DATA'!B297, 'RAW DATA'!K:K))</f>
        <v/>
      </c>
      <c r="J297" s="29" t="str">
        <f>IF('RAW DATA'!B297&lt;&gt;"",IF(OR('RAW DATA'!H297=1,'RAW DATA'!H297=2),1,IF(ISNUMBER(FIND("Medic",'RAW DATA'!E297)),1,"")),"")</f>
        <v/>
      </c>
      <c r="K297" s="29" t="str">
        <f>IF(AND('RAW DATA'!$B297&lt;&gt;"",'RAW DATA'!L297=1),1,"")</f>
        <v/>
      </c>
      <c r="L297" s="24" t="str">
        <f t="shared" si="9"/>
        <v/>
      </c>
    </row>
    <row r="298" spans="2:12" x14ac:dyDescent="0.25">
      <c r="B298" s="1" t="str">
        <f>IF('RAW DATA'!$C300&lt;&gt;"",'RAW DATA'!$C300,"")</f>
        <v/>
      </c>
      <c r="C298" s="1" t="str">
        <f>IF('RAW DATA'!$D300&lt;&gt;"",'RAW DATA'!$D300,"")</f>
        <v/>
      </c>
      <c r="D298" s="1" t="str">
        <f>IF(AND($B297&lt;&gt;"", $B298=""), "TOTAL:", IF($D297="TOTAL:","VESSEL TARGET "&amp;'RAW DATA'!$E$2&amp;":",IF('RAW DATA'!$E298&lt;&gt;"",'RAW DATA'!$E298,"")))</f>
        <v/>
      </c>
      <c r="E298" s="29" t="str">
        <f t="shared" si="8"/>
        <v/>
      </c>
      <c r="F298" s="4" t="str">
        <f>IF($D297="TOTAL:",FIXED(ROUND(((SUM($F$4:$F296)/'RAW DATA'!$E$2)*100),1),1)&amp;"%",IF($D298="TOTAL:",SUM($F$4:$F297),IF(SUMIF('RAW DATA'!M:M,'RAW DATA'!B298,'RAW DATA'!H:H)=0,"",SUMIF('RAW DATA'!M:M,'RAW DATA'!B298,'RAW DATA'!H:H))))</f>
        <v/>
      </c>
      <c r="G298" s="4" t="str">
        <f>IF($D297="TOTAL:",FIXED(ROUND(((SUM($G$4:$G296)/'RAW DATA'!$E$2)*100),1),1)&amp;"%",IF($D298="TOTAL:",SUM($G$4:$G297),IF(SUMIF('RAW DATA'!M:M,'RAW DATA'!B298,'RAW DATA'!I:I)=0,"",SUMIF('RAW DATA'!M:M,'RAW DATA'!B298,'RAW DATA'!I:I))))</f>
        <v/>
      </c>
      <c r="H298" s="4" t="str">
        <f>IF(SUM(SUMIF('RAW DATA'!M:M,'RAW DATA'!B298,'RAW DATA'!J:J),SUMIF('RAW DATA'!N:N,'RAW DATA'!B298,'RAW DATA'!J:J),SUMIF('RAW DATA'!O:O,'RAW DATA'!B298,'RAW DATA'!J:J),SUMIF('RAW DATA'!P:P,'RAW DATA'!B298,'RAW DATA'!J:J))=0, "", SUM(SUMIF('RAW DATA'!M:M,'RAW DATA'!B298,'RAW DATA'!J:J),SUMIF('RAW DATA'!N:N,'RAW DATA'!B298,'RAW DATA'!J:J),SUMIF('RAW DATA'!O:O,'RAW DATA'!B298,'RAW DATA'!J:J),SUMIF('RAW DATA'!P:P,'RAW DATA'!B298,'RAW DATA'!J:J)))</f>
        <v/>
      </c>
      <c r="I298" s="4" t="str">
        <f>IF(SUMIF('RAW DATA'!M:M,'RAW DATA'!B298, 'RAW DATA'!K:K)=0, "", SUMIF('RAW DATA'!M:M,'RAW DATA'!B298, 'RAW DATA'!K:K))</f>
        <v/>
      </c>
      <c r="J298" s="29" t="str">
        <f>IF('RAW DATA'!B298&lt;&gt;"",IF(OR('RAW DATA'!H298=1,'RAW DATA'!H298=2),1,IF(ISNUMBER(FIND("Medic",'RAW DATA'!E298)),1,"")),"")</f>
        <v/>
      </c>
      <c r="K298" s="29" t="str">
        <f>IF(AND('RAW DATA'!$B298&lt;&gt;"",'RAW DATA'!L298=1),1,"")</f>
        <v/>
      </c>
      <c r="L298" s="24" t="str">
        <f t="shared" si="9"/>
        <v/>
      </c>
    </row>
    <row r="299" spans="2:12" x14ac:dyDescent="0.25">
      <c r="B299" s="1" t="str">
        <f>IF('RAW DATA'!$C301&lt;&gt;"",'RAW DATA'!$C301,"")</f>
        <v/>
      </c>
      <c r="C299" s="1" t="str">
        <f>IF('RAW DATA'!$D301&lt;&gt;"",'RAW DATA'!$D301,"")</f>
        <v/>
      </c>
      <c r="D299" s="1" t="str">
        <f>IF(AND($B298&lt;&gt;"", $B299=""), "TOTAL:", IF($D298="TOTAL:","VESSEL TARGET "&amp;'RAW DATA'!$E$2&amp;":",IF('RAW DATA'!$E299&lt;&gt;"",'RAW DATA'!$E299,"")))</f>
        <v/>
      </c>
      <c r="E299" s="29" t="str">
        <f t="shared" si="8"/>
        <v/>
      </c>
      <c r="F299" s="4" t="str">
        <f>IF($D298="TOTAL:",FIXED(ROUND(((SUM($F$4:$F297)/'RAW DATA'!$E$2)*100),1),1)&amp;"%",IF($D299="TOTAL:",SUM($F$4:$F298),IF(SUMIF('RAW DATA'!M:M,'RAW DATA'!B299,'RAW DATA'!H:H)=0,"",SUMIF('RAW DATA'!M:M,'RAW DATA'!B299,'RAW DATA'!H:H))))</f>
        <v/>
      </c>
      <c r="G299" s="4" t="str">
        <f>IF($D298="TOTAL:",FIXED(ROUND(((SUM($G$4:$G297)/'RAW DATA'!$E$2)*100),1),1)&amp;"%",IF($D299="TOTAL:",SUM($G$4:$G298),IF(SUMIF('RAW DATA'!M:M,'RAW DATA'!B299,'RAW DATA'!I:I)=0,"",SUMIF('RAW DATA'!M:M,'RAW DATA'!B299,'RAW DATA'!I:I))))</f>
        <v/>
      </c>
      <c r="H299" s="4" t="str">
        <f>IF(SUM(SUMIF('RAW DATA'!M:M,'RAW DATA'!B299,'RAW DATA'!J:J),SUMIF('RAW DATA'!N:N,'RAW DATA'!B299,'RAW DATA'!J:J),SUMIF('RAW DATA'!O:O,'RAW DATA'!B299,'RAW DATA'!J:J),SUMIF('RAW DATA'!P:P,'RAW DATA'!B299,'RAW DATA'!J:J))=0, "", SUM(SUMIF('RAW DATA'!M:M,'RAW DATA'!B299,'RAW DATA'!J:J),SUMIF('RAW DATA'!N:N,'RAW DATA'!B299,'RAW DATA'!J:J),SUMIF('RAW DATA'!O:O,'RAW DATA'!B299,'RAW DATA'!J:J),SUMIF('RAW DATA'!P:P,'RAW DATA'!B299,'RAW DATA'!J:J)))</f>
        <v/>
      </c>
      <c r="I299" s="4" t="str">
        <f>IF(SUMIF('RAW DATA'!M:M,'RAW DATA'!B299, 'RAW DATA'!K:K)=0, "", SUMIF('RAW DATA'!M:M,'RAW DATA'!B299, 'RAW DATA'!K:K))</f>
        <v/>
      </c>
      <c r="J299" s="29" t="str">
        <f>IF('RAW DATA'!B299&lt;&gt;"",IF(OR('RAW DATA'!H299=1,'RAW DATA'!H299=2),1,IF(ISNUMBER(FIND("Medic",'RAW DATA'!E299)),1,"")),"")</f>
        <v/>
      </c>
      <c r="K299" s="29" t="str">
        <f>IF(AND('RAW DATA'!$B299&lt;&gt;"",'RAW DATA'!L299=1),1,"")</f>
        <v/>
      </c>
      <c r="L299" s="24" t="str">
        <f t="shared" si="9"/>
        <v/>
      </c>
    </row>
    <row r="300" spans="2:12" x14ac:dyDescent="0.25">
      <c r="B300" s="1" t="str">
        <f>IF('RAW DATA'!$C302&lt;&gt;"",'RAW DATA'!$C302,"")</f>
        <v/>
      </c>
      <c r="C300" s="1" t="str">
        <f>IF('RAW DATA'!$D302&lt;&gt;"",'RAW DATA'!$D302,"")</f>
        <v/>
      </c>
      <c r="D300" s="1" t="str">
        <f>IF(AND($B299&lt;&gt;"", $B300=""), "TOTAL:", IF($D299="TOTAL:","VESSEL TARGET "&amp;'RAW DATA'!$E$2&amp;":",IF('RAW DATA'!$E300&lt;&gt;"",'RAW DATA'!$E300,"")))</f>
        <v/>
      </c>
      <c r="E300" s="29" t="str">
        <f t="shared" si="8"/>
        <v/>
      </c>
      <c r="F300" s="4" t="str">
        <f>IF($D299="TOTAL:",FIXED(ROUND(((SUM($F$4:$F298)/'RAW DATA'!$E$2)*100),1),1)&amp;"%",IF($D300="TOTAL:",SUM($F$4:$F299),IF(SUMIF('RAW DATA'!M:M,'RAW DATA'!B300,'RAW DATA'!H:H)=0,"",SUMIF('RAW DATA'!M:M,'RAW DATA'!B300,'RAW DATA'!H:H))))</f>
        <v/>
      </c>
      <c r="G300" s="4" t="str">
        <f>IF($D299="TOTAL:",FIXED(ROUND(((SUM($G$4:$G298)/'RAW DATA'!$E$2)*100),1),1)&amp;"%",IF($D300="TOTAL:",SUM($G$4:$G299),IF(SUMIF('RAW DATA'!M:M,'RAW DATA'!B300,'RAW DATA'!I:I)=0,"",SUMIF('RAW DATA'!M:M,'RAW DATA'!B300,'RAW DATA'!I:I))))</f>
        <v/>
      </c>
      <c r="H300" s="4" t="str">
        <f>IF(SUM(SUMIF('RAW DATA'!M:M,'RAW DATA'!B300,'RAW DATA'!J:J),SUMIF('RAW DATA'!N:N,'RAW DATA'!B300,'RAW DATA'!J:J),SUMIF('RAW DATA'!O:O,'RAW DATA'!B300,'RAW DATA'!J:J),SUMIF('RAW DATA'!P:P,'RAW DATA'!B300,'RAW DATA'!J:J))=0, "", SUM(SUMIF('RAW DATA'!M:M,'RAW DATA'!B300,'RAW DATA'!J:J),SUMIF('RAW DATA'!N:N,'RAW DATA'!B300,'RAW DATA'!J:J),SUMIF('RAW DATA'!O:O,'RAW DATA'!B300,'RAW DATA'!J:J),SUMIF('RAW DATA'!P:P,'RAW DATA'!B300,'RAW DATA'!J:J)))</f>
        <v/>
      </c>
      <c r="I300" s="4" t="str">
        <f>IF(SUMIF('RAW DATA'!M:M,'RAW DATA'!B300, 'RAW DATA'!K:K)=0, "", SUMIF('RAW DATA'!M:M,'RAW DATA'!B300, 'RAW DATA'!K:K))</f>
        <v/>
      </c>
      <c r="J300" s="29" t="str">
        <f>IF('RAW DATA'!B300&lt;&gt;"",IF(OR('RAW DATA'!H300=1,'RAW DATA'!H300=2),1,IF(ISNUMBER(FIND("Medic",'RAW DATA'!E300)),1,"")),"")</f>
        <v/>
      </c>
      <c r="K300" s="29" t="str">
        <f>IF(AND('RAW DATA'!$B300&lt;&gt;"",'RAW DATA'!L300=1),1,"")</f>
        <v/>
      </c>
      <c r="L300" s="24" t="str">
        <f t="shared" si="9"/>
        <v/>
      </c>
    </row>
    <row r="301" spans="2:12" x14ac:dyDescent="0.25">
      <c r="B301" s="1" t="str">
        <f>IF('RAW DATA'!$C303&lt;&gt;"",'RAW DATA'!$C303,"")</f>
        <v/>
      </c>
      <c r="C301" s="1" t="str">
        <f>IF('RAW DATA'!$D303&lt;&gt;"",'RAW DATA'!$D303,"")</f>
        <v/>
      </c>
      <c r="D301" s="1" t="str">
        <f>IF(AND($B300&lt;&gt;"", $B301=""), "TOTAL:", IF($D300="TOTAL:","VESSEL TARGET "&amp;'RAW DATA'!$E$2&amp;":",IF('RAW DATA'!$E301&lt;&gt;"",'RAW DATA'!$E301,"")))</f>
        <v/>
      </c>
      <c r="E301" s="29" t="str">
        <f t="shared" si="8"/>
        <v/>
      </c>
      <c r="F301" s="4" t="str">
        <f>IF($D300="TOTAL:",FIXED(ROUND(((SUM($F$4:$F299)/'RAW DATA'!$E$2)*100),1),1)&amp;"%",IF($D301="TOTAL:",SUM($F$4:$F300),IF(SUMIF('RAW DATA'!M:M,'RAW DATA'!B301,'RAW DATA'!H:H)=0,"",SUMIF('RAW DATA'!M:M,'RAW DATA'!B301,'RAW DATA'!H:H))))</f>
        <v/>
      </c>
      <c r="G301" s="4" t="str">
        <f>IF($D300="TOTAL:",FIXED(ROUND(((SUM($G$4:$G299)/'RAW DATA'!$E$2)*100),1),1)&amp;"%",IF($D301="TOTAL:",SUM($G$4:$G300),IF(SUMIF('RAW DATA'!M:M,'RAW DATA'!B301,'RAW DATA'!I:I)=0,"",SUMIF('RAW DATA'!M:M,'RAW DATA'!B301,'RAW DATA'!I:I))))</f>
        <v/>
      </c>
      <c r="H301" s="4" t="str">
        <f>IF(SUM(SUMIF('RAW DATA'!M:M,'RAW DATA'!B301,'RAW DATA'!J:J),SUMIF('RAW DATA'!N:N,'RAW DATA'!B301,'RAW DATA'!J:J),SUMIF('RAW DATA'!O:O,'RAW DATA'!B301,'RAW DATA'!J:J),SUMIF('RAW DATA'!P:P,'RAW DATA'!B301,'RAW DATA'!J:J))=0, "", SUM(SUMIF('RAW DATA'!M:M,'RAW DATA'!B301,'RAW DATA'!J:J),SUMIF('RAW DATA'!N:N,'RAW DATA'!B301,'RAW DATA'!J:J),SUMIF('RAW DATA'!O:O,'RAW DATA'!B301,'RAW DATA'!J:J),SUMIF('RAW DATA'!P:P,'RAW DATA'!B301,'RAW DATA'!J:J)))</f>
        <v/>
      </c>
      <c r="I301" s="4" t="str">
        <f>IF(SUMIF('RAW DATA'!M:M,'RAW DATA'!B301, 'RAW DATA'!K:K)=0, "", SUMIF('RAW DATA'!M:M,'RAW DATA'!B301, 'RAW DATA'!K:K))</f>
        <v/>
      </c>
      <c r="J301" s="29" t="str">
        <f>IF('RAW DATA'!B301&lt;&gt;"",IF(OR('RAW DATA'!H301=1,'RAW DATA'!H301=2),1,IF(ISNUMBER(FIND("Medic",'RAW DATA'!E301)),1,"")),"")</f>
        <v/>
      </c>
      <c r="K301" s="29" t="str">
        <f>IF(AND('RAW DATA'!$B301&lt;&gt;"",'RAW DATA'!L301=1),1,"")</f>
        <v/>
      </c>
      <c r="L301" s="24" t="str">
        <f t="shared" si="9"/>
        <v/>
      </c>
    </row>
    <row r="302" spans="2:12" x14ac:dyDescent="0.25">
      <c r="B302" s="1" t="str">
        <f>IF('RAW DATA'!$C304&lt;&gt;"",'RAW DATA'!$C304,"")</f>
        <v/>
      </c>
      <c r="C302" s="1" t="str">
        <f>IF('RAW DATA'!$D304&lt;&gt;"",'RAW DATA'!$D304,"")</f>
        <v/>
      </c>
      <c r="D302" s="1" t="str">
        <f>IF(AND($B301&lt;&gt;"", $B302=""), "TOTAL:", IF($D301="TOTAL:","VESSEL TARGET "&amp;'RAW DATA'!$E$2&amp;":",IF('RAW DATA'!$E302&lt;&gt;"",'RAW DATA'!$E302,"")))</f>
        <v/>
      </c>
      <c r="E302" s="29" t="str">
        <f t="shared" si="8"/>
        <v/>
      </c>
      <c r="F302" s="4" t="str">
        <f>IF($D301="TOTAL:",FIXED(ROUND(((SUM($F$4:$F300)/'RAW DATA'!$E$2)*100),1),1)&amp;"%",IF($D302="TOTAL:",SUM($F$4:$F301),IF(SUMIF('RAW DATA'!M:M,'RAW DATA'!B302,'RAW DATA'!H:H)=0,"",SUMIF('RAW DATA'!M:M,'RAW DATA'!B302,'RAW DATA'!H:H))))</f>
        <v/>
      </c>
      <c r="G302" s="4" t="str">
        <f>IF($D301="TOTAL:",FIXED(ROUND(((SUM($G$4:$G300)/'RAW DATA'!$E$2)*100),1),1)&amp;"%",IF($D302="TOTAL:",SUM($G$4:$G301),IF(SUMIF('RAW DATA'!M:M,'RAW DATA'!B302,'RAW DATA'!I:I)=0,"",SUMIF('RAW DATA'!M:M,'RAW DATA'!B302,'RAW DATA'!I:I))))</f>
        <v/>
      </c>
      <c r="H302" s="4" t="str">
        <f>IF(SUM(SUMIF('RAW DATA'!M:M,'RAW DATA'!B302,'RAW DATA'!J:J),SUMIF('RAW DATA'!N:N,'RAW DATA'!B302,'RAW DATA'!J:J),SUMIF('RAW DATA'!O:O,'RAW DATA'!B302,'RAW DATA'!J:J),SUMIF('RAW DATA'!P:P,'RAW DATA'!B302,'RAW DATA'!J:J))=0, "", SUM(SUMIF('RAW DATA'!M:M,'RAW DATA'!B302,'RAW DATA'!J:J),SUMIF('RAW DATA'!N:N,'RAW DATA'!B302,'RAW DATA'!J:J),SUMIF('RAW DATA'!O:O,'RAW DATA'!B302,'RAW DATA'!J:J),SUMIF('RAW DATA'!P:P,'RAW DATA'!B302,'RAW DATA'!J:J)))</f>
        <v/>
      </c>
      <c r="I302" s="4" t="str">
        <f>IF(SUMIF('RAW DATA'!M:M,'RAW DATA'!B302, 'RAW DATA'!K:K)=0, "", SUMIF('RAW DATA'!M:M,'RAW DATA'!B302, 'RAW DATA'!K:K))</f>
        <v/>
      </c>
      <c r="J302" s="29" t="str">
        <f>IF('RAW DATA'!B302&lt;&gt;"",IF(OR('RAW DATA'!H302=1,'RAW DATA'!H302=2),1,IF(ISNUMBER(FIND("Medic",'RAW DATA'!E302)),1,"")),"")</f>
        <v/>
      </c>
      <c r="K302" s="29" t="str">
        <f>IF(AND('RAW DATA'!$B302&lt;&gt;"",'RAW DATA'!L302=1),1,"")</f>
        <v/>
      </c>
      <c r="L302" s="24" t="str">
        <f t="shared" si="9"/>
        <v/>
      </c>
    </row>
    <row r="303" spans="2:12" x14ac:dyDescent="0.25">
      <c r="B303" s="1" t="str">
        <f>IF('RAW DATA'!$C305&lt;&gt;"",'RAW DATA'!$C305,"")</f>
        <v/>
      </c>
      <c r="C303" s="1" t="str">
        <f>IF('RAW DATA'!$D305&lt;&gt;"",'RAW DATA'!$D305,"")</f>
        <v/>
      </c>
      <c r="D303" s="1" t="str">
        <f>IF(AND($B302&lt;&gt;"", $B303=""), "TOTAL:", IF($D302="TOTAL:","VESSEL TARGET "&amp;'RAW DATA'!$E$2&amp;":",IF('RAW DATA'!$E303&lt;&gt;"",'RAW DATA'!$E303,"")))</f>
        <v/>
      </c>
      <c r="E303" s="29" t="str">
        <f t="shared" si="8"/>
        <v/>
      </c>
      <c r="F303" s="4" t="str">
        <f>IF($D302="TOTAL:",FIXED(ROUND(((SUM($F$4:$F301)/'RAW DATA'!$E$2)*100),1),1)&amp;"%",IF($D303="TOTAL:",SUM($F$4:$F302),IF(SUMIF('RAW DATA'!M:M,'RAW DATA'!B303,'RAW DATA'!H:H)=0,"",SUMIF('RAW DATA'!M:M,'RAW DATA'!B303,'RAW DATA'!H:H))))</f>
        <v/>
      </c>
      <c r="G303" s="4" t="str">
        <f>IF($D302="TOTAL:",FIXED(ROUND(((SUM($G$4:$G301)/'RAW DATA'!$E$2)*100),1),1)&amp;"%",IF($D303="TOTAL:",SUM($G$4:$G302),IF(SUMIF('RAW DATA'!M:M,'RAW DATA'!B303,'RAW DATA'!I:I)=0,"",SUMIF('RAW DATA'!M:M,'RAW DATA'!B303,'RAW DATA'!I:I))))</f>
        <v/>
      </c>
      <c r="H303" s="4" t="str">
        <f>IF(SUM(SUMIF('RAW DATA'!M:M,'RAW DATA'!B303,'RAW DATA'!J:J),SUMIF('RAW DATA'!N:N,'RAW DATA'!B303,'RAW DATA'!J:J),SUMIF('RAW DATA'!O:O,'RAW DATA'!B303,'RAW DATA'!J:J),SUMIF('RAW DATA'!P:P,'RAW DATA'!B303,'RAW DATA'!J:J))=0, "", SUM(SUMIF('RAW DATA'!M:M,'RAW DATA'!B303,'RAW DATA'!J:J),SUMIF('RAW DATA'!N:N,'RAW DATA'!B303,'RAW DATA'!J:J),SUMIF('RAW DATA'!O:O,'RAW DATA'!B303,'RAW DATA'!J:J),SUMIF('RAW DATA'!P:P,'RAW DATA'!B303,'RAW DATA'!J:J)))</f>
        <v/>
      </c>
      <c r="I303" s="4" t="str">
        <f>IF(SUMIF('RAW DATA'!M:M,'RAW DATA'!B303, 'RAW DATA'!K:K)=0, "", SUMIF('RAW DATA'!M:M,'RAW DATA'!B303, 'RAW DATA'!K:K))</f>
        <v/>
      </c>
      <c r="J303" s="29" t="str">
        <f>IF('RAW DATA'!B303&lt;&gt;"",IF(OR('RAW DATA'!H303=1,'RAW DATA'!H303=2),1,IF(ISNUMBER(FIND("Medic",'RAW DATA'!E303)),1,"")),"")</f>
        <v/>
      </c>
      <c r="K303" s="29" t="str">
        <f>IF(AND('RAW DATA'!$B303&lt;&gt;"",'RAW DATA'!L303=1),1,"")</f>
        <v/>
      </c>
      <c r="L303" s="24" t="str">
        <f t="shared" si="9"/>
        <v/>
      </c>
    </row>
    <row r="304" spans="2:12" x14ac:dyDescent="0.25">
      <c r="B304" s="1" t="str">
        <f>IF('RAW DATA'!$C306&lt;&gt;"",'RAW DATA'!$C306,"")</f>
        <v/>
      </c>
      <c r="C304" s="1" t="str">
        <f>IF('RAW DATA'!$D306&lt;&gt;"",'RAW DATA'!$D306,"")</f>
        <v/>
      </c>
      <c r="D304" s="1" t="str">
        <f>IF(AND($B303&lt;&gt;"", $B304=""), "TOTAL:", IF($D303="TOTAL:","VESSEL TARGET "&amp;'RAW DATA'!$E$2&amp;":",IF('RAW DATA'!$E304&lt;&gt;"",'RAW DATA'!$E304,"")))</f>
        <v/>
      </c>
      <c r="E304" s="29" t="str">
        <f t="shared" si="8"/>
        <v/>
      </c>
      <c r="F304" s="4" t="str">
        <f>IF($D303="TOTAL:",FIXED(ROUND(((SUM($F$4:$F302)/'RAW DATA'!$E$2)*100),1),1)&amp;"%",IF($D304="TOTAL:",SUM($F$4:$F303),IF(SUMIF('RAW DATA'!M:M,'RAW DATA'!B304,'RAW DATA'!H:H)=0,"",SUMIF('RAW DATA'!M:M,'RAW DATA'!B304,'RAW DATA'!H:H))))</f>
        <v/>
      </c>
      <c r="G304" s="4" t="str">
        <f>IF($D303="TOTAL:",FIXED(ROUND(((SUM($G$4:$G302)/'RAW DATA'!$E$2)*100),1),1)&amp;"%",IF($D304="TOTAL:",SUM($G$4:$G303),IF(SUMIF('RAW DATA'!M:M,'RAW DATA'!B304,'RAW DATA'!I:I)=0,"",SUMIF('RAW DATA'!M:M,'RAW DATA'!B304,'RAW DATA'!I:I))))</f>
        <v/>
      </c>
      <c r="H304" s="4" t="str">
        <f>IF(SUM(SUMIF('RAW DATA'!M:M,'RAW DATA'!B304,'RAW DATA'!J:J),SUMIF('RAW DATA'!N:N,'RAW DATA'!B304,'RAW DATA'!J:J),SUMIF('RAW DATA'!O:O,'RAW DATA'!B304,'RAW DATA'!J:J),SUMIF('RAW DATA'!P:P,'RAW DATA'!B304,'RAW DATA'!J:J))=0, "", SUM(SUMIF('RAW DATA'!M:M,'RAW DATA'!B304,'RAW DATA'!J:J),SUMIF('RAW DATA'!N:N,'RAW DATA'!B304,'RAW DATA'!J:J),SUMIF('RAW DATA'!O:O,'RAW DATA'!B304,'RAW DATA'!J:J),SUMIF('RAW DATA'!P:P,'RAW DATA'!B304,'RAW DATA'!J:J)))</f>
        <v/>
      </c>
      <c r="I304" s="4" t="str">
        <f>IF(SUMIF('RAW DATA'!M:M,'RAW DATA'!B304, 'RAW DATA'!K:K)=0, "", SUMIF('RAW DATA'!M:M,'RAW DATA'!B304, 'RAW DATA'!K:K))</f>
        <v/>
      </c>
      <c r="J304" s="29" t="str">
        <f>IF('RAW DATA'!B304&lt;&gt;"",IF(OR('RAW DATA'!H304=1,'RAW DATA'!H304=2),1,IF(ISNUMBER(FIND("Medic",'RAW DATA'!E304)),1,"")),"")</f>
        <v/>
      </c>
      <c r="K304" s="29" t="str">
        <f>IF(AND('RAW DATA'!$B304&lt;&gt;"",'RAW DATA'!L304=1),1,"")</f>
        <v/>
      </c>
      <c r="L304" s="24" t="str">
        <f t="shared" si="9"/>
        <v/>
      </c>
    </row>
    <row r="305" spans="2:12" x14ac:dyDescent="0.25">
      <c r="B305" s="1" t="str">
        <f>IF('RAW DATA'!$C307&lt;&gt;"",'RAW DATA'!$C307,"")</f>
        <v/>
      </c>
      <c r="C305" s="1" t="str">
        <f>IF('RAW DATA'!$D307&lt;&gt;"",'RAW DATA'!$D307,"")</f>
        <v/>
      </c>
      <c r="D305" s="1" t="str">
        <f>IF(AND($B304&lt;&gt;"", $B305=""), "TOTAL:", IF($D304="TOTAL:","VESSEL TARGET "&amp;'RAW DATA'!$E$2&amp;":",IF('RAW DATA'!$E305&lt;&gt;"",'RAW DATA'!$E305,"")))</f>
        <v/>
      </c>
      <c r="E305" s="29" t="str">
        <f t="shared" si="8"/>
        <v/>
      </c>
      <c r="F305" s="4" t="str">
        <f>IF($D304="TOTAL:",FIXED(ROUND(((SUM($F$4:$F303)/'RAW DATA'!$E$2)*100),1),1)&amp;"%",IF($D305="TOTAL:",SUM($F$4:$F304),IF(SUMIF('RAW DATA'!M:M,'RAW DATA'!B305,'RAW DATA'!H:H)=0,"",SUMIF('RAW DATA'!M:M,'RAW DATA'!B305,'RAW DATA'!H:H))))</f>
        <v/>
      </c>
      <c r="G305" s="4" t="str">
        <f>IF($D304="TOTAL:",FIXED(ROUND(((SUM($G$4:$G303)/'RAW DATA'!$E$2)*100),1),1)&amp;"%",IF($D305="TOTAL:",SUM($G$4:$G304),IF(SUMIF('RAW DATA'!M:M,'RAW DATA'!B305,'RAW DATA'!I:I)=0,"",SUMIF('RAW DATA'!M:M,'RAW DATA'!B305,'RAW DATA'!I:I))))</f>
        <v/>
      </c>
      <c r="H305" s="4" t="str">
        <f>IF(SUM(SUMIF('RAW DATA'!M:M,'RAW DATA'!B305,'RAW DATA'!J:J),SUMIF('RAW DATA'!N:N,'RAW DATA'!B305,'RAW DATA'!J:J),SUMIF('RAW DATA'!O:O,'RAW DATA'!B305,'RAW DATA'!J:J),SUMIF('RAW DATA'!P:P,'RAW DATA'!B305,'RAW DATA'!J:J))=0, "", SUM(SUMIF('RAW DATA'!M:M,'RAW DATA'!B305,'RAW DATA'!J:J),SUMIF('RAW DATA'!N:N,'RAW DATA'!B305,'RAW DATA'!J:J),SUMIF('RAW DATA'!O:O,'RAW DATA'!B305,'RAW DATA'!J:J),SUMIF('RAW DATA'!P:P,'RAW DATA'!B305,'RAW DATA'!J:J)))</f>
        <v/>
      </c>
      <c r="I305" s="4" t="str">
        <f>IF(SUMIF('RAW DATA'!M:M,'RAW DATA'!B305, 'RAW DATA'!K:K)=0, "", SUMIF('RAW DATA'!M:M,'RAW DATA'!B305, 'RAW DATA'!K:K))</f>
        <v/>
      </c>
      <c r="J305" s="29" t="str">
        <f>IF('RAW DATA'!B305&lt;&gt;"",IF(OR('RAW DATA'!H305=1,'RAW DATA'!H305=2),1,IF(ISNUMBER(FIND("Medic",'RAW DATA'!E305)),1,"")),"")</f>
        <v/>
      </c>
      <c r="K305" s="29" t="str">
        <f>IF(AND('RAW DATA'!$B305&lt;&gt;"",'RAW DATA'!L305=1),1,"")</f>
        <v/>
      </c>
      <c r="L305" s="24" t="str">
        <f t="shared" si="9"/>
        <v/>
      </c>
    </row>
    <row r="306" spans="2:12" x14ac:dyDescent="0.25">
      <c r="B306" s="1" t="str">
        <f>IF('RAW DATA'!$C308&lt;&gt;"",'RAW DATA'!$C308,"")</f>
        <v/>
      </c>
      <c r="C306" s="1" t="str">
        <f>IF('RAW DATA'!$D308&lt;&gt;"",'RAW DATA'!$D308,"")</f>
        <v/>
      </c>
      <c r="D306" s="1" t="str">
        <f>IF(AND($B305&lt;&gt;"", $B306=""), "TOTAL:", IF($D305="TOTAL:","VESSEL TARGET "&amp;'RAW DATA'!$E$2&amp;":",IF('RAW DATA'!$E306&lt;&gt;"",'RAW DATA'!$E306,"")))</f>
        <v/>
      </c>
      <c r="E306" s="29" t="str">
        <f t="shared" si="8"/>
        <v/>
      </c>
      <c r="F306" s="4" t="str">
        <f>IF($D305="TOTAL:",FIXED(ROUND(((SUM($F$4:$F304)/'RAW DATA'!$E$2)*100),1),1)&amp;"%",IF($D306="TOTAL:",SUM($F$4:$F305),IF(SUMIF('RAW DATA'!M:M,'RAW DATA'!B306,'RAW DATA'!H:H)=0,"",SUMIF('RAW DATA'!M:M,'RAW DATA'!B306,'RAW DATA'!H:H))))</f>
        <v/>
      </c>
      <c r="G306" s="4" t="str">
        <f>IF($D305="TOTAL:",FIXED(ROUND(((SUM($G$4:$G304)/'RAW DATA'!$E$2)*100),1),1)&amp;"%",IF($D306="TOTAL:",SUM($G$4:$G305),IF(SUMIF('RAW DATA'!M:M,'RAW DATA'!B306,'RAW DATA'!I:I)=0,"",SUMIF('RAW DATA'!M:M,'RAW DATA'!B306,'RAW DATA'!I:I))))</f>
        <v/>
      </c>
      <c r="H306" s="4" t="str">
        <f>IF(SUM(SUMIF('RAW DATA'!M:M,'RAW DATA'!B306,'RAW DATA'!J:J),SUMIF('RAW DATA'!N:N,'RAW DATA'!B306,'RAW DATA'!J:J),SUMIF('RAW DATA'!O:O,'RAW DATA'!B306,'RAW DATA'!J:J),SUMIF('RAW DATA'!P:P,'RAW DATA'!B306,'RAW DATA'!J:J))=0, "", SUM(SUMIF('RAW DATA'!M:M,'RAW DATA'!B306,'RAW DATA'!J:J),SUMIF('RAW DATA'!N:N,'RAW DATA'!B306,'RAW DATA'!J:J),SUMIF('RAW DATA'!O:O,'RAW DATA'!B306,'RAW DATA'!J:J),SUMIF('RAW DATA'!P:P,'RAW DATA'!B306,'RAW DATA'!J:J)))</f>
        <v/>
      </c>
      <c r="I306" s="4" t="str">
        <f>IF(SUMIF('RAW DATA'!M:M,'RAW DATA'!B306, 'RAW DATA'!K:K)=0, "", SUMIF('RAW DATA'!M:M,'RAW DATA'!B306, 'RAW DATA'!K:K))</f>
        <v/>
      </c>
      <c r="J306" s="29" t="str">
        <f>IF('RAW DATA'!B306&lt;&gt;"",IF(OR('RAW DATA'!H306=1,'RAW DATA'!H306=2),1,IF(ISNUMBER(FIND("Medic",'RAW DATA'!E306)),1,"")),"")</f>
        <v/>
      </c>
      <c r="K306" s="29" t="str">
        <f>IF(AND('RAW DATA'!$B306&lt;&gt;"",'RAW DATA'!L306=1),1,"")</f>
        <v/>
      </c>
      <c r="L306" s="24" t="str">
        <f t="shared" si="9"/>
        <v/>
      </c>
    </row>
    <row r="307" spans="2:12" x14ac:dyDescent="0.25">
      <c r="B307" s="1" t="str">
        <f>IF('RAW DATA'!$C309&lt;&gt;"",'RAW DATA'!$C309,"")</f>
        <v/>
      </c>
      <c r="C307" s="1" t="str">
        <f>IF('RAW DATA'!$D309&lt;&gt;"",'RAW DATA'!$D309,"")</f>
        <v/>
      </c>
      <c r="D307" s="1" t="str">
        <f>IF(AND($B306&lt;&gt;"", $B307=""), "TOTAL:", IF($D306="TOTAL:","VESSEL TARGET "&amp;'RAW DATA'!$E$2&amp;":",IF('RAW DATA'!$E307&lt;&gt;"",'RAW DATA'!$E307,"")))</f>
        <v/>
      </c>
      <c r="E307" s="29" t="str">
        <f t="shared" si="8"/>
        <v/>
      </c>
      <c r="F307" s="4" t="str">
        <f>IF($D306="TOTAL:",FIXED(ROUND(((SUM($F$4:$F305)/'RAW DATA'!$E$2)*100),1),1)&amp;"%",IF($D307="TOTAL:",SUM($F$4:$F306),IF(SUMIF('RAW DATA'!M:M,'RAW DATA'!B307,'RAW DATA'!H:H)=0,"",SUMIF('RAW DATA'!M:M,'RAW DATA'!B307,'RAW DATA'!H:H))))</f>
        <v/>
      </c>
      <c r="G307" s="4" t="str">
        <f>IF($D306="TOTAL:",FIXED(ROUND(((SUM($G$4:$G305)/'RAW DATA'!$E$2)*100),1),1)&amp;"%",IF($D307="TOTAL:",SUM($G$4:$G306),IF(SUMIF('RAW DATA'!M:M,'RAW DATA'!B307,'RAW DATA'!I:I)=0,"",SUMIF('RAW DATA'!M:M,'RAW DATA'!B307,'RAW DATA'!I:I))))</f>
        <v/>
      </c>
      <c r="H307" s="4" t="str">
        <f>IF(SUM(SUMIF('RAW DATA'!M:M,'RAW DATA'!B307,'RAW DATA'!J:J),SUMIF('RAW DATA'!N:N,'RAW DATA'!B307,'RAW DATA'!J:J),SUMIF('RAW DATA'!O:O,'RAW DATA'!B307,'RAW DATA'!J:J),SUMIF('RAW DATA'!P:P,'RAW DATA'!B307,'RAW DATA'!J:J))=0, "", SUM(SUMIF('RAW DATA'!M:M,'RAW DATA'!B307,'RAW DATA'!J:J),SUMIF('RAW DATA'!N:N,'RAW DATA'!B307,'RAW DATA'!J:J),SUMIF('RAW DATA'!O:O,'RAW DATA'!B307,'RAW DATA'!J:J),SUMIF('RAW DATA'!P:P,'RAW DATA'!B307,'RAW DATA'!J:J)))</f>
        <v/>
      </c>
      <c r="I307" s="4" t="str">
        <f>IF(SUMIF('RAW DATA'!M:M,'RAW DATA'!B307, 'RAW DATA'!K:K)=0, "", SUMIF('RAW DATA'!M:M,'RAW DATA'!B307, 'RAW DATA'!K:K))</f>
        <v/>
      </c>
      <c r="J307" s="29" t="str">
        <f>IF('RAW DATA'!B307&lt;&gt;"",IF(OR('RAW DATA'!H307=1,'RAW DATA'!H307=2),1,IF(ISNUMBER(FIND("Medic",'RAW DATA'!E307)),1,"")),"")</f>
        <v/>
      </c>
      <c r="K307" s="29" t="str">
        <f>IF(AND('RAW DATA'!$B307&lt;&gt;"",'RAW DATA'!L307=1),1,"")</f>
        <v/>
      </c>
      <c r="L307" s="24" t="str">
        <f t="shared" si="9"/>
        <v/>
      </c>
    </row>
    <row r="308" spans="2:12" x14ac:dyDescent="0.25">
      <c r="B308" s="1" t="str">
        <f>IF('RAW DATA'!$C310&lt;&gt;"",'RAW DATA'!$C310,"")</f>
        <v/>
      </c>
      <c r="C308" s="1" t="str">
        <f>IF('RAW DATA'!$D310&lt;&gt;"",'RAW DATA'!$D310,"")</f>
        <v/>
      </c>
      <c r="D308" s="1" t="str">
        <f>IF(AND($B307&lt;&gt;"", $B308=""), "TOTAL:", IF($D307="TOTAL:","VESSEL TARGET "&amp;'RAW DATA'!$E$2&amp;":",IF('RAW DATA'!$E308&lt;&gt;"",'RAW DATA'!$E308,"")))</f>
        <v/>
      </c>
      <c r="E308" s="29" t="str">
        <f t="shared" si="8"/>
        <v/>
      </c>
      <c r="F308" s="4" t="str">
        <f>IF($D307="TOTAL:",FIXED(ROUND(((SUM($F$4:$F306)/'RAW DATA'!$E$2)*100),1),1)&amp;"%",IF($D308="TOTAL:",SUM($F$4:$F307),IF(SUMIF('RAW DATA'!M:M,'RAW DATA'!B308,'RAW DATA'!H:H)=0,"",SUMIF('RAW DATA'!M:M,'RAW DATA'!B308,'RAW DATA'!H:H))))</f>
        <v/>
      </c>
      <c r="G308" s="4" t="str">
        <f>IF($D307="TOTAL:",FIXED(ROUND(((SUM($G$4:$G306)/'RAW DATA'!$E$2)*100),1),1)&amp;"%",IF($D308="TOTAL:",SUM($G$4:$G307),IF(SUMIF('RAW DATA'!M:M,'RAW DATA'!B308,'RAW DATA'!I:I)=0,"",SUMIF('RAW DATA'!M:M,'RAW DATA'!B308,'RAW DATA'!I:I))))</f>
        <v/>
      </c>
      <c r="H308" s="4" t="str">
        <f>IF(SUM(SUMIF('RAW DATA'!M:M,'RAW DATA'!B308,'RAW DATA'!J:J),SUMIF('RAW DATA'!N:N,'RAW DATA'!B308,'RAW DATA'!J:J),SUMIF('RAW DATA'!O:O,'RAW DATA'!B308,'RAW DATA'!J:J),SUMIF('RAW DATA'!P:P,'RAW DATA'!B308,'RAW DATA'!J:J))=0, "", SUM(SUMIF('RAW DATA'!M:M,'RAW DATA'!B308,'RAW DATA'!J:J),SUMIF('RAW DATA'!N:N,'RAW DATA'!B308,'RAW DATA'!J:J),SUMIF('RAW DATA'!O:O,'RAW DATA'!B308,'RAW DATA'!J:J),SUMIF('RAW DATA'!P:P,'RAW DATA'!B308,'RAW DATA'!J:J)))</f>
        <v/>
      </c>
      <c r="I308" s="4" t="str">
        <f>IF(SUMIF('RAW DATA'!M:M,'RAW DATA'!B308, 'RAW DATA'!K:K)=0, "", SUMIF('RAW DATA'!M:M,'RAW DATA'!B308, 'RAW DATA'!K:K))</f>
        <v/>
      </c>
      <c r="J308" s="29" t="str">
        <f>IF('RAW DATA'!B308&lt;&gt;"",IF(OR('RAW DATA'!H308=1,'RAW DATA'!H308=2),1,IF(ISNUMBER(FIND("Medic",'RAW DATA'!E308)),1,"")),"")</f>
        <v/>
      </c>
      <c r="K308" s="29" t="str">
        <f>IF(AND('RAW DATA'!$B308&lt;&gt;"",'RAW DATA'!L308=1),1,"")</f>
        <v/>
      </c>
      <c r="L308" s="24" t="str">
        <f t="shared" si="9"/>
        <v/>
      </c>
    </row>
    <row r="309" spans="2:12" x14ac:dyDescent="0.25">
      <c r="B309" s="1" t="str">
        <f>IF('RAW DATA'!$C311&lt;&gt;"",'RAW DATA'!$C311,"")</f>
        <v/>
      </c>
      <c r="C309" s="1" t="str">
        <f>IF('RAW DATA'!$D311&lt;&gt;"",'RAW DATA'!$D311,"")</f>
        <v/>
      </c>
      <c r="D309" s="1" t="str">
        <f>IF(AND($B308&lt;&gt;"", $B309=""), "TOTAL:", IF($D308="TOTAL:","VESSEL TARGET "&amp;'RAW DATA'!$E$2&amp;":",IF('RAW DATA'!$E309&lt;&gt;"",'RAW DATA'!$E309,"")))</f>
        <v/>
      </c>
      <c r="E309" s="29" t="str">
        <f t="shared" si="8"/>
        <v/>
      </c>
      <c r="F309" s="4" t="str">
        <f>IF($D308="TOTAL:",FIXED(ROUND(((SUM($F$4:$F307)/'RAW DATA'!$E$2)*100),1),1)&amp;"%",IF($D309="TOTAL:",SUM($F$4:$F308),IF(SUMIF('RAW DATA'!M:M,'RAW DATA'!B309,'RAW DATA'!H:H)=0,"",SUMIF('RAW DATA'!M:M,'RAW DATA'!B309,'RAW DATA'!H:H))))</f>
        <v/>
      </c>
      <c r="G309" s="4" t="str">
        <f>IF($D308="TOTAL:",FIXED(ROUND(((SUM($G$4:$G307)/'RAW DATA'!$E$2)*100),1),1)&amp;"%",IF($D309="TOTAL:",SUM($G$4:$G308),IF(SUMIF('RAW DATA'!M:M,'RAW DATA'!B309,'RAW DATA'!I:I)=0,"",SUMIF('RAW DATA'!M:M,'RAW DATA'!B309,'RAW DATA'!I:I))))</f>
        <v/>
      </c>
      <c r="H309" s="4" t="str">
        <f>IF(SUM(SUMIF('RAW DATA'!M:M,'RAW DATA'!B309,'RAW DATA'!J:J),SUMIF('RAW DATA'!N:N,'RAW DATA'!B309,'RAW DATA'!J:J),SUMIF('RAW DATA'!O:O,'RAW DATA'!B309,'RAW DATA'!J:J),SUMIF('RAW DATA'!P:P,'RAW DATA'!B309,'RAW DATA'!J:J))=0, "", SUM(SUMIF('RAW DATA'!M:M,'RAW DATA'!B309,'RAW DATA'!J:J),SUMIF('RAW DATA'!N:N,'RAW DATA'!B309,'RAW DATA'!J:J),SUMIF('RAW DATA'!O:O,'RAW DATA'!B309,'RAW DATA'!J:J),SUMIF('RAW DATA'!P:P,'RAW DATA'!B309,'RAW DATA'!J:J)))</f>
        <v/>
      </c>
      <c r="I309" s="4" t="str">
        <f>IF(SUMIF('RAW DATA'!M:M,'RAW DATA'!B309, 'RAW DATA'!K:K)=0, "", SUMIF('RAW DATA'!M:M,'RAW DATA'!B309, 'RAW DATA'!K:K))</f>
        <v/>
      </c>
      <c r="J309" s="29" t="str">
        <f>IF('RAW DATA'!B309&lt;&gt;"",IF(OR('RAW DATA'!H309=1,'RAW DATA'!H309=2),1,IF(ISNUMBER(FIND("Medic",'RAW DATA'!E309)),1,"")),"")</f>
        <v/>
      </c>
      <c r="K309" s="29" t="str">
        <f>IF(AND('RAW DATA'!$B309&lt;&gt;"",'RAW DATA'!L309=1),1,"")</f>
        <v/>
      </c>
      <c r="L309" s="24" t="str">
        <f t="shared" si="9"/>
        <v/>
      </c>
    </row>
    <row r="310" spans="2:12" x14ac:dyDescent="0.25">
      <c r="B310" s="1" t="str">
        <f>IF('RAW DATA'!$C312&lt;&gt;"",'RAW DATA'!$C312,"")</f>
        <v/>
      </c>
      <c r="C310" s="1" t="str">
        <f>IF('RAW DATA'!$D312&lt;&gt;"",'RAW DATA'!$D312,"")</f>
        <v/>
      </c>
      <c r="D310" s="1" t="str">
        <f>IF(AND($B309&lt;&gt;"", $B310=""), "TOTAL:", IF($D309="TOTAL:","VESSEL TARGET "&amp;'RAW DATA'!$E$2&amp;":",IF('RAW DATA'!$E310&lt;&gt;"",'RAW DATA'!$E310,"")))</f>
        <v/>
      </c>
      <c r="E310" s="29" t="str">
        <f t="shared" si="8"/>
        <v/>
      </c>
      <c r="F310" s="4" t="str">
        <f>IF($D309="TOTAL:",FIXED(ROUND(((SUM($F$4:$F308)/'RAW DATA'!$E$2)*100),1),1)&amp;"%",IF($D310="TOTAL:",SUM($F$4:$F309),IF(SUMIF('RAW DATA'!M:M,'RAW DATA'!B310,'RAW DATA'!H:H)=0,"",SUMIF('RAW DATA'!M:M,'RAW DATA'!B310,'RAW DATA'!H:H))))</f>
        <v/>
      </c>
      <c r="G310" s="4" t="str">
        <f>IF($D309="TOTAL:",FIXED(ROUND(((SUM($G$4:$G308)/'RAW DATA'!$E$2)*100),1),1)&amp;"%",IF($D310="TOTAL:",SUM($G$4:$G309),IF(SUMIF('RAW DATA'!M:M,'RAW DATA'!B310,'RAW DATA'!I:I)=0,"",SUMIF('RAW DATA'!M:M,'RAW DATA'!B310,'RAW DATA'!I:I))))</f>
        <v/>
      </c>
      <c r="H310" s="4" t="str">
        <f>IF(SUM(SUMIF('RAW DATA'!M:M,'RAW DATA'!B310,'RAW DATA'!J:J),SUMIF('RAW DATA'!N:N,'RAW DATA'!B310,'RAW DATA'!J:J),SUMIF('RAW DATA'!O:O,'RAW DATA'!B310,'RAW DATA'!J:J),SUMIF('RAW DATA'!P:P,'RAW DATA'!B310,'RAW DATA'!J:J))=0, "", SUM(SUMIF('RAW DATA'!M:M,'RAW DATA'!B310,'RAW DATA'!J:J),SUMIF('RAW DATA'!N:N,'RAW DATA'!B310,'RAW DATA'!J:J),SUMIF('RAW DATA'!O:O,'RAW DATA'!B310,'RAW DATA'!J:J),SUMIF('RAW DATA'!P:P,'RAW DATA'!B310,'RAW DATA'!J:J)))</f>
        <v/>
      </c>
      <c r="I310" s="4" t="str">
        <f>IF(SUMIF('RAW DATA'!M:M,'RAW DATA'!B310, 'RAW DATA'!K:K)=0, "", SUMIF('RAW DATA'!M:M,'RAW DATA'!B310, 'RAW DATA'!K:K))</f>
        <v/>
      </c>
      <c r="J310" s="29" t="str">
        <f>IF('RAW DATA'!B310&lt;&gt;"",IF(OR('RAW DATA'!H310=1,'RAW DATA'!H310=2),1,IF(ISNUMBER(FIND("Medic",'RAW DATA'!E310)),1,"")),"")</f>
        <v/>
      </c>
      <c r="K310" s="29" t="str">
        <f>IF(AND('RAW DATA'!$B310&lt;&gt;"",'RAW DATA'!L310=1),1,"")</f>
        <v/>
      </c>
      <c r="L310" s="24" t="str">
        <f t="shared" si="9"/>
        <v/>
      </c>
    </row>
    <row r="311" spans="2:12" x14ac:dyDescent="0.25">
      <c r="B311" s="1" t="str">
        <f>IF('RAW DATA'!$C313&lt;&gt;"",'RAW DATA'!$C313,"")</f>
        <v/>
      </c>
      <c r="C311" s="1" t="str">
        <f>IF('RAW DATA'!$D313&lt;&gt;"",'RAW DATA'!$D313,"")</f>
        <v/>
      </c>
      <c r="D311" s="1" t="str">
        <f>IF(AND($B310&lt;&gt;"", $B311=""), "TOTAL:", IF($D310="TOTAL:","VESSEL TARGET "&amp;'RAW DATA'!$E$2&amp;":",IF('RAW DATA'!$E311&lt;&gt;"",'RAW DATA'!$E311,"")))</f>
        <v/>
      </c>
      <c r="E311" s="29" t="str">
        <f t="shared" si="8"/>
        <v/>
      </c>
      <c r="F311" s="4" t="str">
        <f>IF($D310="TOTAL:",FIXED(ROUND(((SUM($F$4:$F309)/'RAW DATA'!$E$2)*100),1),1)&amp;"%",IF($D311="TOTAL:",SUM($F$4:$F310),IF(SUMIF('RAW DATA'!M:M,'RAW DATA'!B311,'RAW DATA'!H:H)=0,"",SUMIF('RAW DATA'!M:M,'RAW DATA'!B311,'RAW DATA'!H:H))))</f>
        <v/>
      </c>
      <c r="G311" s="4" t="str">
        <f>IF($D310="TOTAL:",FIXED(ROUND(((SUM($G$4:$G309)/'RAW DATA'!$E$2)*100),1),1)&amp;"%",IF($D311="TOTAL:",SUM($G$4:$G310),IF(SUMIF('RAW DATA'!M:M,'RAW DATA'!B311,'RAW DATA'!I:I)=0,"",SUMIF('RAW DATA'!M:M,'RAW DATA'!B311,'RAW DATA'!I:I))))</f>
        <v/>
      </c>
      <c r="H311" s="4" t="str">
        <f>IF(SUM(SUMIF('RAW DATA'!M:M,'RAW DATA'!B311,'RAW DATA'!J:J),SUMIF('RAW DATA'!N:N,'RAW DATA'!B311,'RAW DATA'!J:J),SUMIF('RAW DATA'!O:O,'RAW DATA'!B311,'RAW DATA'!J:J),SUMIF('RAW DATA'!P:P,'RAW DATA'!B311,'RAW DATA'!J:J))=0, "", SUM(SUMIF('RAW DATA'!M:M,'RAW DATA'!B311,'RAW DATA'!J:J),SUMIF('RAW DATA'!N:N,'RAW DATA'!B311,'RAW DATA'!J:J),SUMIF('RAW DATA'!O:O,'RAW DATA'!B311,'RAW DATA'!J:J),SUMIF('RAW DATA'!P:P,'RAW DATA'!B311,'RAW DATA'!J:J)))</f>
        <v/>
      </c>
      <c r="I311" s="4" t="str">
        <f>IF(SUMIF('RAW DATA'!M:M,'RAW DATA'!B311, 'RAW DATA'!K:K)=0, "", SUMIF('RAW DATA'!M:M,'RAW DATA'!B311, 'RAW DATA'!K:K))</f>
        <v/>
      </c>
      <c r="J311" s="29" t="str">
        <f>IF('RAW DATA'!B311&lt;&gt;"",IF(OR('RAW DATA'!H311=1,'RAW DATA'!H311=2),1,IF(ISNUMBER(FIND("Medic",'RAW DATA'!E311)),1,"")),"")</f>
        <v/>
      </c>
      <c r="K311" s="29" t="str">
        <f>IF(AND('RAW DATA'!$B311&lt;&gt;"",'RAW DATA'!L311=1),1,"")</f>
        <v/>
      </c>
      <c r="L311" s="24" t="str">
        <f t="shared" si="9"/>
        <v/>
      </c>
    </row>
    <row r="312" spans="2:12" x14ac:dyDescent="0.25">
      <c r="B312" s="1" t="str">
        <f>IF('RAW DATA'!$C314&lt;&gt;"",'RAW DATA'!$C314,"")</f>
        <v/>
      </c>
      <c r="C312" s="1" t="str">
        <f>IF('RAW DATA'!$D314&lt;&gt;"",'RAW DATA'!$D314,"")</f>
        <v/>
      </c>
      <c r="D312" s="1" t="str">
        <f>IF(AND($B311&lt;&gt;"", $B312=""), "TOTAL:", IF($D311="TOTAL:","VESSEL TARGET "&amp;'RAW DATA'!$E$2&amp;":",IF('RAW DATA'!$E312&lt;&gt;"",'RAW DATA'!$E312,"")))</f>
        <v/>
      </c>
      <c r="E312" s="29" t="str">
        <f t="shared" si="8"/>
        <v/>
      </c>
      <c r="F312" s="4" t="str">
        <f>IF($D311="TOTAL:",FIXED(ROUND(((SUM($F$4:$F310)/'RAW DATA'!$E$2)*100),1),1)&amp;"%",IF($D312="TOTAL:",SUM($F$4:$F311),IF(SUMIF('RAW DATA'!M:M,'RAW DATA'!B312,'RAW DATA'!H:H)=0,"",SUMIF('RAW DATA'!M:M,'RAW DATA'!B312,'RAW DATA'!H:H))))</f>
        <v/>
      </c>
      <c r="G312" s="4" t="str">
        <f>IF($D311="TOTAL:",FIXED(ROUND(((SUM($G$4:$G310)/'RAW DATA'!$E$2)*100),1),1)&amp;"%",IF($D312="TOTAL:",SUM($G$4:$G311),IF(SUMIF('RAW DATA'!M:M,'RAW DATA'!B312,'RAW DATA'!I:I)=0,"",SUMIF('RAW DATA'!M:M,'RAW DATA'!B312,'RAW DATA'!I:I))))</f>
        <v/>
      </c>
      <c r="H312" s="4" t="str">
        <f>IF(SUM(SUMIF('RAW DATA'!M:M,'RAW DATA'!B312,'RAW DATA'!J:J),SUMIF('RAW DATA'!N:N,'RAW DATA'!B312,'RAW DATA'!J:J),SUMIF('RAW DATA'!O:O,'RAW DATA'!B312,'RAW DATA'!J:J),SUMIF('RAW DATA'!P:P,'RAW DATA'!B312,'RAW DATA'!J:J))=0, "", SUM(SUMIF('RAW DATA'!M:M,'RAW DATA'!B312,'RAW DATA'!J:J),SUMIF('RAW DATA'!N:N,'RAW DATA'!B312,'RAW DATA'!J:J),SUMIF('RAW DATA'!O:O,'RAW DATA'!B312,'RAW DATA'!J:J),SUMIF('RAW DATA'!P:P,'RAW DATA'!B312,'RAW DATA'!J:J)))</f>
        <v/>
      </c>
      <c r="I312" s="4" t="str">
        <f>IF(SUMIF('RAW DATA'!M:M,'RAW DATA'!B312, 'RAW DATA'!K:K)=0, "", SUMIF('RAW DATA'!M:M,'RAW DATA'!B312, 'RAW DATA'!K:K))</f>
        <v/>
      </c>
      <c r="J312" s="29" t="str">
        <f>IF('RAW DATA'!B312&lt;&gt;"",IF(OR('RAW DATA'!H312=1,'RAW DATA'!H312=2),1,IF(ISNUMBER(FIND("Medic",'RAW DATA'!E312)),1,"")),"")</f>
        <v/>
      </c>
      <c r="K312" s="29" t="str">
        <f>IF(AND('RAW DATA'!$B312&lt;&gt;"",'RAW DATA'!L312=1),1,"")</f>
        <v/>
      </c>
      <c r="L312" s="24" t="str">
        <f t="shared" si="9"/>
        <v/>
      </c>
    </row>
    <row r="313" spans="2:12" x14ac:dyDescent="0.25">
      <c r="B313" s="1" t="str">
        <f>IF('RAW DATA'!$C315&lt;&gt;"",'RAW DATA'!$C315,"")</f>
        <v/>
      </c>
      <c r="C313" s="1" t="str">
        <f>IF('RAW DATA'!$D315&lt;&gt;"",'RAW DATA'!$D315,"")</f>
        <v/>
      </c>
      <c r="D313" s="1" t="str">
        <f>IF(AND($B312&lt;&gt;"", $B313=""), "TOTAL:", IF($D312="TOTAL:","VESSEL TARGET "&amp;'RAW DATA'!$E$2&amp;":",IF('RAW DATA'!$E313&lt;&gt;"",'RAW DATA'!$E313,"")))</f>
        <v/>
      </c>
      <c r="E313" s="29" t="str">
        <f t="shared" si="8"/>
        <v/>
      </c>
      <c r="F313" s="4" t="str">
        <f>IF($D312="TOTAL:",FIXED(ROUND(((SUM($F$4:$F311)/'RAW DATA'!$E$2)*100),1),1)&amp;"%",IF($D313="TOTAL:",SUM($F$4:$F312),IF(SUMIF('RAW DATA'!M:M,'RAW DATA'!B313,'RAW DATA'!H:H)=0,"",SUMIF('RAW DATA'!M:M,'RAW DATA'!B313,'RAW DATA'!H:H))))</f>
        <v/>
      </c>
      <c r="G313" s="4" t="str">
        <f>IF($D312="TOTAL:",FIXED(ROUND(((SUM($G$4:$G311)/'RAW DATA'!$E$2)*100),1),1)&amp;"%",IF($D313="TOTAL:",SUM($G$4:$G312),IF(SUMIF('RAW DATA'!M:M,'RAW DATA'!B313,'RAW DATA'!I:I)=0,"",SUMIF('RAW DATA'!M:M,'RAW DATA'!B313,'RAW DATA'!I:I))))</f>
        <v/>
      </c>
      <c r="H313" s="4" t="str">
        <f>IF(SUM(SUMIF('RAW DATA'!M:M,'RAW DATA'!B313,'RAW DATA'!J:J),SUMIF('RAW DATA'!N:N,'RAW DATA'!B313,'RAW DATA'!J:J),SUMIF('RAW DATA'!O:O,'RAW DATA'!B313,'RAW DATA'!J:J),SUMIF('RAW DATA'!P:P,'RAW DATA'!B313,'RAW DATA'!J:J))=0, "", SUM(SUMIF('RAW DATA'!M:M,'RAW DATA'!B313,'RAW DATA'!J:J),SUMIF('RAW DATA'!N:N,'RAW DATA'!B313,'RAW DATA'!J:J),SUMIF('RAW DATA'!O:O,'RAW DATA'!B313,'RAW DATA'!J:J),SUMIF('RAW DATA'!P:P,'RAW DATA'!B313,'RAW DATA'!J:J)))</f>
        <v/>
      </c>
      <c r="I313" s="4" t="str">
        <f>IF(SUMIF('RAW DATA'!M:M,'RAW DATA'!B313, 'RAW DATA'!K:K)=0, "", SUMIF('RAW DATA'!M:M,'RAW DATA'!B313, 'RAW DATA'!K:K))</f>
        <v/>
      </c>
      <c r="J313" s="29" t="str">
        <f>IF('RAW DATA'!B313&lt;&gt;"",IF(OR('RAW DATA'!H313=1,'RAW DATA'!H313=2),1,IF(ISNUMBER(FIND("Medic",'RAW DATA'!E313)),1,"")),"")</f>
        <v/>
      </c>
      <c r="K313" s="29" t="str">
        <f>IF(AND('RAW DATA'!$B313&lt;&gt;"",'RAW DATA'!L313=1),1,"")</f>
        <v/>
      </c>
      <c r="L313" s="24" t="str">
        <f t="shared" si="9"/>
        <v/>
      </c>
    </row>
    <row r="314" spans="2:12" x14ac:dyDescent="0.25">
      <c r="B314" s="1" t="str">
        <f>IF('RAW DATA'!$C316&lt;&gt;"",'RAW DATA'!$C316,"")</f>
        <v/>
      </c>
      <c r="C314" s="1" t="str">
        <f>IF('RAW DATA'!$D316&lt;&gt;"",'RAW DATA'!$D316,"")</f>
        <v/>
      </c>
      <c r="D314" s="1" t="str">
        <f>IF(AND($B313&lt;&gt;"", $B314=""), "TOTAL:", IF($D313="TOTAL:","VESSEL TARGET "&amp;'RAW DATA'!$E$2&amp;":",IF('RAW DATA'!$E314&lt;&gt;"",'RAW DATA'!$E314,"")))</f>
        <v/>
      </c>
      <c r="E314" s="29" t="str">
        <f t="shared" si="8"/>
        <v/>
      </c>
      <c r="F314" s="4" t="str">
        <f>IF($D313="TOTAL:",FIXED(ROUND(((SUM($F$4:$F312)/'RAW DATA'!$E$2)*100),1),1)&amp;"%",IF($D314="TOTAL:",SUM($F$4:$F313),IF(SUMIF('RAW DATA'!M:M,'RAW DATA'!B314,'RAW DATA'!H:H)=0,"",SUMIF('RAW DATA'!M:M,'RAW DATA'!B314,'RAW DATA'!H:H))))</f>
        <v/>
      </c>
      <c r="G314" s="4" t="str">
        <f>IF($D313="TOTAL:",FIXED(ROUND(((SUM($G$4:$G312)/'RAW DATA'!$E$2)*100),1),1)&amp;"%",IF($D314="TOTAL:",SUM($G$4:$G313),IF(SUMIF('RAW DATA'!M:M,'RAW DATA'!B314,'RAW DATA'!I:I)=0,"",SUMIF('RAW DATA'!M:M,'RAW DATA'!B314,'RAW DATA'!I:I))))</f>
        <v/>
      </c>
      <c r="H314" s="4" t="str">
        <f>IF(SUM(SUMIF('RAW DATA'!M:M,'RAW DATA'!B314,'RAW DATA'!J:J),SUMIF('RAW DATA'!N:N,'RAW DATA'!B314,'RAW DATA'!J:J),SUMIF('RAW DATA'!O:O,'RAW DATA'!B314,'RAW DATA'!J:J),SUMIF('RAW DATA'!P:P,'RAW DATA'!B314,'RAW DATA'!J:J))=0, "", SUM(SUMIF('RAW DATA'!M:M,'RAW DATA'!B314,'RAW DATA'!J:J),SUMIF('RAW DATA'!N:N,'RAW DATA'!B314,'RAW DATA'!J:J),SUMIF('RAW DATA'!O:O,'RAW DATA'!B314,'RAW DATA'!J:J),SUMIF('RAW DATA'!P:P,'RAW DATA'!B314,'RAW DATA'!J:J)))</f>
        <v/>
      </c>
      <c r="I314" s="4" t="str">
        <f>IF(SUMIF('RAW DATA'!M:M,'RAW DATA'!B314, 'RAW DATA'!K:K)=0, "", SUMIF('RAW DATA'!M:M,'RAW DATA'!B314, 'RAW DATA'!K:K))</f>
        <v/>
      </c>
      <c r="J314" s="29" t="str">
        <f>IF('RAW DATA'!B314&lt;&gt;"",IF(OR('RAW DATA'!H314=1,'RAW DATA'!H314=2),1,IF(ISNUMBER(FIND("Medic",'RAW DATA'!E314)),1,"")),"")</f>
        <v/>
      </c>
      <c r="K314" s="29" t="str">
        <f>IF(AND('RAW DATA'!$B314&lt;&gt;"",'RAW DATA'!L314=1),1,"")</f>
        <v/>
      </c>
      <c r="L314" s="24" t="str">
        <f t="shared" si="9"/>
        <v/>
      </c>
    </row>
    <row r="315" spans="2:12" x14ac:dyDescent="0.25">
      <c r="B315" s="1" t="str">
        <f>IF('RAW DATA'!$C317&lt;&gt;"",'RAW DATA'!$C317,"")</f>
        <v/>
      </c>
      <c r="C315" s="1" t="str">
        <f>IF('RAW DATA'!$D317&lt;&gt;"",'RAW DATA'!$D317,"")</f>
        <v/>
      </c>
      <c r="D315" s="1" t="str">
        <f>IF(AND($B314&lt;&gt;"", $B315=""), "TOTAL:", IF($D314="TOTAL:","VESSEL TARGET "&amp;'RAW DATA'!$E$2&amp;":",IF('RAW DATA'!$E315&lt;&gt;"",'RAW DATA'!$E315,"")))</f>
        <v/>
      </c>
      <c r="E315" s="29" t="str">
        <f t="shared" si="8"/>
        <v/>
      </c>
      <c r="F315" s="4" t="str">
        <f>IF($D314="TOTAL:",FIXED(ROUND(((SUM($F$4:$F313)/'RAW DATA'!$E$2)*100),1),1)&amp;"%",IF($D315="TOTAL:",SUM($F$4:$F314),IF(SUMIF('RAW DATA'!M:M,'RAW DATA'!B315,'RAW DATA'!H:H)=0,"",SUMIF('RAW DATA'!M:M,'RAW DATA'!B315,'RAW DATA'!H:H))))</f>
        <v/>
      </c>
      <c r="G315" s="4" t="str">
        <f>IF($D314="TOTAL:",FIXED(ROUND(((SUM($G$4:$G313)/'RAW DATA'!$E$2)*100),1),1)&amp;"%",IF($D315="TOTAL:",SUM($G$4:$G314),IF(SUMIF('RAW DATA'!M:M,'RAW DATA'!B315,'RAW DATA'!I:I)=0,"",SUMIF('RAW DATA'!M:M,'RAW DATA'!B315,'RAW DATA'!I:I))))</f>
        <v/>
      </c>
      <c r="H315" s="4" t="str">
        <f>IF(SUM(SUMIF('RAW DATA'!M:M,'RAW DATA'!B315,'RAW DATA'!J:J),SUMIF('RAW DATA'!N:N,'RAW DATA'!B315,'RAW DATA'!J:J),SUMIF('RAW DATA'!O:O,'RAW DATA'!B315,'RAW DATA'!J:J),SUMIF('RAW DATA'!P:P,'RAW DATA'!B315,'RAW DATA'!J:J))=0, "", SUM(SUMIF('RAW DATA'!M:M,'RAW DATA'!B315,'RAW DATA'!J:J),SUMIF('RAW DATA'!N:N,'RAW DATA'!B315,'RAW DATA'!J:J),SUMIF('RAW DATA'!O:O,'RAW DATA'!B315,'RAW DATA'!J:J),SUMIF('RAW DATA'!P:P,'RAW DATA'!B315,'RAW DATA'!J:J)))</f>
        <v/>
      </c>
      <c r="I315" s="4" t="str">
        <f>IF(SUMIF('RAW DATA'!M:M,'RAW DATA'!B315, 'RAW DATA'!K:K)=0, "", SUMIF('RAW DATA'!M:M,'RAW DATA'!B315, 'RAW DATA'!K:K))</f>
        <v/>
      </c>
      <c r="J315" s="29" t="str">
        <f>IF('RAW DATA'!B315&lt;&gt;"",IF(OR('RAW DATA'!H315=1,'RAW DATA'!H315=2),1,IF(ISNUMBER(FIND("Medic",'RAW DATA'!E315)),1,"")),"")</f>
        <v/>
      </c>
      <c r="K315" s="29" t="str">
        <f>IF(AND('RAW DATA'!$B315&lt;&gt;"",'RAW DATA'!L315=1),1,"")</f>
        <v/>
      </c>
      <c r="L315" s="24" t="str">
        <f t="shared" si="9"/>
        <v/>
      </c>
    </row>
    <row r="316" spans="2:12" x14ac:dyDescent="0.25">
      <c r="B316" s="1" t="str">
        <f>IF('RAW DATA'!$C318&lt;&gt;"",'RAW DATA'!$C318,"")</f>
        <v/>
      </c>
      <c r="C316" s="1" t="str">
        <f>IF('RAW DATA'!$D318&lt;&gt;"",'RAW DATA'!$D318,"")</f>
        <v/>
      </c>
      <c r="D316" s="1" t="str">
        <f>IF(AND($B315&lt;&gt;"", $B316=""), "TOTAL:", IF($D315="TOTAL:","VESSEL TARGET "&amp;'RAW DATA'!$E$2&amp;":",IF('RAW DATA'!$E316&lt;&gt;"",'RAW DATA'!$E316,"")))</f>
        <v/>
      </c>
      <c r="E316" s="29" t="str">
        <f t="shared" si="8"/>
        <v/>
      </c>
      <c r="F316" s="4" t="str">
        <f>IF($D315="TOTAL:",FIXED(ROUND(((SUM($F$4:$F314)/'RAW DATA'!$E$2)*100),1),1)&amp;"%",IF($D316="TOTAL:",SUM($F$4:$F315),IF(SUMIF('RAW DATA'!M:M,'RAW DATA'!B316,'RAW DATA'!H:H)=0,"",SUMIF('RAW DATA'!M:M,'RAW DATA'!B316,'RAW DATA'!H:H))))</f>
        <v/>
      </c>
      <c r="G316" s="4" t="str">
        <f>IF($D315="TOTAL:",FIXED(ROUND(((SUM($G$4:$G314)/'RAW DATA'!$E$2)*100),1),1)&amp;"%",IF($D316="TOTAL:",SUM($G$4:$G315),IF(SUMIF('RAW DATA'!M:M,'RAW DATA'!B316,'RAW DATA'!I:I)=0,"",SUMIF('RAW DATA'!M:M,'RAW DATA'!B316,'RAW DATA'!I:I))))</f>
        <v/>
      </c>
      <c r="H316" s="4" t="str">
        <f>IF(SUM(SUMIF('RAW DATA'!M:M,'RAW DATA'!B316,'RAW DATA'!J:J),SUMIF('RAW DATA'!N:N,'RAW DATA'!B316,'RAW DATA'!J:J),SUMIF('RAW DATA'!O:O,'RAW DATA'!B316,'RAW DATA'!J:J),SUMIF('RAW DATA'!P:P,'RAW DATA'!B316,'RAW DATA'!J:J))=0, "", SUM(SUMIF('RAW DATA'!M:M,'RAW DATA'!B316,'RAW DATA'!J:J),SUMIF('RAW DATA'!N:N,'RAW DATA'!B316,'RAW DATA'!J:J),SUMIF('RAW DATA'!O:O,'RAW DATA'!B316,'RAW DATA'!J:J),SUMIF('RAW DATA'!P:P,'RAW DATA'!B316,'RAW DATA'!J:J)))</f>
        <v/>
      </c>
      <c r="I316" s="4" t="str">
        <f>IF(SUMIF('RAW DATA'!M:M,'RAW DATA'!B316, 'RAW DATA'!K:K)=0, "", SUMIF('RAW DATA'!M:M,'RAW DATA'!B316, 'RAW DATA'!K:K))</f>
        <v/>
      </c>
      <c r="J316" s="29" t="str">
        <f>IF('RAW DATA'!B316&lt;&gt;"",IF(OR('RAW DATA'!H316=1,'RAW DATA'!H316=2),1,IF(ISNUMBER(FIND("Medic",'RAW DATA'!E316)),1,"")),"")</f>
        <v/>
      </c>
      <c r="K316" s="29" t="str">
        <f>IF(AND('RAW DATA'!$B316&lt;&gt;"",'RAW DATA'!L316=1),1,"")</f>
        <v/>
      </c>
      <c r="L316" s="24" t="str">
        <f t="shared" si="9"/>
        <v/>
      </c>
    </row>
    <row r="317" spans="2:12" x14ac:dyDescent="0.25">
      <c r="B317" s="1" t="str">
        <f>IF('RAW DATA'!$C319&lt;&gt;"",'RAW DATA'!$C319,"")</f>
        <v/>
      </c>
      <c r="C317" s="1" t="str">
        <f>IF('RAW DATA'!$D319&lt;&gt;"",'RAW DATA'!$D319,"")</f>
        <v/>
      </c>
      <c r="D317" s="1" t="str">
        <f>IF(AND($B316&lt;&gt;"", $B317=""), "TOTAL:", IF($D316="TOTAL:","VESSEL TARGET "&amp;'RAW DATA'!$E$2&amp;":",IF('RAW DATA'!$E317&lt;&gt;"",'RAW DATA'!$E317,"")))</f>
        <v/>
      </c>
      <c r="E317" s="29" t="str">
        <f t="shared" si="8"/>
        <v/>
      </c>
      <c r="F317" s="4" t="str">
        <f>IF($D316="TOTAL:",FIXED(ROUND(((SUM($F$4:$F315)/'RAW DATA'!$E$2)*100),1),1)&amp;"%",IF($D317="TOTAL:",SUM($F$4:$F316),IF(SUMIF('RAW DATA'!M:M,'RAW DATA'!B317,'RAW DATA'!H:H)=0,"",SUMIF('RAW DATA'!M:M,'RAW DATA'!B317,'RAW DATA'!H:H))))</f>
        <v/>
      </c>
      <c r="G317" s="4" t="str">
        <f>IF($D316="TOTAL:",FIXED(ROUND(((SUM($G$4:$G315)/'RAW DATA'!$E$2)*100),1),1)&amp;"%",IF($D317="TOTAL:",SUM($G$4:$G316),IF(SUMIF('RAW DATA'!M:M,'RAW DATA'!B317,'RAW DATA'!I:I)=0,"",SUMIF('RAW DATA'!M:M,'RAW DATA'!B317,'RAW DATA'!I:I))))</f>
        <v/>
      </c>
      <c r="H317" s="4" t="str">
        <f>IF(SUM(SUMIF('RAW DATA'!M:M,'RAW DATA'!B317,'RAW DATA'!J:J),SUMIF('RAW DATA'!N:N,'RAW DATA'!B317,'RAW DATA'!J:J),SUMIF('RAW DATA'!O:O,'RAW DATA'!B317,'RAW DATA'!J:J),SUMIF('RAW DATA'!P:P,'RAW DATA'!B317,'RAW DATA'!J:J))=0, "", SUM(SUMIF('RAW DATA'!M:M,'RAW DATA'!B317,'RAW DATA'!J:J),SUMIF('RAW DATA'!N:N,'RAW DATA'!B317,'RAW DATA'!J:J),SUMIF('RAW DATA'!O:O,'RAW DATA'!B317,'RAW DATA'!J:J),SUMIF('RAW DATA'!P:P,'RAW DATA'!B317,'RAW DATA'!J:J)))</f>
        <v/>
      </c>
      <c r="I317" s="4" t="str">
        <f>IF(SUMIF('RAW DATA'!M:M,'RAW DATA'!B317, 'RAW DATA'!K:K)=0, "", SUMIF('RAW DATA'!M:M,'RAW DATA'!B317, 'RAW DATA'!K:K))</f>
        <v/>
      </c>
      <c r="J317" s="29" t="str">
        <f>IF('RAW DATA'!B317&lt;&gt;"",IF(OR('RAW DATA'!H317=1,'RAW DATA'!H317=2),1,IF(ISNUMBER(FIND("Medic",'RAW DATA'!E317)),1,"")),"")</f>
        <v/>
      </c>
      <c r="K317" s="29" t="str">
        <f>IF(AND('RAW DATA'!$B317&lt;&gt;"",'RAW DATA'!L317=1),1,"")</f>
        <v/>
      </c>
      <c r="L317" s="24" t="str">
        <f t="shared" si="9"/>
        <v/>
      </c>
    </row>
    <row r="318" spans="2:12" x14ac:dyDescent="0.25">
      <c r="B318" s="1" t="str">
        <f>IF('RAW DATA'!$C320&lt;&gt;"",'RAW DATA'!$C320,"")</f>
        <v/>
      </c>
      <c r="C318" s="1" t="str">
        <f>IF('RAW DATA'!$D320&lt;&gt;"",'RAW DATA'!$D320,"")</f>
        <v/>
      </c>
      <c r="D318" s="1" t="str">
        <f>IF(AND($B317&lt;&gt;"", $B318=""), "TOTAL:", IF($D317="TOTAL:","VESSEL TARGET "&amp;'RAW DATA'!$E$2&amp;":",IF('RAW DATA'!$E318&lt;&gt;"",'RAW DATA'!$E318,"")))</f>
        <v/>
      </c>
      <c r="E318" s="29" t="str">
        <f t="shared" si="8"/>
        <v/>
      </c>
      <c r="F318" s="4" t="str">
        <f>IF($D317="TOTAL:",FIXED(ROUND(((SUM($F$4:$F316)/'RAW DATA'!$E$2)*100),1),1)&amp;"%",IF($D318="TOTAL:",SUM($F$4:$F317),IF(SUMIF('RAW DATA'!M:M,'RAW DATA'!B318,'RAW DATA'!H:H)=0,"",SUMIF('RAW DATA'!M:M,'RAW DATA'!B318,'RAW DATA'!H:H))))</f>
        <v/>
      </c>
      <c r="G318" s="4" t="str">
        <f>IF($D317="TOTAL:",FIXED(ROUND(((SUM($G$4:$G316)/'RAW DATA'!$E$2)*100),1),1)&amp;"%",IF($D318="TOTAL:",SUM($G$4:$G317),IF(SUMIF('RAW DATA'!M:M,'RAW DATA'!B318,'RAW DATA'!I:I)=0,"",SUMIF('RAW DATA'!M:M,'RAW DATA'!B318,'RAW DATA'!I:I))))</f>
        <v/>
      </c>
      <c r="H318" s="4" t="str">
        <f>IF(SUM(SUMIF('RAW DATA'!M:M,'RAW DATA'!B318,'RAW DATA'!J:J),SUMIF('RAW DATA'!N:N,'RAW DATA'!B318,'RAW DATA'!J:J),SUMIF('RAW DATA'!O:O,'RAW DATA'!B318,'RAW DATA'!J:J),SUMIF('RAW DATA'!P:P,'RAW DATA'!B318,'RAW DATA'!J:J))=0, "", SUM(SUMIF('RAW DATA'!M:M,'RAW DATA'!B318,'RAW DATA'!J:J),SUMIF('RAW DATA'!N:N,'RAW DATA'!B318,'RAW DATA'!J:J),SUMIF('RAW DATA'!O:O,'RAW DATA'!B318,'RAW DATA'!J:J),SUMIF('RAW DATA'!P:P,'RAW DATA'!B318,'RAW DATA'!J:J)))</f>
        <v/>
      </c>
      <c r="I318" s="4" t="str">
        <f>IF(SUMIF('RAW DATA'!M:M,'RAW DATA'!B318, 'RAW DATA'!K:K)=0, "", SUMIF('RAW DATA'!M:M,'RAW DATA'!B318, 'RAW DATA'!K:K))</f>
        <v/>
      </c>
      <c r="J318" s="29" t="str">
        <f>IF('RAW DATA'!B318&lt;&gt;"",IF(OR('RAW DATA'!H318=1,'RAW DATA'!H318=2),1,IF(ISNUMBER(FIND("Medic",'RAW DATA'!E318)),1,"")),"")</f>
        <v/>
      </c>
      <c r="K318" s="29" t="str">
        <f>IF(AND('RAW DATA'!$B318&lt;&gt;"",'RAW DATA'!L318=1),1,"")</f>
        <v/>
      </c>
      <c r="L318" s="24" t="str">
        <f t="shared" si="9"/>
        <v/>
      </c>
    </row>
    <row r="319" spans="2:12" x14ac:dyDescent="0.25">
      <c r="B319" s="1" t="str">
        <f>IF('RAW DATA'!$C321&lt;&gt;"",'RAW DATA'!$C321,"")</f>
        <v/>
      </c>
      <c r="C319" s="1" t="str">
        <f>IF('RAW DATA'!$D321&lt;&gt;"",'RAW DATA'!$D321,"")</f>
        <v/>
      </c>
      <c r="D319" s="1" t="str">
        <f>IF(AND($B318&lt;&gt;"", $B319=""), "TOTAL:", IF($D318="TOTAL:","VESSEL TARGET "&amp;'RAW DATA'!$E$2&amp;":",IF('RAW DATA'!$E319&lt;&gt;"",'RAW DATA'!$E319,"")))</f>
        <v/>
      </c>
      <c r="E319" s="29" t="str">
        <f t="shared" si="8"/>
        <v/>
      </c>
      <c r="F319" s="4" t="str">
        <f>IF($D318="TOTAL:",FIXED(ROUND(((SUM($F$4:$F317)/'RAW DATA'!$E$2)*100),1),1)&amp;"%",IF($D319="TOTAL:",SUM($F$4:$F318),IF(SUMIF('RAW DATA'!M:M,'RAW DATA'!B319,'RAW DATA'!H:H)=0,"",SUMIF('RAW DATA'!M:M,'RAW DATA'!B319,'RAW DATA'!H:H))))</f>
        <v/>
      </c>
      <c r="G319" s="4" t="str">
        <f>IF($D318="TOTAL:",FIXED(ROUND(((SUM($G$4:$G317)/'RAW DATA'!$E$2)*100),1),1)&amp;"%",IF($D319="TOTAL:",SUM($G$4:$G318),IF(SUMIF('RAW DATA'!M:M,'RAW DATA'!B319,'RAW DATA'!I:I)=0,"",SUMIF('RAW DATA'!M:M,'RAW DATA'!B319,'RAW DATA'!I:I))))</f>
        <v/>
      </c>
      <c r="H319" s="4" t="str">
        <f>IF(SUM(SUMIF('RAW DATA'!M:M,'RAW DATA'!B319,'RAW DATA'!J:J),SUMIF('RAW DATA'!N:N,'RAW DATA'!B319,'RAW DATA'!J:J),SUMIF('RAW DATA'!O:O,'RAW DATA'!B319,'RAW DATA'!J:J),SUMIF('RAW DATA'!P:P,'RAW DATA'!B319,'RAW DATA'!J:J))=0, "", SUM(SUMIF('RAW DATA'!M:M,'RAW DATA'!B319,'RAW DATA'!J:J),SUMIF('RAW DATA'!N:N,'RAW DATA'!B319,'RAW DATA'!J:J),SUMIF('RAW DATA'!O:O,'RAW DATA'!B319,'RAW DATA'!J:J),SUMIF('RAW DATA'!P:P,'RAW DATA'!B319,'RAW DATA'!J:J)))</f>
        <v/>
      </c>
      <c r="I319" s="4" t="str">
        <f>IF(SUMIF('RAW DATA'!M:M,'RAW DATA'!B319, 'RAW DATA'!K:K)=0, "", SUMIF('RAW DATA'!M:M,'RAW DATA'!B319, 'RAW DATA'!K:K))</f>
        <v/>
      </c>
      <c r="J319" s="29" t="str">
        <f>IF('RAW DATA'!B319&lt;&gt;"",IF(OR('RAW DATA'!H319=1,'RAW DATA'!H319=2),1,IF(ISNUMBER(FIND("Medic",'RAW DATA'!E319)),1,"")),"")</f>
        <v/>
      </c>
      <c r="K319" s="29" t="str">
        <f>IF(AND('RAW DATA'!$B319&lt;&gt;"",'RAW DATA'!L319=1),1,"")</f>
        <v/>
      </c>
      <c r="L319" s="24" t="str">
        <f t="shared" si="9"/>
        <v/>
      </c>
    </row>
    <row r="320" spans="2:12" x14ac:dyDescent="0.25">
      <c r="B320" s="1" t="str">
        <f>IF('RAW DATA'!$C322&lt;&gt;"",'RAW DATA'!$C322,"")</f>
        <v/>
      </c>
      <c r="C320" s="1" t="str">
        <f>IF('RAW DATA'!$D322&lt;&gt;"",'RAW DATA'!$D322,"")</f>
        <v/>
      </c>
      <c r="D320" s="1" t="str">
        <f>IF(AND($B319&lt;&gt;"", $B320=""), "TOTAL:", IF($D319="TOTAL:","VESSEL TARGET "&amp;'RAW DATA'!$E$2&amp;":",IF('RAW DATA'!$E320&lt;&gt;"",'RAW DATA'!$E320,"")))</f>
        <v/>
      </c>
      <c r="E320" s="29" t="str">
        <f t="shared" si="8"/>
        <v/>
      </c>
      <c r="F320" s="4" t="str">
        <f>IF($D319="TOTAL:",FIXED(ROUND(((SUM($F$4:$F318)/'RAW DATA'!$E$2)*100),1),1)&amp;"%",IF($D320="TOTAL:",SUM($F$4:$F319),IF(SUMIF('RAW DATA'!M:M,'RAW DATA'!B320,'RAW DATA'!H:H)=0,"",SUMIF('RAW DATA'!M:M,'RAW DATA'!B320,'RAW DATA'!H:H))))</f>
        <v/>
      </c>
      <c r="G320" s="4" t="str">
        <f>IF($D319="TOTAL:",FIXED(ROUND(((SUM($G$4:$G318)/'RAW DATA'!$E$2)*100),1),1)&amp;"%",IF($D320="TOTAL:",SUM($G$4:$G319),IF(SUMIF('RAW DATA'!M:M,'RAW DATA'!B320,'RAW DATA'!I:I)=0,"",SUMIF('RAW DATA'!M:M,'RAW DATA'!B320,'RAW DATA'!I:I))))</f>
        <v/>
      </c>
      <c r="H320" s="4" t="str">
        <f>IF(SUM(SUMIF('RAW DATA'!M:M,'RAW DATA'!B320,'RAW DATA'!J:J),SUMIF('RAW DATA'!N:N,'RAW DATA'!B320,'RAW DATA'!J:J),SUMIF('RAW DATA'!O:O,'RAW DATA'!B320,'RAW DATA'!J:J),SUMIF('RAW DATA'!P:P,'RAW DATA'!B320,'RAW DATA'!J:J))=0, "", SUM(SUMIF('RAW DATA'!M:M,'RAW DATA'!B320,'RAW DATA'!J:J),SUMIF('RAW DATA'!N:N,'RAW DATA'!B320,'RAW DATA'!J:J),SUMIF('RAW DATA'!O:O,'RAW DATA'!B320,'RAW DATA'!J:J),SUMIF('RAW DATA'!P:P,'RAW DATA'!B320,'RAW DATA'!J:J)))</f>
        <v/>
      </c>
      <c r="I320" s="4" t="str">
        <f>IF(SUMIF('RAW DATA'!M:M,'RAW DATA'!B320, 'RAW DATA'!K:K)=0, "", SUMIF('RAW DATA'!M:M,'RAW DATA'!B320, 'RAW DATA'!K:K))</f>
        <v/>
      </c>
      <c r="J320" s="29" t="str">
        <f>IF('RAW DATA'!B320&lt;&gt;"",IF(OR('RAW DATA'!H320=1,'RAW DATA'!H320=2),1,IF(ISNUMBER(FIND("Medic",'RAW DATA'!E320)),1,"")),"")</f>
        <v/>
      </c>
      <c r="K320" s="29" t="str">
        <f>IF(AND('RAW DATA'!$B320&lt;&gt;"",'RAW DATA'!L320=1),1,"")</f>
        <v/>
      </c>
      <c r="L320" s="24" t="str">
        <f t="shared" si="9"/>
        <v/>
      </c>
    </row>
    <row r="321" spans="2:12" x14ac:dyDescent="0.25">
      <c r="B321" s="1" t="str">
        <f>IF('RAW DATA'!$C323&lt;&gt;"",'RAW DATA'!$C323,"")</f>
        <v/>
      </c>
      <c r="C321" s="1" t="str">
        <f>IF('RAW DATA'!$D323&lt;&gt;"",'RAW DATA'!$D323,"")</f>
        <v/>
      </c>
      <c r="D321" s="1" t="str">
        <f>IF(AND($B320&lt;&gt;"", $B321=""), "TOTAL:", IF($D320="TOTAL:","VESSEL TARGET "&amp;'RAW DATA'!$E$2&amp;":",IF('RAW DATA'!$E321&lt;&gt;"",'RAW DATA'!$E321,"")))</f>
        <v/>
      </c>
      <c r="E321" s="29" t="str">
        <f t="shared" si="8"/>
        <v/>
      </c>
      <c r="F321" s="4" t="str">
        <f>IF($D320="TOTAL:",FIXED(ROUND(((SUM($F$4:$F319)/'RAW DATA'!$E$2)*100),1),1)&amp;"%",IF($D321="TOTAL:",SUM($F$4:$F320),IF(SUMIF('RAW DATA'!M:M,'RAW DATA'!B321,'RAW DATA'!H:H)=0,"",SUMIF('RAW DATA'!M:M,'RAW DATA'!B321,'RAW DATA'!H:H))))</f>
        <v/>
      </c>
      <c r="G321" s="4" t="str">
        <f>IF($D320="TOTAL:",FIXED(ROUND(((SUM($G$4:$G319)/'RAW DATA'!$E$2)*100),1),1)&amp;"%",IF($D321="TOTAL:",SUM($G$4:$G320),IF(SUMIF('RAW DATA'!M:M,'RAW DATA'!B321,'RAW DATA'!I:I)=0,"",SUMIF('RAW DATA'!M:M,'RAW DATA'!B321,'RAW DATA'!I:I))))</f>
        <v/>
      </c>
      <c r="H321" s="4" t="str">
        <f>IF(SUM(SUMIF('RAW DATA'!M:M,'RAW DATA'!B321,'RAW DATA'!J:J),SUMIF('RAW DATA'!N:N,'RAW DATA'!B321,'RAW DATA'!J:J),SUMIF('RAW DATA'!O:O,'RAW DATA'!B321,'RAW DATA'!J:J),SUMIF('RAW DATA'!P:P,'RAW DATA'!B321,'RAW DATA'!J:J))=0, "", SUM(SUMIF('RAW DATA'!M:M,'RAW DATA'!B321,'RAW DATA'!J:J),SUMIF('RAW DATA'!N:N,'RAW DATA'!B321,'RAW DATA'!J:J),SUMIF('RAW DATA'!O:O,'RAW DATA'!B321,'RAW DATA'!J:J),SUMIF('RAW DATA'!P:P,'RAW DATA'!B321,'RAW DATA'!J:J)))</f>
        <v/>
      </c>
      <c r="I321" s="4" t="str">
        <f>IF(SUMIF('RAW DATA'!M:M,'RAW DATA'!B321, 'RAW DATA'!K:K)=0, "", SUMIF('RAW DATA'!M:M,'RAW DATA'!B321, 'RAW DATA'!K:K))</f>
        <v/>
      </c>
      <c r="J321" s="29" t="str">
        <f>IF('RAW DATA'!B321&lt;&gt;"",IF(OR('RAW DATA'!H321=1,'RAW DATA'!H321=2),1,IF(ISNUMBER(FIND("Medic",'RAW DATA'!E321)),1,"")),"")</f>
        <v/>
      </c>
      <c r="K321" s="29" t="str">
        <f>IF(AND('RAW DATA'!$B321&lt;&gt;"",'RAW DATA'!L321=1),1,"")</f>
        <v/>
      </c>
      <c r="L321" s="24" t="str">
        <f t="shared" si="9"/>
        <v/>
      </c>
    </row>
    <row r="322" spans="2:12" x14ac:dyDescent="0.25">
      <c r="B322" s="1" t="str">
        <f>IF('RAW DATA'!$C324&lt;&gt;"",'RAW DATA'!$C324,"")</f>
        <v/>
      </c>
      <c r="C322" s="1" t="str">
        <f>IF('RAW DATA'!$D324&lt;&gt;"",'RAW DATA'!$D324,"")</f>
        <v/>
      </c>
      <c r="D322" s="1" t="str">
        <f>IF(AND($B321&lt;&gt;"", $B322=""), "TOTAL:", IF($D321="TOTAL:","VESSEL TARGET "&amp;'RAW DATA'!$E$2&amp;":",IF('RAW DATA'!$E322&lt;&gt;"",'RAW DATA'!$E322,"")))</f>
        <v/>
      </c>
      <c r="E322" s="29" t="str">
        <f t="shared" si="8"/>
        <v/>
      </c>
      <c r="F322" s="4" t="str">
        <f>IF($D321="TOTAL:",FIXED(ROUND(((SUM($F$4:$F320)/'RAW DATA'!$E$2)*100),1),1)&amp;"%",IF($D322="TOTAL:",SUM($F$4:$F321),IF(SUMIF('RAW DATA'!M:M,'RAW DATA'!B322,'RAW DATA'!H:H)=0,"",SUMIF('RAW DATA'!M:M,'RAW DATA'!B322,'RAW DATA'!H:H))))</f>
        <v/>
      </c>
      <c r="G322" s="4" t="str">
        <f>IF($D321="TOTAL:",FIXED(ROUND(((SUM($G$4:$G320)/'RAW DATA'!$E$2)*100),1),1)&amp;"%",IF($D322="TOTAL:",SUM($G$4:$G321),IF(SUMIF('RAW DATA'!M:M,'RAW DATA'!B322,'RAW DATA'!I:I)=0,"",SUMIF('RAW DATA'!M:M,'RAW DATA'!B322,'RAW DATA'!I:I))))</f>
        <v/>
      </c>
      <c r="H322" s="4" t="str">
        <f>IF(SUM(SUMIF('RAW DATA'!M:M,'RAW DATA'!B322,'RAW DATA'!J:J),SUMIF('RAW DATA'!N:N,'RAW DATA'!B322,'RAW DATA'!J:J),SUMIF('RAW DATA'!O:O,'RAW DATA'!B322,'RAW DATA'!J:J),SUMIF('RAW DATA'!P:P,'RAW DATA'!B322,'RAW DATA'!J:J))=0, "", SUM(SUMIF('RAW DATA'!M:M,'RAW DATA'!B322,'RAW DATA'!J:J),SUMIF('RAW DATA'!N:N,'RAW DATA'!B322,'RAW DATA'!J:J),SUMIF('RAW DATA'!O:O,'RAW DATA'!B322,'RAW DATA'!J:J),SUMIF('RAW DATA'!P:P,'RAW DATA'!B322,'RAW DATA'!J:J)))</f>
        <v/>
      </c>
      <c r="I322" s="4" t="str">
        <f>IF(SUMIF('RAW DATA'!M:M,'RAW DATA'!B322, 'RAW DATA'!K:K)=0, "", SUMIF('RAW DATA'!M:M,'RAW DATA'!B322, 'RAW DATA'!K:K))</f>
        <v/>
      </c>
      <c r="J322" s="29" t="str">
        <f>IF('RAW DATA'!B322&lt;&gt;"",IF(OR('RAW DATA'!H322=1,'RAW DATA'!H322=2),1,IF(ISNUMBER(FIND("Medic",'RAW DATA'!E322)),1,"")),"")</f>
        <v/>
      </c>
      <c r="K322" s="29" t="str">
        <f>IF(AND('RAW DATA'!$B322&lt;&gt;"",'RAW DATA'!L322=1),1,"")</f>
        <v/>
      </c>
      <c r="L322" s="24" t="str">
        <f t="shared" si="9"/>
        <v/>
      </c>
    </row>
    <row r="323" spans="2:12" x14ac:dyDescent="0.25">
      <c r="B323" s="1" t="str">
        <f>IF('RAW DATA'!$C325&lt;&gt;"",'RAW DATA'!$C325,"")</f>
        <v/>
      </c>
      <c r="C323" s="1" t="str">
        <f>IF('RAW DATA'!$D325&lt;&gt;"",'RAW DATA'!$D325,"")</f>
        <v/>
      </c>
      <c r="D323" s="1" t="str">
        <f>IF(AND($B322&lt;&gt;"", $B323=""), "TOTAL:", IF($D322="TOTAL:","VESSEL TARGET "&amp;'RAW DATA'!$E$2&amp;":",IF('RAW DATA'!$E323&lt;&gt;"",'RAW DATA'!$E323,"")))</f>
        <v/>
      </c>
      <c r="E323" s="29" t="str">
        <f t="shared" si="8"/>
        <v/>
      </c>
      <c r="F323" s="4" t="str">
        <f>IF($D322="TOTAL:",FIXED(ROUND(((SUM($F$4:$F321)/'RAW DATA'!$E$2)*100),1),1)&amp;"%",IF($D323="TOTAL:",SUM($F$4:$F322),IF(SUMIF('RAW DATA'!M:M,'RAW DATA'!B323,'RAW DATA'!H:H)=0,"",SUMIF('RAW DATA'!M:M,'RAW DATA'!B323,'RAW DATA'!H:H))))</f>
        <v/>
      </c>
      <c r="G323" s="4" t="str">
        <f>IF($D322="TOTAL:",FIXED(ROUND(((SUM($G$4:$G321)/'RAW DATA'!$E$2)*100),1),1)&amp;"%",IF($D323="TOTAL:",SUM($G$4:$G322),IF(SUMIF('RAW DATA'!M:M,'RAW DATA'!B323,'RAW DATA'!I:I)=0,"",SUMIF('RAW DATA'!M:M,'RAW DATA'!B323,'RAW DATA'!I:I))))</f>
        <v/>
      </c>
      <c r="H323" s="4" t="str">
        <f>IF(SUM(SUMIF('RAW DATA'!M:M,'RAW DATA'!B323,'RAW DATA'!J:J),SUMIF('RAW DATA'!N:N,'RAW DATA'!B323,'RAW DATA'!J:J),SUMIF('RAW DATA'!O:O,'RAW DATA'!B323,'RAW DATA'!J:J),SUMIF('RAW DATA'!P:P,'RAW DATA'!B323,'RAW DATA'!J:J))=0, "", SUM(SUMIF('RAW DATA'!M:M,'RAW DATA'!B323,'RAW DATA'!J:J),SUMIF('RAW DATA'!N:N,'RAW DATA'!B323,'RAW DATA'!J:J),SUMIF('RAW DATA'!O:O,'RAW DATA'!B323,'RAW DATA'!J:J),SUMIF('RAW DATA'!P:P,'RAW DATA'!B323,'RAW DATA'!J:J)))</f>
        <v/>
      </c>
      <c r="I323" s="4" t="str">
        <f>IF(SUMIF('RAW DATA'!M:M,'RAW DATA'!B323, 'RAW DATA'!K:K)=0, "", SUMIF('RAW DATA'!M:M,'RAW DATA'!B323, 'RAW DATA'!K:K))</f>
        <v/>
      </c>
      <c r="J323" s="29" t="str">
        <f>IF('RAW DATA'!B323&lt;&gt;"",IF(OR('RAW DATA'!H323=1,'RAW DATA'!H323=2),1,IF(ISNUMBER(FIND("Medic",'RAW DATA'!E323)),1,"")),"")</f>
        <v/>
      </c>
      <c r="K323" s="29" t="str">
        <f>IF(AND('RAW DATA'!$B323&lt;&gt;"",'RAW DATA'!L323=1),1,"")</f>
        <v/>
      </c>
      <c r="L323" s="24" t="str">
        <f t="shared" si="9"/>
        <v/>
      </c>
    </row>
    <row r="324" spans="2:12" x14ac:dyDescent="0.25">
      <c r="B324" s="1" t="str">
        <f>IF('RAW DATA'!$C326&lt;&gt;"",'RAW DATA'!$C326,"")</f>
        <v/>
      </c>
      <c r="C324" s="1" t="str">
        <f>IF('RAW DATA'!$D326&lt;&gt;"",'RAW DATA'!$D326,"")</f>
        <v/>
      </c>
      <c r="D324" s="1" t="str">
        <f>IF(AND($B323&lt;&gt;"", $B324=""), "TOTAL:", IF($D323="TOTAL:","VESSEL TARGET "&amp;'RAW DATA'!$E$2&amp;":",IF('RAW DATA'!$E324&lt;&gt;"",'RAW DATA'!$E324,"")))</f>
        <v/>
      </c>
      <c r="E324" s="29" t="str">
        <f t="shared" si="8"/>
        <v/>
      </c>
      <c r="F324" s="4" t="str">
        <f>IF($D323="TOTAL:",FIXED(ROUND(((SUM($F$4:$F322)/'RAW DATA'!$E$2)*100),1),1)&amp;"%",IF($D324="TOTAL:",SUM($F$4:$F323),IF(SUMIF('RAW DATA'!M:M,'RAW DATA'!B324,'RAW DATA'!H:H)=0,"",SUMIF('RAW DATA'!M:M,'RAW DATA'!B324,'RAW DATA'!H:H))))</f>
        <v/>
      </c>
      <c r="G324" s="4" t="str">
        <f>IF($D323="TOTAL:",FIXED(ROUND(((SUM($G$4:$G322)/'RAW DATA'!$E$2)*100),1),1)&amp;"%",IF($D324="TOTAL:",SUM($G$4:$G323),IF(SUMIF('RAW DATA'!M:M,'RAW DATA'!B324,'RAW DATA'!I:I)=0,"",SUMIF('RAW DATA'!M:M,'RAW DATA'!B324,'RAW DATA'!I:I))))</f>
        <v/>
      </c>
      <c r="H324" s="4" t="str">
        <f>IF(SUM(SUMIF('RAW DATA'!M:M,'RAW DATA'!B324,'RAW DATA'!J:J),SUMIF('RAW DATA'!N:N,'RAW DATA'!B324,'RAW DATA'!J:J),SUMIF('RAW DATA'!O:O,'RAW DATA'!B324,'RAW DATA'!J:J),SUMIF('RAW DATA'!P:P,'RAW DATA'!B324,'RAW DATA'!J:J))=0, "", SUM(SUMIF('RAW DATA'!M:M,'RAW DATA'!B324,'RAW DATA'!J:J),SUMIF('RAW DATA'!N:N,'RAW DATA'!B324,'RAW DATA'!J:J),SUMIF('RAW DATA'!O:O,'RAW DATA'!B324,'RAW DATA'!J:J),SUMIF('RAW DATA'!P:P,'RAW DATA'!B324,'RAW DATA'!J:J)))</f>
        <v/>
      </c>
      <c r="I324" s="4" t="str">
        <f>IF(SUMIF('RAW DATA'!M:M,'RAW DATA'!B324, 'RAW DATA'!K:K)=0, "", SUMIF('RAW DATA'!M:M,'RAW DATA'!B324, 'RAW DATA'!K:K))</f>
        <v/>
      </c>
      <c r="J324" s="29" t="str">
        <f>IF('RAW DATA'!B324&lt;&gt;"",IF(OR('RAW DATA'!H324=1,'RAW DATA'!H324=2),1,IF(ISNUMBER(FIND("Medic",'RAW DATA'!E324)),1,"")),"")</f>
        <v/>
      </c>
      <c r="K324" s="29" t="str">
        <f>IF(AND('RAW DATA'!$B324&lt;&gt;"",'RAW DATA'!L324=1),1,"")</f>
        <v/>
      </c>
      <c r="L324" s="24" t="str">
        <f t="shared" si="9"/>
        <v/>
      </c>
    </row>
    <row r="325" spans="2:12" x14ac:dyDescent="0.25">
      <c r="B325" s="1" t="str">
        <f>IF('RAW DATA'!$C327&lt;&gt;"",'RAW DATA'!$C327,"")</f>
        <v/>
      </c>
      <c r="C325" s="1" t="str">
        <f>IF('RAW DATA'!$D327&lt;&gt;"",'RAW DATA'!$D327,"")</f>
        <v/>
      </c>
      <c r="D325" s="1" t="str">
        <f>IF(AND($B324&lt;&gt;"", $B325=""), "TOTAL:", IF($D324="TOTAL:","VESSEL TARGET "&amp;'RAW DATA'!$E$2&amp;":",IF('RAW DATA'!$E325&lt;&gt;"",'RAW DATA'!$E325,"")))</f>
        <v/>
      </c>
      <c r="E325" s="29" t="str">
        <f t="shared" ref="E325:E388" si="10">IF(B325&lt;&gt;"",IF(SUM(FLOOR(SUM(F325)/3,1)*10,FLOOR(SUM(G325)/3,1)*10, IF(SUM(H325)&gt;=1,5,0), IF(SUM(I325)&gt;=2,5,0), IF(SUM(J325)&gt;=1,5,0), IF(SUM(K325)&gt;=1,15,0))&gt;0, SUM(FLOOR(SUM(F325)/3,1)*10,FLOOR(SUM(G325)/3,1)*10, IF(SUM(H325)&gt;=1,5,0), IF(SUM(I325)&gt;=2,5,0), IF(SUM(J325)&gt;=1,5,0), IF(SUM(K325)&gt;=1,15,0)),""),"")</f>
        <v/>
      </c>
      <c r="F325" s="4" t="str">
        <f>IF($D324="TOTAL:",FIXED(ROUND(((SUM($F$4:$F323)/'RAW DATA'!$E$2)*100),1),1)&amp;"%",IF($D325="TOTAL:",SUM($F$4:$F324),IF(SUMIF('RAW DATA'!M:M,'RAW DATA'!B325,'RAW DATA'!H:H)=0,"",SUMIF('RAW DATA'!M:M,'RAW DATA'!B325,'RAW DATA'!H:H))))</f>
        <v/>
      </c>
      <c r="G325" s="4" t="str">
        <f>IF($D324="TOTAL:",FIXED(ROUND(((SUM($G$4:$G323)/'RAW DATA'!$E$2)*100),1),1)&amp;"%",IF($D325="TOTAL:",SUM($G$4:$G324),IF(SUMIF('RAW DATA'!M:M,'RAW DATA'!B325,'RAW DATA'!I:I)=0,"",SUMIF('RAW DATA'!M:M,'RAW DATA'!B325,'RAW DATA'!I:I))))</f>
        <v/>
      </c>
      <c r="H325" s="4" t="str">
        <f>IF(SUM(SUMIF('RAW DATA'!M:M,'RAW DATA'!B325,'RAW DATA'!J:J),SUMIF('RAW DATA'!N:N,'RAW DATA'!B325,'RAW DATA'!J:J),SUMIF('RAW DATA'!O:O,'RAW DATA'!B325,'RAW DATA'!J:J),SUMIF('RAW DATA'!P:P,'RAW DATA'!B325,'RAW DATA'!J:J))=0, "", SUM(SUMIF('RAW DATA'!M:M,'RAW DATA'!B325,'RAW DATA'!J:J),SUMIF('RAW DATA'!N:N,'RAW DATA'!B325,'RAW DATA'!J:J),SUMIF('RAW DATA'!O:O,'RAW DATA'!B325,'RAW DATA'!J:J),SUMIF('RAW DATA'!P:P,'RAW DATA'!B325,'RAW DATA'!J:J)))</f>
        <v/>
      </c>
      <c r="I325" s="4" t="str">
        <f>IF(SUMIF('RAW DATA'!M:M,'RAW DATA'!B325, 'RAW DATA'!K:K)=0, "", SUMIF('RAW DATA'!M:M,'RAW DATA'!B325, 'RAW DATA'!K:K))</f>
        <v/>
      </c>
      <c r="J325" s="29" t="str">
        <f>IF('RAW DATA'!B325&lt;&gt;"",IF(OR('RAW DATA'!H325=1,'RAW DATA'!H325=2),1,IF(ISNUMBER(FIND("Medic",'RAW DATA'!E325)),1,"")),"")</f>
        <v/>
      </c>
      <c r="K325" s="29" t="str">
        <f>IF(AND('RAW DATA'!$B325&lt;&gt;"",'RAW DATA'!L325=1),1,"")</f>
        <v/>
      </c>
      <c r="L325" s="24" t="str">
        <f t="shared" ref="L325:L388" si="11">IF(OR($B325="", $F325="",$G325=""),"",IF(AND($F325&gt;=2,$G325&gt;=2),1,""))</f>
        <v/>
      </c>
    </row>
    <row r="326" spans="2:12" x14ac:dyDescent="0.25">
      <c r="B326" s="1" t="str">
        <f>IF('RAW DATA'!$C328&lt;&gt;"",'RAW DATA'!$C328,"")</f>
        <v/>
      </c>
      <c r="C326" s="1" t="str">
        <f>IF('RAW DATA'!$D328&lt;&gt;"",'RAW DATA'!$D328,"")</f>
        <v/>
      </c>
      <c r="D326" s="1" t="str">
        <f>IF(AND($B325&lt;&gt;"", $B326=""), "TOTAL:", IF($D325="TOTAL:","VESSEL TARGET "&amp;'RAW DATA'!$E$2&amp;":",IF('RAW DATA'!$E326&lt;&gt;"",'RAW DATA'!$E326,"")))</f>
        <v/>
      </c>
      <c r="E326" s="29" t="str">
        <f t="shared" si="10"/>
        <v/>
      </c>
      <c r="F326" s="4" t="str">
        <f>IF($D325="TOTAL:",FIXED(ROUND(((SUM($F$4:$F324)/'RAW DATA'!$E$2)*100),1),1)&amp;"%",IF($D326="TOTAL:",SUM($F$4:$F325),IF(SUMIF('RAW DATA'!M:M,'RAW DATA'!B326,'RAW DATA'!H:H)=0,"",SUMIF('RAW DATA'!M:M,'RAW DATA'!B326,'RAW DATA'!H:H))))</f>
        <v/>
      </c>
      <c r="G326" s="4" t="str">
        <f>IF($D325="TOTAL:",FIXED(ROUND(((SUM($G$4:$G324)/'RAW DATA'!$E$2)*100),1),1)&amp;"%",IF($D326="TOTAL:",SUM($G$4:$G325),IF(SUMIF('RAW DATA'!M:M,'RAW DATA'!B326,'RAW DATA'!I:I)=0,"",SUMIF('RAW DATA'!M:M,'RAW DATA'!B326,'RAW DATA'!I:I))))</f>
        <v/>
      </c>
      <c r="H326" s="4" t="str">
        <f>IF(SUM(SUMIF('RAW DATA'!M:M,'RAW DATA'!B326,'RAW DATA'!J:J),SUMIF('RAW DATA'!N:N,'RAW DATA'!B326,'RAW DATA'!J:J),SUMIF('RAW DATA'!O:O,'RAW DATA'!B326,'RAW DATA'!J:J),SUMIF('RAW DATA'!P:P,'RAW DATA'!B326,'RAW DATA'!J:J))=0, "", SUM(SUMIF('RAW DATA'!M:M,'RAW DATA'!B326,'RAW DATA'!J:J),SUMIF('RAW DATA'!N:N,'RAW DATA'!B326,'RAW DATA'!J:J),SUMIF('RAW DATA'!O:O,'RAW DATA'!B326,'RAW DATA'!J:J),SUMIF('RAW DATA'!P:P,'RAW DATA'!B326,'RAW DATA'!J:J)))</f>
        <v/>
      </c>
      <c r="I326" s="4" t="str">
        <f>IF(SUMIF('RAW DATA'!M:M,'RAW DATA'!B326, 'RAW DATA'!K:K)=0, "", SUMIF('RAW DATA'!M:M,'RAW DATA'!B326, 'RAW DATA'!K:K))</f>
        <v/>
      </c>
      <c r="J326" s="29" t="str">
        <f>IF('RAW DATA'!B326&lt;&gt;"",IF(OR('RAW DATA'!H326=1,'RAW DATA'!H326=2),1,IF(ISNUMBER(FIND("Medic",'RAW DATA'!E326)),1,"")),"")</f>
        <v/>
      </c>
      <c r="K326" s="29" t="str">
        <f>IF(AND('RAW DATA'!$B326&lt;&gt;"",'RAW DATA'!L326=1),1,"")</f>
        <v/>
      </c>
      <c r="L326" s="24" t="str">
        <f t="shared" si="11"/>
        <v/>
      </c>
    </row>
    <row r="327" spans="2:12" x14ac:dyDescent="0.25">
      <c r="B327" s="1" t="str">
        <f>IF('RAW DATA'!$C329&lt;&gt;"",'RAW DATA'!$C329,"")</f>
        <v/>
      </c>
      <c r="C327" s="1" t="str">
        <f>IF('RAW DATA'!$D329&lt;&gt;"",'RAW DATA'!$D329,"")</f>
        <v/>
      </c>
      <c r="D327" s="1" t="str">
        <f>IF(AND($B326&lt;&gt;"", $B327=""), "TOTAL:", IF($D326="TOTAL:","VESSEL TARGET "&amp;'RAW DATA'!$E$2&amp;":",IF('RAW DATA'!$E327&lt;&gt;"",'RAW DATA'!$E327,"")))</f>
        <v/>
      </c>
      <c r="E327" s="29" t="str">
        <f t="shared" si="10"/>
        <v/>
      </c>
      <c r="F327" s="4" t="str">
        <f>IF($D326="TOTAL:",FIXED(ROUND(((SUM($F$4:$F325)/'RAW DATA'!$E$2)*100),1),1)&amp;"%",IF($D327="TOTAL:",SUM($F$4:$F326),IF(SUMIF('RAW DATA'!M:M,'RAW DATA'!B327,'RAW DATA'!H:H)=0,"",SUMIF('RAW DATA'!M:M,'RAW DATA'!B327,'RAW DATA'!H:H))))</f>
        <v/>
      </c>
      <c r="G327" s="4" t="str">
        <f>IF($D326="TOTAL:",FIXED(ROUND(((SUM($G$4:$G325)/'RAW DATA'!$E$2)*100),1),1)&amp;"%",IF($D327="TOTAL:",SUM($G$4:$G326),IF(SUMIF('RAW DATA'!M:M,'RAW DATA'!B327,'RAW DATA'!I:I)=0,"",SUMIF('RAW DATA'!M:M,'RAW DATA'!B327,'RAW DATA'!I:I))))</f>
        <v/>
      </c>
      <c r="H327" s="4" t="str">
        <f>IF(SUM(SUMIF('RAW DATA'!M:M,'RAW DATA'!B327,'RAW DATA'!J:J),SUMIF('RAW DATA'!N:N,'RAW DATA'!B327,'RAW DATA'!J:J),SUMIF('RAW DATA'!O:O,'RAW DATA'!B327,'RAW DATA'!J:J),SUMIF('RAW DATA'!P:P,'RAW DATA'!B327,'RAW DATA'!J:J))=0, "", SUM(SUMIF('RAW DATA'!M:M,'RAW DATA'!B327,'RAW DATA'!J:J),SUMIF('RAW DATA'!N:N,'RAW DATA'!B327,'RAW DATA'!J:J),SUMIF('RAW DATA'!O:O,'RAW DATA'!B327,'RAW DATA'!J:J),SUMIF('RAW DATA'!P:P,'RAW DATA'!B327,'RAW DATA'!J:J)))</f>
        <v/>
      </c>
      <c r="I327" s="4" t="str">
        <f>IF(SUMIF('RAW DATA'!M:M,'RAW DATA'!B327, 'RAW DATA'!K:K)=0, "", SUMIF('RAW DATA'!M:M,'RAW DATA'!B327, 'RAW DATA'!K:K))</f>
        <v/>
      </c>
      <c r="J327" s="29" t="str">
        <f>IF('RAW DATA'!B327&lt;&gt;"",IF(OR('RAW DATA'!H327=1,'RAW DATA'!H327=2),1,IF(ISNUMBER(FIND("Medic",'RAW DATA'!E327)),1,"")),"")</f>
        <v/>
      </c>
      <c r="K327" s="29" t="str">
        <f>IF(AND('RAW DATA'!$B327&lt;&gt;"",'RAW DATA'!L327=1),1,"")</f>
        <v/>
      </c>
      <c r="L327" s="24" t="str">
        <f t="shared" si="11"/>
        <v/>
      </c>
    </row>
    <row r="328" spans="2:12" x14ac:dyDescent="0.25">
      <c r="B328" s="1" t="str">
        <f>IF('RAW DATA'!$C330&lt;&gt;"",'RAW DATA'!$C330,"")</f>
        <v/>
      </c>
      <c r="C328" s="1" t="str">
        <f>IF('RAW DATA'!$D330&lt;&gt;"",'RAW DATA'!$D330,"")</f>
        <v/>
      </c>
      <c r="D328" s="1" t="str">
        <f>IF(AND($B327&lt;&gt;"", $B328=""), "TOTAL:", IF($D327="TOTAL:","VESSEL TARGET "&amp;'RAW DATA'!$E$2&amp;":",IF('RAW DATA'!$E328&lt;&gt;"",'RAW DATA'!$E328,"")))</f>
        <v/>
      </c>
      <c r="E328" s="29" t="str">
        <f t="shared" si="10"/>
        <v/>
      </c>
      <c r="F328" s="4" t="str">
        <f>IF($D327="TOTAL:",FIXED(ROUND(((SUM($F$4:$F326)/'RAW DATA'!$E$2)*100),1),1)&amp;"%",IF($D328="TOTAL:",SUM($F$4:$F327),IF(SUMIF('RAW DATA'!M:M,'RAW DATA'!B328,'RAW DATA'!H:H)=0,"",SUMIF('RAW DATA'!M:M,'RAW DATA'!B328,'RAW DATA'!H:H))))</f>
        <v/>
      </c>
      <c r="G328" s="4" t="str">
        <f>IF($D327="TOTAL:",FIXED(ROUND(((SUM($G$4:$G326)/'RAW DATA'!$E$2)*100),1),1)&amp;"%",IF($D328="TOTAL:",SUM($G$4:$G327),IF(SUMIF('RAW DATA'!M:M,'RAW DATA'!B328,'RAW DATA'!I:I)=0,"",SUMIF('RAW DATA'!M:M,'RAW DATA'!B328,'RAW DATA'!I:I))))</f>
        <v/>
      </c>
      <c r="H328" s="4" t="str">
        <f>IF(SUM(SUMIF('RAW DATA'!M:M,'RAW DATA'!B328,'RAW DATA'!J:J),SUMIF('RAW DATA'!N:N,'RAW DATA'!B328,'RAW DATA'!J:J),SUMIF('RAW DATA'!O:O,'RAW DATA'!B328,'RAW DATA'!J:J),SUMIF('RAW DATA'!P:P,'RAW DATA'!B328,'RAW DATA'!J:J))=0, "", SUM(SUMIF('RAW DATA'!M:M,'RAW DATA'!B328,'RAW DATA'!J:J),SUMIF('RAW DATA'!N:N,'RAW DATA'!B328,'RAW DATA'!J:J),SUMIF('RAW DATA'!O:O,'RAW DATA'!B328,'RAW DATA'!J:J),SUMIF('RAW DATA'!P:P,'RAW DATA'!B328,'RAW DATA'!J:J)))</f>
        <v/>
      </c>
      <c r="I328" s="4" t="str">
        <f>IF(SUMIF('RAW DATA'!M:M,'RAW DATA'!B328, 'RAW DATA'!K:K)=0, "", SUMIF('RAW DATA'!M:M,'RAW DATA'!B328, 'RAW DATA'!K:K))</f>
        <v/>
      </c>
      <c r="J328" s="29" t="str">
        <f>IF('RAW DATA'!B328&lt;&gt;"",IF(OR('RAW DATA'!H328=1,'RAW DATA'!H328=2),1,IF(ISNUMBER(FIND("Medic",'RAW DATA'!E328)),1,"")),"")</f>
        <v/>
      </c>
      <c r="K328" s="29" t="str">
        <f>IF(AND('RAW DATA'!$B328&lt;&gt;"",'RAW DATA'!L328=1),1,"")</f>
        <v/>
      </c>
      <c r="L328" s="24" t="str">
        <f t="shared" si="11"/>
        <v/>
      </c>
    </row>
    <row r="329" spans="2:12" x14ac:dyDescent="0.25">
      <c r="B329" s="1" t="str">
        <f>IF('RAW DATA'!$C331&lt;&gt;"",'RAW DATA'!$C331,"")</f>
        <v/>
      </c>
      <c r="C329" s="1" t="str">
        <f>IF('RAW DATA'!$D331&lt;&gt;"",'RAW DATA'!$D331,"")</f>
        <v/>
      </c>
      <c r="D329" s="1" t="str">
        <f>IF(AND($B328&lt;&gt;"", $B329=""), "TOTAL:", IF($D328="TOTAL:","VESSEL TARGET "&amp;'RAW DATA'!$E$2&amp;":",IF('RAW DATA'!$E329&lt;&gt;"",'RAW DATA'!$E329,"")))</f>
        <v/>
      </c>
      <c r="E329" s="29" t="str">
        <f t="shared" si="10"/>
        <v/>
      </c>
      <c r="F329" s="4" t="str">
        <f>IF($D328="TOTAL:",FIXED(ROUND(((SUM($F$4:$F327)/'RAW DATA'!$E$2)*100),1),1)&amp;"%",IF($D329="TOTAL:",SUM($F$4:$F328),IF(SUMIF('RAW DATA'!M:M,'RAW DATA'!B329,'RAW DATA'!H:H)=0,"",SUMIF('RAW DATA'!M:M,'RAW DATA'!B329,'RAW DATA'!H:H))))</f>
        <v/>
      </c>
      <c r="G329" s="4" t="str">
        <f>IF($D328="TOTAL:",FIXED(ROUND(((SUM($G$4:$G327)/'RAW DATA'!$E$2)*100),1),1)&amp;"%",IF($D329="TOTAL:",SUM($G$4:$G328),IF(SUMIF('RAW DATA'!M:M,'RAW DATA'!B329,'RAW DATA'!I:I)=0,"",SUMIF('RAW DATA'!M:M,'RAW DATA'!B329,'RAW DATA'!I:I))))</f>
        <v/>
      </c>
      <c r="H329" s="4" t="str">
        <f>IF(SUM(SUMIF('RAW DATA'!M:M,'RAW DATA'!B329,'RAW DATA'!J:J),SUMIF('RAW DATA'!N:N,'RAW DATA'!B329,'RAW DATA'!J:J),SUMIF('RAW DATA'!O:O,'RAW DATA'!B329,'RAW DATA'!J:J),SUMIF('RAW DATA'!P:P,'RAW DATA'!B329,'RAW DATA'!J:J))=0, "", SUM(SUMIF('RAW DATA'!M:M,'RAW DATA'!B329,'RAW DATA'!J:J),SUMIF('RAW DATA'!N:N,'RAW DATA'!B329,'RAW DATA'!J:J),SUMIF('RAW DATA'!O:O,'RAW DATA'!B329,'RAW DATA'!J:J),SUMIF('RAW DATA'!P:P,'RAW DATA'!B329,'RAW DATA'!J:J)))</f>
        <v/>
      </c>
      <c r="I329" s="4" t="str">
        <f>IF(SUMIF('RAW DATA'!M:M,'RAW DATA'!B329, 'RAW DATA'!K:K)=0, "", SUMIF('RAW DATA'!M:M,'RAW DATA'!B329, 'RAW DATA'!K:K))</f>
        <v/>
      </c>
      <c r="J329" s="29" t="str">
        <f>IF('RAW DATA'!B329&lt;&gt;"",IF(OR('RAW DATA'!H329=1,'RAW DATA'!H329=2),1,IF(ISNUMBER(FIND("Medic",'RAW DATA'!E329)),1,"")),"")</f>
        <v/>
      </c>
      <c r="K329" s="29" t="str">
        <f>IF(AND('RAW DATA'!$B329&lt;&gt;"",'RAW DATA'!L329=1),1,"")</f>
        <v/>
      </c>
      <c r="L329" s="24" t="str">
        <f t="shared" si="11"/>
        <v/>
      </c>
    </row>
    <row r="330" spans="2:12" x14ac:dyDescent="0.25">
      <c r="B330" s="1" t="str">
        <f>IF('RAW DATA'!$C332&lt;&gt;"",'RAW DATA'!$C332,"")</f>
        <v/>
      </c>
      <c r="C330" s="1" t="str">
        <f>IF('RAW DATA'!$D332&lt;&gt;"",'RAW DATA'!$D332,"")</f>
        <v/>
      </c>
      <c r="D330" s="1" t="str">
        <f>IF(AND($B329&lt;&gt;"", $B330=""), "TOTAL:", IF($D329="TOTAL:","VESSEL TARGET "&amp;'RAW DATA'!$E$2&amp;":",IF('RAW DATA'!$E330&lt;&gt;"",'RAW DATA'!$E330,"")))</f>
        <v/>
      </c>
      <c r="E330" s="29" t="str">
        <f t="shared" si="10"/>
        <v/>
      </c>
      <c r="F330" s="4" t="str">
        <f>IF($D329="TOTAL:",FIXED(ROUND(((SUM($F$4:$F328)/'RAW DATA'!$E$2)*100),1),1)&amp;"%",IF($D330="TOTAL:",SUM($F$4:$F329),IF(SUMIF('RAW DATA'!M:M,'RAW DATA'!B330,'RAW DATA'!H:H)=0,"",SUMIF('RAW DATA'!M:M,'RAW DATA'!B330,'RAW DATA'!H:H))))</f>
        <v/>
      </c>
      <c r="G330" s="4" t="str">
        <f>IF($D329="TOTAL:",FIXED(ROUND(((SUM($G$4:$G328)/'RAW DATA'!$E$2)*100),1),1)&amp;"%",IF($D330="TOTAL:",SUM($G$4:$G329),IF(SUMIF('RAW DATA'!M:M,'RAW DATA'!B330,'RAW DATA'!I:I)=0,"",SUMIF('RAW DATA'!M:M,'RAW DATA'!B330,'RAW DATA'!I:I))))</f>
        <v/>
      </c>
      <c r="H330" s="4" t="str">
        <f>IF(SUM(SUMIF('RAW DATA'!M:M,'RAW DATA'!B330,'RAW DATA'!J:J),SUMIF('RAW DATA'!N:N,'RAW DATA'!B330,'RAW DATA'!J:J),SUMIF('RAW DATA'!O:O,'RAW DATA'!B330,'RAW DATA'!J:J),SUMIF('RAW DATA'!P:P,'RAW DATA'!B330,'RAW DATA'!J:J))=0, "", SUM(SUMIF('RAW DATA'!M:M,'RAW DATA'!B330,'RAW DATA'!J:J),SUMIF('RAW DATA'!N:N,'RAW DATA'!B330,'RAW DATA'!J:J),SUMIF('RAW DATA'!O:O,'RAW DATA'!B330,'RAW DATA'!J:J),SUMIF('RAW DATA'!P:P,'RAW DATA'!B330,'RAW DATA'!J:J)))</f>
        <v/>
      </c>
      <c r="I330" s="4" t="str">
        <f>IF(SUMIF('RAW DATA'!M:M,'RAW DATA'!B330, 'RAW DATA'!K:K)=0, "", SUMIF('RAW DATA'!M:M,'RAW DATA'!B330, 'RAW DATA'!K:K))</f>
        <v/>
      </c>
      <c r="J330" s="29" t="str">
        <f>IF('RAW DATA'!B330&lt;&gt;"",IF(OR('RAW DATA'!H330=1,'RAW DATA'!H330=2),1,IF(ISNUMBER(FIND("Medic",'RAW DATA'!E330)),1,"")),"")</f>
        <v/>
      </c>
      <c r="K330" s="29" t="str">
        <f>IF(AND('RAW DATA'!$B330&lt;&gt;"",'RAW DATA'!L330=1),1,"")</f>
        <v/>
      </c>
      <c r="L330" s="24" t="str">
        <f t="shared" si="11"/>
        <v/>
      </c>
    </row>
    <row r="331" spans="2:12" x14ac:dyDescent="0.25">
      <c r="B331" s="1" t="str">
        <f>IF('RAW DATA'!$C333&lt;&gt;"",'RAW DATA'!$C333,"")</f>
        <v/>
      </c>
      <c r="C331" s="1" t="str">
        <f>IF('RAW DATA'!$D333&lt;&gt;"",'RAW DATA'!$D333,"")</f>
        <v/>
      </c>
      <c r="D331" s="1" t="str">
        <f>IF(AND($B330&lt;&gt;"", $B331=""), "TOTAL:", IF($D330="TOTAL:","VESSEL TARGET "&amp;'RAW DATA'!$E$2&amp;":",IF('RAW DATA'!$E331&lt;&gt;"",'RAW DATA'!$E331,"")))</f>
        <v/>
      </c>
      <c r="E331" s="29" t="str">
        <f t="shared" si="10"/>
        <v/>
      </c>
      <c r="F331" s="4" t="str">
        <f>IF($D330="TOTAL:",FIXED(ROUND(((SUM($F$4:$F329)/'RAW DATA'!$E$2)*100),1),1)&amp;"%",IF($D331="TOTAL:",SUM($F$4:$F330),IF(SUMIF('RAW DATA'!M:M,'RAW DATA'!B331,'RAW DATA'!H:H)=0,"",SUMIF('RAW DATA'!M:M,'RAW DATA'!B331,'RAW DATA'!H:H))))</f>
        <v/>
      </c>
      <c r="G331" s="4" t="str">
        <f>IF($D330="TOTAL:",FIXED(ROUND(((SUM($G$4:$G329)/'RAW DATA'!$E$2)*100),1),1)&amp;"%",IF($D331="TOTAL:",SUM($G$4:$G330),IF(SUMIF('RAW DATA'!M:M,'RAW DATA'!B331,'RAW DATA'!I:I)=0,"",SUMIF('RAW DATA'!M:M,'RAW DATA'!B331,'RAW DATA'!I:I))))</f>
        <v/>
      </c>
      <c r="H331" s="4" t="str">
        <f>IF(SUM(SUMIF('RAW DATA'!M:M,'RAW DATA'!B331,'RAW DATA'!J:J),SUMIF('RAW DATA'!N:N,'RAW DATA'!B331,'RAW DATA'!J:J),SUMIF('RAW DATA'!O:O,'RAW DATA'!B331,'RAW DATA'!J:J),SUMIF('RAW DATA'!P:P,'RAW DATA'!B331,'RAW DATA'!J:J))=0, "", SUM(SUMIF('RAW DATA'!M:M,'RAW DATA'!B331,'RAW DATA'!J:J),SUMIF('RAW DATA'!N:N,'RAW DATA'!B331,'RAW DATA'!J:J),SUMIF('RAW DATA'!O:O,'RAW DATA'!B331,'RAW DATA'!J:J),SUMIF('RAW DATA'!P:P,'RAW DATA'!B331,'RAW DATA'!J:J)))</f>
        <v/>
      </c>
      <c r="I331" s="4" t="str">
        <f>IF(SUMIF('RAW DATA'!M:M,'RAW DATA'!B331, 'RAW DATA'!K:K)=0, "", SUMIF('RAW DATA'!M:M,'RAW DATA'!B331, 'RAW DATA'!K:K))</f>
        <v/>
      </c>
      <c r="J331" s="29" t="str">
        <f>IF('RAW DATA'!B331&lt;&gt;"",IF(OR('RAW DATA'!H331=1,'RAW DATA'!H331=2),1,IF(ISNUMBER(FIND("Medic",'RAW DATA'!E331)),1,"")),"")</f>
        <v/>
      </c>
      <c r="K331" s="29" t="str">
        <f>IF(AND('RAW DATA'!$B331&lt;&gt;"",'RAW DATA'!L331=1),1,"")</f>
        <v/>
      </c>
      <c r="L331" s="24" t="str">
        <f t="shared" si="11"/>
        <v/>
      </c>
    </row>
    <row r="332" spans="2:12" x14ac:dyDescent="0.25">
      <c r="B332" s="1" t="str">
        <f>IF('RAW DATA'!$C334&lt;&gt;"",'RAW DATA'!$C334,"")</f>
        <v/>
      </c>
      <c r="C332" s="1" t="str">
        <f>IF('RAW DATA'!$D334&lt;&gt;"",'RAW DATA'!$D334,"")</f>
        <v/>
      </c>
      <c r="D332" s="1" t="str">
        <f>IF(AND($B331&lt;&gt;"", $B332=""), "TOTAL:", IF($D331="TOTAL:","VESSEL TARGET "&amp;'RAW DATA'!$E$2&amp;":",IF('RAW DATA'!$E332&lt;&gt;"",'RAW DATA'!$E332,"")))</f>
        <v/>
      </c>
      <c r="E332" s="29" t="str">
        <f t="shared" si="10"/>
        <v/>
      </c>
      <c r="F332" s="4" t="str">
        <f>IF($D331="TOTAL:",FIXED(ROUND(((SUM($F$4:$F330)/'RAW DATA'!$E$2)*100),1),1)&amp;"%",IF($D332="TOTAL:",SUM($F$4:$F331),IF(SUMIF('RAW DATA'!M:M,'RAW DATA'!B332,'RAW DATA'!H:H)=0,"",SUMIF('RAW DATA'!M:M,'RAW DATA'!B332,'RAW DATA'!H:H))))</f>
        <v/>
      </c>
      <c r="G332" s="4" t="str">
        <f>IF($D331="TOTAL:",FIXED(ROUND(((SUM($G$4:$G330)/'RAW DATA'!$E$2)*100),1),1)&amp;"%",IF($D332="TOTAL:",SUM($G$4:$G331),IF(SUMIF('RAW DATA'!M:M,'RAW DATA'!B332,'RAW DATA'!I:I)=0,"",SUMIF('RAW DATA'!M:M,'RAW DATA'!B332,'RAW DATA'!I:I))))</f>
        <v/>
      </c>
      <c r="H332" s="4" t="str">
        <f>IF(SUM(SUMIF('RAW DATA'!M:M,'RAW DATA'!B332,'RAW DATA'!J:J),SUMIF('RAW DATA'!N:N,'RAW DATA'!B332,'RAW DATA'!J:J),SUMIF('RAW DATA'!O:O,'RAW DATA'!B332,'RAW DATA'!J:J),SUMIF('RAW DATA'!P:P,'RAW DATA'!B332,'RAW DATA'!J:J))=0, "", SUM(SUMIF('RAW DATA'!M:M,'RAW DATA'!B332,'RAW DATA'!J:J),SUMIF('RAW DATA'!N:N,'RAW DATA'!B332,'RAW DATA'!J:J),SUMIF('RAW DATA'!O:O,'RAW DATA'!B332,'RAW DATA'!J:J),SUMIF('RAW DATA'!P:P,'RAW DATA'!B332,'RAW DATA'!J:J)))</f>
        <v/>
      </c>
      <c r="I332" s="4" t="str">
        <f>IF(SUMIF('RAW DATA'!M:M,'RAW DATA'!B332, 'RAW DATA'!K:K)=0, "", SUMIF('RAW DATA'!M:M,'RAW DATA'!B332, 'RAW DATA'!K:K))</f>
        <v/>
      </c>
      <c r="J332" s="29" t="str">
        <f>IF('RAW DATA'!B332&lt;&gt;"",IF(OR('RAW DATA'!H332=1,'RAW DATA'!H332=2),1,IF(ISNUMBER(FIND("Medic",'RAW DATA'!E332)),1,"")),"")</f>
        <v/>
      </c>
      <c r="K332" s="29" t="str">
        <f>IF(AND('RAW DATA'!$B332&lt;&gt;"",'RAW DATA'!L332=1),1,"")</f>
        <v/>
      </c>
      <c r="L332" s="24" t="str">
        <f t="shared" si="11"/>
        <v/>
      </c>
    </row>
    <row r="333" spans="2:12" x14ac:dyDescent="0.25">
      <c r="B333" s="1" t="str">
        <f>IF('RAW DATA'!$C335&lt;&gt;"",'RAW DATA'!$C335,"")</f>
        <v/>
      </c>
      <c r="C333" s="1" t="str">
        <f>IF('RAW DATA'!$D335&lt;&gt;"",'RAW DATA'!$D335,"")</f>
        <v/>
      </c>
      <c r="D333" s="1" t="str">
        <f>IF(AND($B332&lt;&gt;"", $B333=""), "TOTAL:", IF($D332="TOTAL:","VESSEL TARGET "&amp;'RAW DATA'!$E$2&amp;":",IF('RAW DATA'!$E333&lt;&gt;"",'RAW DATA'!$E333,"")))</f>
        <v/>
      </c>
      <c r="E333" s="29" t="str">
        <f t="shared" si="10"/>
        <v/>
      </c>
      <c r="F333" s="4" t="str">
        <f>IF($D332="TOTAL:",FIXED(ROUND(((SUM($F$4:$F331)/'RAW DATA'!$E$2)*100),1),1)&amp;"%",IF($D333="TOTAL:",SUM($F$4:$F332),IF(SUMIF('RAW DATA'!M:M,'RAW DATA'!B333,'RAW DATA'!H:H)=0,"",SUMIF('RAW DATA'!M:M,'RAW DATA'!B333,'RAW DATA'!H:H))))</f>
        <v/>
      </c>
      <c r="G333" s="4" t="str">
        <f>IF($D332="TOTAL:",FIXED(ROUND(((SUM($G$4:$G331)/'RAW DATA'!$E$2)*100),1),1)&amp;"%",IF($D333="TOTAL:",SUM($G$4:$G332),IF(SUMIF('RAW DATA'!M:M,'RAW DATA'!B333,'RAW DATA'!I:I)=0,"",SUMIF('RAW DATA'!M:M,'RAW DATA'!B333,'RAW DATA'!I:I))))</f>
        <v/>
      </c>
      <c r="H333" s="4" t="str">
        <f>IF(SUM(SUMIF('RAW DATA'!M:M,'RAW DATA'!B333,'RAW DATA'!J:J),SUMIF('RAW DATA'!N:N,'RAW DATA'!B333,'RAW DATA'!J:J),SUMIF('RAW DATA'!O:O,'RAW DATA'!B333,'RAW DATA'!J:J),SUMIF('RAW DATA'!P:P,'RAW DATA'!B333,'RAW DATA'!J:J))=0, "", SUM(SUMIF('RAW DATA'!M:M,'RAW DATA'!B333,'RAW DATA'!J:J),SUMIF('RAW DATA'!N:N,'RAW DATA'!B333,'RAW DATA'!J:J),SUMIF('RAW DATA'!O:O,'RAW DATA'!B333,'RAW DATA'!J:J),SUMIF('RAW DATA'!P:P,'RAW DATA'!B333,'RAW DATA'!J:J)))</f>
        <v/>
      </c>
      <c r="I333" s="4" t="str">
        <f>IF(SUMIF('RAW DATA'!M:M,'RAW DATA'!B333, 'RAW DATA'!K:K)=0, "", SUMIF('RAW DATA'!M:M,'RAW DATA'!B333, 'RAW DATA'!K:K))</f>
        <v/>
      </c>
      <c r="J333" s="29" t="str">
        <f>IF('RAW DATA'!B333&lt;&gt;"",IF(OR('RAW DATA'!H333=1,'RAW DATA'!H333=2),1,IF(ISNUMBER(FIND("Medic",'RAW DATA'!E333)),1,"")),"")</f>
        <v/>
      </c>
      <c r="K333" s="29" t="str">
        <f>IF(AND('RAW DATA'!$B333&lt;&gt;"",'RAW DATA'!L333=1),1,"")</f>
        <v/>
      </c>
      <c r="L333" s="24" t="str">
        <f t="shared" si="11"/>
        <v/>
      </c>
    </row>
    <row r="334" spans="2:12" x14ac:dyDescent="0.25">
      <c r="B334" s="1" t="str">
        <f>IF('RAW DATA'!$C336&lt;&gt;"",'RAW DATA'!$C336,"")</f>
        <v/>
      </c>
      <c r="C334" s="1" t="str">
        <f>IF('RAW DATA'!$D336&lt;&gt;"",'RAW DATA'!$D336,"")</f>
        <v/>
      </c>
      <c r="D334" s="1" t="str">
        <f>IF(AND($B333&lt;&gt;"", $B334=""), "TOTAL:", IF($D333="TOTAL:","VESSEL TARGET "&amp;'RAW DATA'!$E$2&amp;":",IF('RAW DATA'!$E334&lt;&gt;"",'RAW DATA'!$E334,"")))</f>
        <v/>
      </c>
      <c r="E334" s="29" t="str">
        <f t="shared" si="10"/>
        <v/>
      </c>
      <c r="F334" s="4" t="str">
        <f>IF($D333="TOTAL:",FIXED(ROUND(((SUM($F$4:$F332)/'RAW DATA'!$E$2)*100),1),1)&amp;"%",IF($D334="TOTAL:",SUM($F$4:$F333),IF(SUMIF('RAW DATA'!M:M,'RAW DATA'!B334,'RAW DATA'!H:H)=0,"",SUMIF('RAW DATA'!M:M,'RAW DATA'!B334,'RAW DATA'!H:H))))</f>
        <v/>
      </c>
      <c r="G334" s="4" t="str">
        <f>IF($D333="TOTAL:",FIXED(ROUND(((SUM($G$4:$G332)/'RAW DATA'!$E$2)*100),1),1)&amp;"%",IF($D334="TOTAL:",SUM($G$4:$G333),IF(SUMIF('RAW DATA'!M:M,'RAW DATA'!B334,'RAW DATA'!I:I)=0,"",SUMIF('RAW DATA'!M:M,'RAW DATA'!B334,'RAW DATA'!I:I))))</f>
        <v/>
      </c>
      <c r="H334" s="4" t="str">
        <f>IF(SUM(SUMIF('RAW DATA'!M:M,'RAW DATA'!B334,'RAW DATA'!J:J),SUMIF('RAW DATA'!N:N,'RAW DATA'!B334,'RAW DATA'!J:J),SUMIF('RAW DATA'!O:O,'RAW DATA'!B334,'RAW DATA'!J:J),SUMIF('RAW DATA'!P:P,'RAW DATA'!B334,'RAW DATA'!J:J))=0, "", SUM(SUMIF('RAW DATA'!M:M,'RAW DATA'!B334,'RAW DATA'!J:J),SUMIF('RAW DATA'!N:N,'RAW DATA'!B334,'RAW DATA'!J:J),SUMIF('RAW DATA'!O:O,'RAW DATA'!B334,'RAW DATA'!J:J),SUMIF('RAW DATA'!P:P,'RAW DATA'!B334,'RAW DATA'!J:J)))</f>
        <v/>
      </c>
      <c r="I334" s="4" t="str">
        <f>IF(SUMIF('RAW DATA'!M:M,'RAW DATA'!B334, 'RAW DATA'!K:K)=0, "", SUMIF('RAW DATA'!M:M,'RAW DATA'!B334, 'RAW DATA'!K:K))</f>
        <v/>
      </c>
      <c r="J334" s="29" t="str">
        <f>IF('RAW DATA'!B334&lt;&gt;"",IF(OR('RAW DATA'!H334=1,'RAW DATA'!H334=2),1,IF(ISNUMBER(FIND("Medic",'RAW DATA'!E334)),1,"")),"")</f>
        <v/>
      </c>
      <c r="K334" s="29" t="str">
        <f>IF(AND('RAW DATA'!$B334&lt;&gt;"",'RAW DATA'!L334=1),1,"")</f>
        <v/>
      </c>
      <c r="L334" s="24" t="str">
        <f t="shared" si="11"/>
        <v/>
      </c>
    </row>
    <row r="335" spans="2:12" x14ac:dyDescent="0.25">
      <c r="B335" s="1" t="str">
        <f>IF('RAW DATA'!$C337&lt;&gt;"",'RAW DATA'!$C337,"")</f>
        <v/>
      </c>
      <c r="C335" s="1" t="str">
        <f>IF('RAW DATA'!$D337&lt;&gt;"",'RAW DATA'!$D337,"")</f>
        <v/>
      </c>
      <c r="D335" s="1" t="str">
        <f>IF(AND($B334&lt;&gt;"", $B335=""), "TOTAL:", IF($D334="TOTAL:","VESSEL TARGET "&amp;'RAW DATA'!$E$2&amp;":",IF('RAW DATA'!$E335&lt;&gt;"",'RAW DATA'!$E335,"")))</f>
        <v/>
      </c>
      <c r="E335" s="29" t="str">
        <f t="shared" si="10"/>
        <v/>
      </c>
      <c r="F335" s="4" t="str">
        <f>IF($D334="TOTAL:",FIXED(ROUND(((SUM($F$4:$F333)/'RAW DATA'!$E$2)*100),1),1)&amp;"%",IF($D335="TOTAL:",SUM($F$4:$F334),IF(SUMIF('RAW DATA'!M:M,'RAW DATA'!B335,'RAW DATA'!H:H)=0,"",SUMIF('RAW DATA'!M:M,'RAW DATA'!B335,'RAW DATA'!H:H))))</f>
        <v/>
      </c>
      <c r="G335" s="4" t="str">
        <f>IF($D334="TOTAL:",FIXED(ROUND(((SUM($G$4:$G333)/'RAW DATA'!$E$2)*100),1),1)&amp;"%",IF($D335="TOTAL:",SUM($G$4:$G334),IF(SUMIF('RAW DATA'!M:M,'RAW DATA'!B335,'RAW DATA'!I:I)=0,"",SUMIF('RAW DATA'!M:M,'RAW DATA'!B335,'RAW DATA'!I:I))))</f>
        <v/>
      </c>
      <c r="H335" s="4" t="str">
        <f>IF(SUM(SUMIF('RAW DATA'!M:M,'RAW DATA'!B335,'RAW DATA'!J:J),SUMIF('RAW DATA'!N:N,'RAW DATA'!B335,'RAW DATA'!J:J),SUMIF('RAW DATA'!O:O,'RAW DATA'!B335,'RAW DATA'!J:J),SUMIF('RAW DATA'!P:P,'RAW DATA'!B335,'RAW DATA'!J:J))=0, "", SUM(SUMIF('RAW DATA'!M:M,'RAW DATA'!B335,'RAW DATA'!J:J),SUMIF('RAW DATA'!N:N,'RAW DATA'!B335,'RAW DATA'!J:J),SUMIF('RAW DATA'!O:O,'RAW DATA'!B335,'RAW DATA'!J:J),SUMIF('RAW DATA'!P:P,'RAW DATA'!B335,'RAW DATA'!J:J)))</f>
        <v/>
      </c>
      <c r="I335" s="4" t="str">
        <f>IF(SUMIF('RAW DATA'!M:M,'RAW DATA'!B335, 'RAW DATA'!K:K)=0, "", SUMIF('RAW DATA'!M:M,'RAW DATA'!B335, 'RAW DATA'!K:K))</f>
        <v/>
      </c>
      <c r="J335" s="29" t="str">
        <f>IF('RAW DATA'!B335&lt;&gt;"",IF(OR('RAW DATA'!H335=1,'RAW DATA'!H335=2),1,IF(ISNUMBER(FIND("Medic",'RAW DATA'!E335)),1,"")),"")</f>
        <v/>
      </c>
      <c r="K335" s="29" t="str">
        <f>IF(AND('RAW DATA'!$B335&lt;&gt;"",'RAW DATA'!L335=1),1,"")</f>
        <v/>
      </c>
      <c r="L335" s="24" t="str">
        <f t="shared" si="11"/>
        <v/>
      </c>
    </row>
    <row r="336" spans="2:12" x14ac:dyDescent="0.25">
      <c r="B336" s="1" t="str">
        <f>IF('RAW DATA'!$C338&lt;&gt;"",'RAW DATA'!$C338,"")</f>
        <v/>
      </c>
      <c r="C336" s="1" t="str">
        <f>IF('RAW DATA'!$D338&lt;&gt;"",'RAW DATA'!$D338,"")</f>
        <v/>
      </c>
      <c r="D336" s="1" t="str">
        <f>IF(AND($B335&lt;&gt;"", $B336=""), "TOTAL:", IF($D335="TOTAL:","VESSEL TARGET "&amp;'RAW DATA'!$E$2&amp;":",IF('RAW DATA'!$E336&lt;&gt;"",'RAW DATA'!$E336,"")))</f>
        <v/>
      </c>
      <c r="E336" s="29" t="str">
        <f t="shared" si="10"/>
        <v/>
      </c>
      <c r="F336" s="4" t="str">
        <f>IF($D335="TOTAL:",FIXED(ROUND(((SUM($F$4:$F334)/'RAW DATA'!$E$2)*100),1),1)&amp;"%",IF($D336="TOTAL:",SUM($F$4:$F335),IF(SUMIF('RAW DATA'!M:M,'RAW DATA'!B336,'RAW DATA'!H:H)=0,"",SUMIF('RAW DATA'!M:M,'RAW DATA'!B336,'RAW DATA'!H:H))))</f>
        <v/>
      </c>
      <c r="G336" s="4" t="str">
        <f>IF($D335="TOTAL:",FIXED(ROUND(((SUM($G$4:$G334)/'RAW DATA'!$E$2)*100),1),1)&amp;"%",IF($D336="TOTAL:",SUM($G$4:$G335),IF(SUMIF('RAW DATA'!M:M,'RAW DATA'!B336,'RAW DATA'!I:I)=0,"",SUMIF('RAW DATA'!M:M,'RAW DATA'!B336,'RAW DATA'!I:I))))</f>
        <v/>
      </c>
      <c r="H336" s="4" t="str">
        <f>IF(SUM(SUMIF('RAW DATA'!M:M,'RAW DATA'!B336,'RAW DATA'!J:J),SUMIF('RAW DATA'!N:N,'RAW DATA'!B336,'RAW DATA'!J:J),SUMIF('RAW DATA'!O:O,'RAW DATA'!B336,'RAW DATA'!J:J),SUMIF('RAW DATA'!P:P,'RAW DATA'!B336,'RAW DATA'!J:J))=0, "", SUM(SUMIF('RAW DATA'!M:M,'RAW DATA'!B336,'RAW DATA'!J:J),SUMIF('RAW DATA'!N:N,'RAW DATA'!B336,'RAW DATA'!J:J),SUMIF('RAW DATA'!O:O,'RAW DATA'!B336,'RAW DATA'!J:J),SUMIF('RAW DATA'!P:P,'RAW DATA'!B336,'RAW DATA'!J:J)))</f>
        <v/>
      </c>
      <c r="I336" s="4" t="str">
        <f>IF(SUMIF('RAW DATA'!M:M,'RAW DATA'!B336, 'RAW DATA'!K:K)=0, "", SUMIF('RAW DATA'!M:M,'RAW DATA'!B336, 'RAW DATA'!K:K))</f>
        <v/>
      </c>
      <c r="J336" s="29" t="str">
        <f>IF('RAW DATA'!B336&lt;&gt;"",IF(OR('RAW DATA'!H336=1,'RAW DATA'!H336=2),1,IF(ISNUMBER(FIND("Medic",'RAW DATA'!E336)),1,"")),"")</f>
        <v/>
      </c>
      <c r="K336" s="29" t="str">
        <f>IF(AND('RAW DATA'!$B336&lt;&gt;"",'RAW DATA'!L336=1),1,"")</f>
        <v/>
      </c>
      <c r="L336" s="24" t="str">
        <f t="shared" si="11"/>
        <v/>
      </c>
    </row>
    <row r="337" spans="2:12" x14ac:dyDescent="0.25">
      <c r="B337" s="1" t="str">
        <f>IF('RAW DATA'!$C339&lt;&gt;"",'RAW DATA'!$C339,"")</f>
        <v/>
      </c>
      <c r="C337" s="1" t="str">
        <f>IF('RAW DATA'!$D339&lt;&gt;"",'RAW DATA'!$D339,"")</f>
        <v/>
      </c>
      <c r="D337" s="1" t="str">
        <f>IF(AND($B336&lt;&gt;"", $B337=""), "TOTAL:", IF($D336="TOTAL:","VESSEL TARGET "&amp;'RAW DATA'!$E$2&amp;":",IF('RAW DATA'!$E337&lt;&gt;"",'RAW DATA'!$E337,"")))</f>
        <v/>
      </c>
      <c r="E337" s="29" t="str">
        <f t="shared" si="10"/>
        <v/>
      </c>
      <c r="F337" s="4" t="str">
        <f>IF($D336="TOTAL:",FIXED(ROUND(((SUM($F$4:$F335)/'RAW DATA'!$E$2)*100),1),1)&amp;"%",IF($D337="TOTAL:",SUM($F$4:$F336),IF(SUMIF('RAW DATA'!M:M,'RAW DATA'!B337,'RAW DATA'!H:H)=0,"",SUMIF('RAW DATA'!M:M,'RAW DATA'!B337,'RAW DATA'!H:H))))</f>
        <v/>
      </c>
      <c r="G337" s="4" t="str">
        <f>IF($D336="TOTAL:",FIXED(ROUND(((SUM($G$4:$G335)/'RAW DATA'!$E$2)*100),1),1)&amp;"%",IF($D337="TOTAL:",SUM($G$4:$G336),IF(SUMIF('RAW DATA'!M:M,'RAW DATA'!B337,'RAW DATA'!I:I)=0,"",SUMIF('RAW DATA'!M:M,'RAW DATA'!B337,'RAW DATA'!I:I))))</f>
        <v/>
      </c>
      <c r="H337" s="4" t="str">
        <f>IF(SUM(SUMIF('RAW DATA'!M:M,'RAW DATA'!B337,'RAW DATA'!J:J),SUMIF('RAW DATA'!N:N,'RAW DATA'!B337,'RAW DATA'!J:J),SUMIF('RAW DATA'!O:O,'RAW DATA'!B337,'RAW DATA'!J:J),SUMIF('RAW DATA'!P:P,'RAW DATA'!B337,'RAW DATA'!J:J))=0, "", SUM(SUMIF('RAW DATA'!M:M,'RAW DATA'!B337,'RAW DATA'!J:J),SUMIF('RAW DATA'!N:N,'RAW DATA'!B337,'RAW DATA'!J:J),SUMIF('RAW DATA'!O:O,'RAW DATA'!B337,'RAW DATA'!J:J),SUMIF('RAW DATA'!P:P,'RAW DATA'!B337,'RAW DATA'!J:J)))</f>
        <v/>
      </c>
      <c r="I337" s="4" t="str">
        <f>IF(SUMIF('RAW DATA'!M:M,'RAW DATA'!B337, 'RAW DATA'!K:K)=0, "", SUMIF('RAW DATA'!M:M,'RAW DATA'!B337, 'RAW DATA'!K:K))</f>
        <v/>
      </c>
      <c r="J337" s="29" t="str">
        <f>IF('RAW DATA'!B337&lt;&gt;"",IF(OR('RAW DATA'!H337=1,'RAW DATA'!H337=2),1,IF(ISNUMBER(FIND("Medic",'RAW DATA'!E337)),1,"")),"")</f>
        <v/>
      </c>
      <c r="K337" s="29" t="str">
        <f>IF(AND('RAW DATA'!$B337&lt;&gt;"",'RAW DATA'!L337=1),1,"")</f>
        <v/>
      </c>
      <c r="L337" s="24" t="str">
        <f t="shared" si="11"/>
        <v/>
      </c>
    </row>
    <row r="338" spans="2:12" x14ac:dyDescent="0.25">
      <c r="B338" s="1" t="str">
        <f>IF('RAW DATA'!$C340&lt;&gt;"",'RAW DATA'!$C340,"")</f>
        <v/>
      </c>
      <c r="C338" s="1" t="str">
        <f>IF('RAW DATA'!$D340&lt;&gt;"",'RAW DATA'!$D340,"")</f>
        <v/>
      </c>
      <c r="D338" s="1" t="str">
        <f>IF(AND($B337&lt;&gt;"", $B338=""), "TOTAL:", IF($D337="TOTAL:","VESSEL TARGET "&amp;'RAW DATA'!$E$2&amp;":",IF('RAW DATA'!$E338&lt;&gt;"",'RAW DATA'!$E338,"")))</f>
        <v/>
      </c>
      <c r="E338" s="29" t="str">
        <f t="shared" si="10"/>
        <v/>
      </c>
      <c r="F338" s="4" t="str">
        <f>IF($D337="TOTAL:",FIXED(ROUND(((SUM($F$4:$F336)/'RAW DATA'!$E$2)*100),1),1)&amp;"%",IF($D338="TOTAL:",SUM($F$4:$F337),IF(SUMIF('RAW DATA'!M:M,'RAW DATA'!B338,'RAW DATA'!H:H)=0,"",SUMIF('RAW DATA'!M:M,'RAW DATA'!B338,'RAW DATA'!H:H))))</f>
        <v/>
      </c>
      <c r="G338" s="4" t="str">
        <f>IF($D337="TOTAL:",FIXED(ROUND(((SUM($G$4:$G336)/'RAW DATA'!$E$2)*100),1),1)&amp;"%",IF($D338="TOTAL:",SUM($G$4:$G337),IF(SUMIF('RAW DATA'!M:M,'RAW DATA'!B338,'RAW DATA'!I:I)=0,"",SUMIF('RAW DATA'!M:M,'RAW DATA'!B338,'RAW DATA'!I:I))))</f>
        <v/>
      </c>
      <c r="H338" s="4" t="str">
        <f>IF(SUM(SUMIF('RAW DATA'!M:M,'RAW DATA'!B338,'RAW DATA'!J:J),SUMIF('RAW DATA'!N:N,'RAW DATA'!B338,'RAW DATA'!J:J),SUMIF('RAW DATA'!O:O,'RAW DATA'!B338,'RAW DATA'!J:J),SUMIF('RAW DATA'!P:P,'RAW DATA'!B338,'RAW DATA'!J:J))=0, "", SUM(SUMIF('RAW DATA'!M:M,'RAW DATA'!B338,'RAW DATA'!J:J),SUMIF('RAW DATA'!N:N,'RAW DATA'!B338,'RAW DATA'!J:J),SUMIF('RAW DATA'!O:O,'RAW DATA'!B338,'RAW DATA'!J:J),SUMIF('RAW DATA'!P:P,'RAW DATA'!B338,'RAW DATA'!J:J)))</f>
        <v/>
      </c>
      <c r="I338" s="4" t="str">
        <f>IF(SUMIF('RAW DATA'!M:M,'RAW DATA'!B338, 'RAW DATA'!K:K)=0, "", SUMIF('RAW DATA'!M:M,'RAW DATA'!B338, 'RAW DATA'!K:K))</f>
        <v/>
      </c>
      <c r="J338" s="29" t="str">
        <f>IF('RAW DATA'!B338&lt;&gt;"",IF(OR('RAW DATA'!H338=1,'RAW DATA'!H338=2),1,IF(ISNUMBER(FIND("Medic",'RAW DATA'!E338)),1,"")),"")</f>
        <v/>
      </c>
      <c r="K338" s="29" t="str">
        <f>IF(AND('RAW DATA'!$B338&lt;&gt;"",'RAW DATA'!L338=1),1,"")</f>
        <v/>
      </c>
      <c r="L338" s="24" t="str">
        <f t="shared" si="11"/>
        <v/>
      </c>
    </row>
    <row r="339" spans="2:12" x14ac:dyDescent="0.25">
      <c r="B339" s="1" t="str">
        <f>IF('RAW DATA'!$C341&lt;&gt;"",'RAW DATA'!$C341,"")</f>
        <v/>
      </c>
      <c r="C339" s="1" t="str">
        <f>IF('RAW DATA'!$D341&lt;&gt;"",'RAW DATA'!$D341,"")</f>
        <v/>
      </c>
      <c r="D339" s="1" t="str">
        <f>IF(AND($B338&lt;&gt;"", $B339=""), "TOTAL:", IF($D338="TOTAL:","VESSEL TARGET "&amp;'RAW DATA'!$E$2&amp;":",IF('RAW DATA'!$E339&lt;&gt;"",'RAW DATA'!$E339,"")))</f>
        <v/>
      </c>
      <c r="E339" s="29" t="str">
        <f t="shared" si="10"/>
        <v/>
      </c>
      <c r="F339" s="4" t="str">
        <f>IF($D338="TOTAL:",FIXED(ROUND(((SUM($F$4:$F337)/'RAW DATA'!$E$2)*100),1),1)&amp;"%",IF($D339="TOTAL:",SUM($F$4:$F338),IF(SUMIF('RAW DATA'!M:M,'RAW DATA'!B339,'RAW DATA'!H:H)=0,"",SUMIF('RAW DATA'!M:M,'RAW DATA'!B339,'RAW DATA'!H:H))))</f>
        <v/>
      </c>
      <c r="G339" s="4" t="str">
        <f>IF($D338="TOTAL:",FIXED(ROUND(((SUM($G$4:$G337)/'RAW DATA'!$E$2)*100),1),1)&amp;"%",IF($D339="TOTAL:",SUM($G$4:$G338),IF(SUMIF('RAW DATA'!M:M,'RAW DATA'!B339,'RAW DATA'!I:I)=0,"",SUMIF('RAW DATA'!M:M,'RAW DATA'!B339,'RAW DATA'!I:I))))</f>
        <v/>
      </c>
      <c r="H339" s="4" t="str">
        <f>IF(SUM(SUMIF('RAW DATA'!M:M,'RAW DATA'!B339,'RAW DATA'!J:J),SUMIF('RAW DATA'!N:N,'RAW DATA'!B339,'RAW DATA'!J:J),SUMIF('RAW DATA'!O:O,'RAW DATA'!B339,'RAW DATA'!J:J),SUMIF('RAW DATA'!P:P,'RAW DATA'!B339,'RAW DATA'!J:J))=0, "", SUM(SUMIF('RAW DATA'!M:M,'RAW DATA'!B339,'RAW DATA'!J:J),SUMIF('RAW DATA'!N:N,'RAW DATA'!B339,'RAW DATA'!J:J),SUMIF('RAW DATA'!O:O,'RAW DATA'!B339,'RAW DATA'!J:J),SUMIF('RAW DATA'!P:P,'RAW DATA'!B339,'RAW DATA'!J:J)))</f>
        <v/>
      </c>
      <c r="I339" s="4" t="str">
        <f>IF(SUMIF('RAW DATA'!M:M,'RAW DATA'!B339, 'RAW DATA'!K:K)=0, "", SUMIF('RAW DATA'!M:M,'RAW DATA'!B339, 'RAW DATA'!K:K))</f>
        <v/>
      </c>
      <c r="J339" s="29" t="str">
        <f>IF('RAW DATA'!B339&lt;&gt;"",IF(OR('RAW DATA'!H339=1,'RAW DATA'!H339=2),1,IF(ISNUMBER(FIND("Medic",'RAW DATA'!E339)),1,"")),"")</f>
        <v/>
      </c>
      <c r="K339" s="29" t="str">
        <f>IF(AND('RAW DATA'!$B339&lt;&gt;"",'RAW DATA'!L339=1),1,"")</f>
        <v/>
      </c>
      <c r="L339" s="24" t="str">
        <f t="shared" si="11"/>
        <v/>
      </c>
    </row>
    <row r="340" spans="2:12" x14ac:dyDescent="0.25">
      <c r="B340" s="1" t="str">
        <f>IF('RAW DATA'!$C342&lt;&gt;"",'RAW DATA'!$C342,"")</f>
        <v/>
      </c>
      <c r="C340" s="1" t="str">
        <f>IF('RAW DATA'!$D342&lt;&gt;"",'RAW DATA'!$D342,"")</f>
        <v/>
      </c>
      <c r="D340" s="1" t="str">
        <f>IF(AND($B339&lt;&gt;"", $B340=""), "TOTAL:", IF($D339="TOTAL:","VESSEL TARGET "&amp;'RAW DATA'!$E$2&amp;":",IF('RAW DATA'!$E340&lt;&gt;"",'RAW DATA'!$E340,"")))</f>
        <v/>
      </c>
      <c r="E340" s="29" t="str">
        <f t="shared" si="10"/>
        <v/>
      </c>
      <c r="F340" s="4" t="str">
        <f>IF($D339="TOTAL:",FIXED(ROUND(((SUM($F$4:$F338)/'RAW DATA'!$E$2)*100),1),1)&amp;"%",IF($D340="TOTAL:",SUM($F$4:$F339),IF(SUMIF('RAW DATA'!M:M,'RAW DATA'!B340,'RAW DATA'!H:H)=0,"",SUMIF('RAW DATA'!M:M,'RAW DATA'!B340,'RAW DATA'!H:H))))</f>
        <v/>
      </c>
      <c r="G340" s="4" t="str">
        <f>IF($D339="TOTAL:",FIXED(ROUND(((SUM($G$4:$G338)/'RAW DATA'!$E$2)*100),1),1)&amp;"%",IF($D340="TOTAL:",SUM($G$4:$G339),IF(SUMIF('RAW DATA'!M:M,'RAW DATA'!B340,'RAW DATA'!I:I)=0,"",SUMIF('RAW DATA'!M:M,'RAW DATA'!B340,'RAW DATA'!I:I))))</f>
        <v/>
      </c>
      <c r="H340" s="4" t="str">
        <f>IF(SUM(SUMIF('RAW DATA'!M:M,'RAW DATA'!B340,'RAW DATA'!J:J),SUMIF('RAW DATA'!N:N,'RAW DATA'!B340,'RAW DATA'!J:J),SUMIF('RAW DATA'!O:O,'RAW DATA'!B340,'RAW DATA'!J:J),SUMIF('RAW DATA'!P:P,'RAW DATA'!B340,'RAW DATA'!J:J))=0, "", SUM(SUMIF('RAW DATA'!M:M,'RAW DATA'!B340,'RAW DATA'!J:J),SUMIF('RAW DATA'!N:N,'RAW DATA'!B340,'RAW DATA'!J:J),SUMIF('RAW DATA'!O:O,'RAW DATA'!B340,'RAW DATA'!J:J),SUMIF('RAW DATA'!P:P,'RAW DATA'!B340,'RAW DATA'!J:J)))</f>
        <v/>
      </c>
      <c r="I340" s="4" t="str">
        <f>IF(SUMIF('RAW DATA'!M:M,'RAW DATA'!B340, 'RAW DATA'!K:K)=0, "", SUMIF('RAW DATA'!M:M,'RAW DATA'!B340, 'RAW DATA'!K:K))</f>
        <v/>
      </c>
      <c r="J340" s="29" t="str">
        <f>IF('RAW DATA'!B340&lt;&gt;"",IF(OR('RAW DATA'!H340=1,'RAW DATA'!H340=2),1,IF(ISNUMBER(FIND("Medic",'RAW DATA'!E340)),1,"")),"")</f>
        <v/>
      </c>
      <c r="K340" s="29" t="str">
        <f>IF(AND('RAW DATA'!$B340&lt;&gt;"",'RAW DATA'!L340=1),1,"")</f>
        <v/>
      </c>
      <c r="L340" s="24" t="str">
        <f t="shared" si="11"/>
        <v/>
      </c>
    </row>
    <row r="341" spans="2:12" x14ac:dyDescent="0.25">
      <c r="B341" s="1" t="str">
        <f>IF('RAW DATA'!$C343&lt;&gt;"",'RAW DATA'!$C343,"")</f>
        <v/>
      </c>
      <c r="C341" s="1" t="str">
        <f>IF('RAW DATA'!$D343&lt;&gt;"",'RAW DATA'!$D343,"")</f>
        <v/>
      </c>
      <c r="D341" s="1" t="str">
        <f>IF(AND($B340&lt;&gt;"", $B341=""), "TOTAL:", IF($D340="TOTAL:","VESSEL TARGET "&amp;'RAW DATA'!$E$2&amp;":",IF('RAW DATA'!$E341&lt;&gt;"",'RAW DATA'!$E341,"")))</f>
        <v/>
      </c>
      <c r="E341" s="29" t="str">
        <f t="shared" si="10"/>
        <v/>
      </c>
      <c r="F341" s="4" t="str">
        <f>IF($D340="TOTAL:",FIXED(ROUND(((SUM($F$4:$F339)/'RAW DATA'!$E$2)*100),1),1)&amp;"%",IF($D341="TOTAL:",SUM($F$4:$F340),IF(SUMIF('RAW DATA'!M:M,'RAW DATA'!B341,'RAW DATA'!H:H)=0,"",SUMIF('RAW DATA'!M:M,'RAW DATA'!B341,'RAW DATA'!H:H))))</f>
        <v/>
      </c>
      <c r="G341" s="4" t="str">
        <f>IF($D340="TOTAL:",FIXED(ROUND(((SUM($G$4:$G339)/'RAW DATA'!$E$2)*100),1),1)&amp;"%",IF($D341="TOTAL:",SUM($G$4:$G340),IF(SUMIF('RAW DATA'!M:M,'RAW DATA'!B341,'RAW DATA'!I:I)=0,"",SUMIF('RAW DATA'!M:M,'RAW DATA'!B341,'RAW DATA'!I:I))))</f>
        <v/>
      </c>
      <c r="H341" s="4" t="str">
        <f>IF(SUM(SUMIF('RAW DATA'!M:M,'RAW DATA'!B341,'RAW DATA'!J:J),SUMIF('RAW DATA'!N:N,'RAW DATA'!B341,'RAW DATA'!J:J),SUMIF('RAW DATA'!O:O,'RAW DATA'!B341,'RAW DATA'!J:J),SUMIF('RAW DATA'!P:P,'RAW DATA'!B341,'RAW DATA'!J:J))=0, "", SUM(SUMIF('RAW DATA'!M:M,'RAW DATA'!B341,'RAW DATA'!J:J),SUMIF('RAW DATA'!N:N,'RAW DATA'!B341,'RAW DATA'!J:J),SUMIF('RAW DATA'!O:O,'RAW DATA'!B341,'RAW DATA'!J:J),SUMIF('RAW DATA'!P:P,'RAW DATA'!B341,'RAW DATA'!J:J)))</f>
        <v/>
      </c>
      <c r="I341" s="4" t="str">
        <f>IF(SUMIF('RAW DATA'!M:M,'RAW DATA'!B341, 'RAW DATA'!K:K)=0, "", SUMIF('RAW DATA'!M:M,'RAW DATA'!B341, 'RAW DATA'!K:K))</f>
        <v/>
      </c>
      <c r="J341" s="29" t="str">
        <f>IF('RAW DATA'!B341&lt;&gt;"",IF(OR('RAW DATA'!H341=1,'RAW DATA'!H341=2),1,IF(ISNUMBER(FIND("Medic",'RAW DATA'!E341)),1,"")),"")</f>
        <v/>
      </c>
      <c r="K341" s="29" t="str">
        <f>IF(AND('RAW DATA'!$B341&lt;&gt;"",'RAW DATA'!L341=1),1,"")</f>
        <v/>
      </c>
      <c r="L341" s="24" t="str">
        <f t="shared" si="11"/>
        <v/>
      </c>
    </row>
    <row r="342" spans="2:12" x14ac:dyDescent="0.25">
      <c r="B342" s="1" t="str">
        <f>IF('RAW DATA'!$C344&lt;&gt;"",'RAW DATA'!$C344,"")</f>
        <v/>
      </c>
      <c r="C342" s="1" t="str">
        <f>IF('RAW DATA'!$D344&lt;&gt;"",'RAW DATA'!$D344,"")</f>
        <v/>
      </c>
      <c r="D342" s="1" t="str">
        <f>IF(AND($B341&lt;&gt;"", $B342=""), "TOTAL:", IF($D341="TOTAL:","VESSEL TARGET "&amp;'RAW DATA'!$E$2&amp;":",IF('RAW DATA'!$E342&lt;&gt;"",'RAW DATA'!$E342,"")))</f>
        <v/>
      </c>
      <c r="E342" s="29" t="str">
        <f t="shared" si="10"/>
        <v/>
      </c>
      <c r="F342" s="4" t="str">
        <f>IF($D341="TOTAL:",FIXED(ROUND(((SUM($F$4:$F340)/'RAW DATA'!$E$2)*100),1),1)&amp;"%",IF($D342="TOTAL:",SUM($F$4:$F341),IF(SUMIF('RAW DATA'!M:M,'RAW DATA'!B342,'RAW DATA'!H:H)=0,"",SUMIF('RAW DATA'!M:M,'RAW DATA'!B342,'RAW DATA'!H:H))))</f>
        <v/>
      </c>
      <c r="G342" s="4" t="str">
        <f>IF($D341="TOTAL:",FIXED(ROUND(((SUM($G$4:$G340)/'RAW DATA'!$E$2)*100),1),1)&amp;"%",IF($D342="TOTAL:",SUM($G$4:$G341),IF(SUMIF('RAW DATA'!M:M,'RAW DATA'!B342,'RAW DATA'!I:I)=0,"",SUMIF('RAW DATA'!M:M,'RAW DATA'!B342,'RAW DATA'!I:I))))</f>
        <v/>
      </c>
      <c r="H342" s="4" t="str">
        <f>IF(SUM(SUMIF('RAW DATA'!M:M,'RAW DATA'!B342,'RAW DATA'!J:J),SUMIF('RAW DATA'!N:N,'RAW DATA'!B342,'RAW DATA'!J:J),SUMIF('RAW DATA'!O:O,'RAW DATA'!B342,'RAW DATA'!J:J),SUMIF('RAW DATA'!P:P,'RAW DATA'!B342,'RAW DATA'!J:J))=0, "", SUM(SUMIF('RAW DATA'!M:M,'RAW DATA'!B342,'RAW DATA'!J:J),SUMIF('RAW DATA'!N:N,'RAW DATA'!B342,'RAW DATA'!J:J),SUMIF('RAW DATA'!O:O,'RAW DATA'!B342,'RAW DATA'!J:J),SUMIF('RAW DATA'!P:P,'RAW DATA'!B342,'RAW DATA'!J:J)))</f>
        <v/>
      </c>
      <c r="I342" s="4" t="str">
        <f>IF(SUMIF('RAW DATA'!M:M,'RAW DATA'!B342, 'RAW DATA'!K:K)=0, "", SUMIF('RAW DATA'!M:M,'RAW DATA'!B342, 'RAW DATA'!K:K))</f>
        <v/>
      </c>
      <c r="J342" s="29" t="str">
        <f>IF('RAW DATA'!B342&lt;&gt;"",IF(OR('RAW DATA'!H342=1,'RAW DATA'!H342=2),1,IF(ISNUMBER(FIND("Medic",'RAW DATA'!E342)),1,"")),"")</f>
        <v/>
      </c>
      <c r="K342" s="29" t="str">
        <f>IF(AND('RAW DATA'!$B342&lt;&gt;"",'RAW DATA'!L342=1),1,"")</f>
        <v/>
      </c>
      <c r="L342" s="24" t="str">
        <f t="shared" si="11"/>
        <v/>
      </c>
    </row>
    <row r="343" spans="2:12" x14ac:dyDescent="0.25">
      <c r="B343" s="1" t="str">
        <f>IF('RAW DATA'!$C345&lt;&gt;"",'RAW DATA'!$C345,"")</f>
        <v/>
      </c>
      <c r="C343" s="1" t="str">
        <f>IF('RAW DATA'!$D345&lt;&gt;"",'RAW DATA'!$D345,"")</f>
        <v/>
      </c>
      <c r="D343" s="1" t="str">
        <f>IF(AND($B342&lt;&gt;"", $B343=""), "TOTAL:", IF($D342="TOTAL:","VESSEL TARGET "&amp;'RAW DATA'!$E$2&amp;":",IF('RAW DATA'!$E343&lt;&gt;"",'RAW DATA'!$E343,"")))</f>
        <v/>
      </c>
      <c r="E343" s="29" t="str">
        <f t="shared" si="10"/>
        <v/>
      </c>
      <c r="F343" s="4" t="str">
        <f>IF($D342="TOTAL:",FIXED(ROUND(((SUM($F$4:$F341)/'RAW DATA'!$E$2)*100),1),1)&amp;"%",IF($D343="TOTAL:",SUM($F$4:$F342),IF(SUMIF('RAW DATA'!M:M,'RAW DATA'!B343,'RAW DATA'!H:H)=0,"",SUMIF('RAW DATA'!M:M,'RAW DATA'!B343,'RAW DATA'!H:H))))</f>
        <v/>
      </c>
      <c r="G343" s="4" t="str">
        <f>IF($D342="TOTAL:",FIXED(ROUND(((SUM($G$4:$G341)/'RAW DATA'!$E$2)*100),1),1)&amp;"%",IF($D343="TOTAL:",SUM($G$4:$G342),IF(SUMIF('RAW DATA'!M:M,'RAW DATA'!B343,'RAW DATA'!I:I)=0,"",SUMIF('RAW DATA'!M:M,'RAW DATA'!B343,'RAW DATA'!I:I))))</f>
        <v/>
      </c>
      <c r="H343" s="4" t="str">
        <f>IF(SUM(SUMIF('RAW DATA'!M:M,'RAW DATA'!B343,'RAW DATA'!J:J),SUMIF('RAW DATA'!N:N,'RAW DATA'!B343,'RAW DATA'!J:J),SUMIF('RAW DATA'!O:O,'RAW DATA'!B343,'RAW DATA'!J:J),SUMIF('RAW DATA'!P:P,'RAW DATA'!B343,'RAW DATA'!J:J))=0, "", SUM(SUMIF('RAW DATA'!M:M,'RAW DATA'!B343,'RAW DATA'!J:J),SUMIF('RAW DATA'!N:N,'RAW DATA'!B343,'RAW DATA'!J:J),SUMIF('RAW DATA'!O:O,'RAW DATA'!B343,'RAW DATA'!J:J),SUMIF('RAW DATA'!P:P,'RAW DATA'!B343,'RAW DATA'!J:J)))</f>
        <v/>
      </c>
      <c r="I343" s="4" t="str">
        <f>IF(SUMIF('RAW DATA'!M:M,'RAW DATA'!B343, 'RAW DATA'!K:K)=0, "", SUMIF('RAW DATA'!M:M,'RAW DATA'!B343, 'RAW DATA'!K:K))</f>
        <v/>
      </c>
      <c r="J343" s="29" t="str">
        <f>IF('RAW DATA'!B343&lt;&gt;"",IF(OR('RAW DATA'!H343=1,'RAW DATA'!H343=2),1,IF(ISNUMBER(FIND("Medic",'RAW DATA'!E343)),1,"")),"")</f>
        <v/>
      </c>
      <c r="K343" s="29" t="str">
        <f>IF(AND('RAW DATA'!$B343&lt;&gt;"",'RAW DATA'!L343=1),1,"")</f>
        <v/>
      </c>
      <c r="L343" s="24" t="str">
        <f t="shared" si="11"/>
        <v/>
      </c>
    </row>
    <row r="344" spans="2:12" x14ac:dyDescent="0.25">
      <c r="B344" s="1" t="str">
        <f>IF('RAW DATA'!$C346&lt;&gt;"",'RAW DATA'!$C346,"")</f>
        <v/>
      </c>
      <c r="C344" s="1" t="str">
        <f>IF('RAW DATA'!$D346&lt;&gt;"",'RAW DATA'!$D346,"")</f>
        <v/>
      </c>
      <c r="D344" s="1" t="str">
        <f>IF(AND($B343&lt;&gt;"", $B344=""), "TOTAL:", IF($D343="TOTAL:","VESSEL TARGET "&amp;'RAW DATA'!$E$2&amp;":",IF('RAW DATA'!$E344&lt;&gt;"",'RAW DATA'!$E344,"")))</f>
        <v/>
      </c>
      <c r="E344" s="29" t="str">
        <f t="shared" si="10"/>
        <v/>
      </c>
      <c r="F344" s="4" t="str">
        <f>IF($D343="TOTAL:",FIXED(ROUND(((SUM($F$4:$F342)/'RAW DATA'!$E$2)*100),1),1)&amp;"%",IF($D344="TOTAL:",SUM($F$4:$F343),IF(SUMIF('RAW DATA'!M:M,'RAW DATA'!B344,'RAW DATA'!H:H)=0,"",SUMIF('RAW DATA'!M:M,'RAW DATA'!B344,'RAW DATA'!H:H))))</f>
        <v/>
      </c>
      <c r="G344" s="4" t="str">
        <f>IF($D343="TOTAL:",FIXED(ROUND(((SUM($G$4:$G342)/'RAW DATA'!$E$2)*100),1),1)&amp;"%",IF($D344="TOTAL:",SUM($G$4:$G343),IF(SUMIF('RAW DATA'!M:M,'RAW DATA'!B344,'RAW DATA'!I:I)=0,"",SUMIF('RAW DATA'!M:M,'RAW DATA'!B344,'RAW DATA'!I:I))))</f>
        <v/>
      </c>
      <c r="H344" s="4" t="str">
        <f>IF(SUM(SUMIF('RAW DATA'!M:M,'RAW DATA'!B344,'RAW DATA'!J:J),SUMIF('RAW DATA'!N:N,'RAW DATA'!B344,'RAW DATA'!J:J),SUMIF('RAW DATA'!O:O,'RAW DATA'!B344,'RAW DATA'!J:J),SUMIF('RAW DATA'!P:P,'RAW DATA'!B344,'RAW DATA'!J:J))=0, "", SUM(SUMIF('RAW DATA'!M:M,'RAW DATA'!B344,'RAW DATA'!J:J),SUMIF('RAW DATA'!N:N,'RAW DATA'!B344,'RAW DATA'!J:J),SUMIF('RAW DATA'!O:O,'RAW DATA'!B344,'RAW DATA'!J:J),SUMIF('RAW DATA'!P:P,'RAW DATA'!B344,'RAW DATA'!J:J)))</f>
        <v/>
      </c>
      <c r="I344" s="4" t="str">
        <f>IF(SUMIF('RAW DATA'!M:M,'RAW DATA'!B344, 'RAW DATA'!K:K)=0, "", SUMIF('RAW DATA'!M:M,'RAW DATA'!B344, 'RAW DATA'!K:K))</f>
        <v/>
      </c>
      <c r="J344" s="29" t="str">
        <f>IF('RAW DATA'!B344&lt;&gt;"",IF(OR('RAW DATA'!H344=1,'RAW DATA'!H344=2),1,IF(ISNUMBER(FIND("Medic",'RAW DATA'!E344)),1,"")),"")</f>
        <v/>
      </c>
      <c r="K344" s="29" t="str">
        <f>IF(AND('RAW DATA'!$B344&lt;&gt;"",'RAW DATA'!L344=1),1,"")</f>
        <v/>
      </c>
      <c r="L344" s="24" t="str">
        <f t="shared" si="11"/>
        <v/>
      </c>
    </row>
    <row r="345" spans="2:12" x14ac:dyDescent="0.25">
      <c r="B345" s="1" t="str">
        <f>IF('RAW DATA'!$C347&lt;&gt;"",'RAW DATA'!$C347,"")</f>
        <v/>
      </c>
      <c r="C345" s="1" t="str">
        <f>IF('RAW DATA'!$D347&lt;&gt;"",'RAW DATA'!$D347,"")</f>
        <v/>
      </c>
      <c r="D345" s="1" t="str">
        <f>IF(AND($B344&lt;&gt;"", $B345=""), "TOTAL:", IF($D344="TOTAL:","VESSEL TARGET "&amp;'RAW DATA'!$E$2&amp;":",IF('RAW DATA'!$E345&lt;&gt;"",'RAW DATA'!$E345,"")))</f>
        <v/>
      </c>
      <c r="E345" s="29" t="str">
        <f t="shared" si="10"/>
        <v/>
      </c>
      <c r="F345" s="4" t="str">
        <f>IF($D344="TOTAL:",FIXED(ROUND(((SUM($F$4:$F343)/'RAW DATA'!$E$2)*100),1),1)&amp;"%",IF($D345="TOTAL:",SUM($F$4:$F344),IF(SUMIF('RAW DATA'!M:M,'RAW DATA'!B345,'RAW DATA'!H:H)=0,"",SUMIF('RAW DATA'!M:M,'RAW DATA'!B345,'RAW DATA'!H:H))))</f>
        <v/>
      </c>
      <c r="G345" s="4" t="str">
        <f>IF($D344="TOTAL:",FIXED(ROUND(((SUM($G$4:$G343)/'RAW DATA'!$E$2)*100),1),1)&amp;"%",IF($D345="TOTAL:",SUM($G$4:$G344),IF(SUMIF('RAW DATA'!M:M,'RAW DATA'!B345,'RAW DATA'!I:I)=0,"",SUMIF('RAW DATA'!M:M,'RAW DATA'!B345,'RAW DATA'!I:I))))</f>
        <v/>
      </c>
      <c r="H345" s="4" t="str">
        <f>IF(SUM(SUMIF('RAW DATA'!M:M,'RAW DATA'!B345,'RAW DATA'!J:J),SUMIF('RAW DATA'!N:N,'RAW DATA'!B345,'RAW DATA'!J:J),SUMIF('RAW DATA'!O:O,'RAW DATA'!B345,'RAW DATA'!J:J),SUMIF('RAW DATA'!P:P,'RAW DATA'!B345,'RAW DATA'!J:J))=0, "", SUM(SUMIF('RAW DATA'!M:M,'RAW DATA'!B345,'RAW DATA'!J:J),SUMIF('RAW DATA'!N:N,'RAW DATA'!B345,'RAW DATA'!J:J),SUMIF('RAW DATA'!O:O,'RAW DATA'!B345,'RAW DATA'!J:J),SUMIF('RAW DATA'!P:P,'RAW DATA'!B345,'RAW DATA'!J:J)))</f>
        <v/>
      </c>
      <c r="I345" s="4" t="str">
        <f>IF(SUMIF('RAW DATA'!M:M,'RAW DATA'!B345, 'RAW DATA'!K:K)=0, "", SUMIF('RAW DATA'!M:M,'RAW DATA'!B345, 'RAW DATA'!K:K))</f>
        <v/>
      </c>
      <c r="J345" s="29" t="str">
        <f>IF('RAW DATA'!B345&lt;&gt;"",IF(OR('RAW DATA'!H345=1,'RAW DATA'!H345=2),1,IF(ISNUMBER(FIND("Medic",'RAW DATA'!E345)),1,"")),"")</f>
        <v/>
      </c>
      <c r="K345" s="29" t="str">
        <f>IF(AND('RAW DATA'!$B345&lt;&gt;"",'RAW DATA'!L345=1),1,"")</f>
        <v/>
      </c>
      <c r="L345" s="24" t="str">
        <f t="shared" si="11"/>
        <v/>
      </c>
    </row>
    <row r="346" spans="2:12" x14ac:dyDescent="0.25">
      <c r="B346" s="1" t="str">
        <f>IF('RAW DATA'!$C348&lt;&gt;"",'RAW DATA'!$C348,"")</f>
        <v/>
      </c>
      <c r="C346" s="1" t="str">
        <f>IF('RAW DATA'!$D348&lt;&gt;"",'RAW DATA'!$D348,"")</f>
        <v/>
      </c>
      <c r="D346" s="1" t="str">
        <f>IF(AND($B345&lt;&gt;"", $B346=""), "TOTAL:", IF($D345="TOTAL:","VESSEL TARGET "&amp;'RAW DATA'!$E$2&amp;":",IF('RAW DATA'!$E346&lt;&gt;"",'RAW DATA'!$E346,"")))</f>
        <v/>
      </c>
      <c r="E346" s="29" t="str">
        <f t="shared" si="10"/>
        <v/>
      </c>
      <c r="F346" s="4" t="str">
        <f>IF($D345="TOTAL:",FIXED(ROUND(((SUM($F$4:$F344)/'RAW DATA'!$E$2)*100),1),1)&amp;"%",IF($D346="TOTAL:",SUM($F$4:$F345),IF(SUMIF('RAW DATA'!M:M,'RAW DATA'!B346,'RAW DATA'!H:H)=0,"",SUMIF('RAW DATA'!M:M,'RAW DATA'!B346,'RAW DATA'!H:H))))</f>
        <v/>
      </c>
      <c r="G346" s="4" t="str">
        <f>IF($D345="TOTAL:",FIXED(ROUND(((SUM($G$4:$G344)/'RAW DATA'!$E$2)*100),1),1)&amp;"%",IF($D346="TOTAL:",SUM($G$4:$G345),IF(SUMIF('RAW DATA'!M:M,'RAW DATA'!B346,'RAW DATA'!I:I)=0,"",SUMIF('RAW DATA'!M:M,'RAW DATA'!B346,'RAW DATA'!I:I))))</f>
        <v/>
      </c>
      <c r="H346" s="4" t="str">
        <f>IF(SUM(SUMIF('RAW DATA'!M:M,'RAW DATA'!B346,'RAW DATA'!J:J),SUMIF('RAW DATA'!N:N,'RAW DATA'!B346,'RAW DATA'!J:J),SUMIF('RAW DATA'!O:O,'RAW DATA'!B346,'RAW DATA'!J:J),SUMIF('RAW DATA'!P:P,'RAW DATA'!B346,'RAW DATA'!J:J))=0, "", SUM(SUMIF('RAW DATA'!M:M,'RAW DATA'!B346,'RAW DATA'!J:J),SUMIF('RAW DATA'!N:N,'RAW DATA'!B346,'RAW DATA'!J:J),SUMIF('RAW DATA'!O:O,'RAW DATA'!B346,'RAW DATA'!J:J),SUMIF('RAW DATA'!P:P,'RAW DATA'!B346,'RAW DATA'!J:J)))</f>
        <v/>
      </c>
      <c r="I346" s="4" t="str">
        <f>IF(SUMIF('RAW DATA'!M:M,'RAW DATA'!B346, 'RAW DATA'!K:K)=0, "", SUMIF('RAW DATA'!M:M,'RAW DATA'!B346, 'RAW DATA'!K:K))</f>
        <v/>
      </c>
      <c r="J346" s="29" t="str">
        <f>IF('RAW DATA'!B346&lt;&gt;"",IF(OR('RAW DATA'!H346=1,'RAW DATA'!H346=2),1,IF(ISNUMBER(FIND("Medic",'RAW DATA'!E346)),1,"")),"")</f>
        <v/>
      </c>
      <c r="K346" s="29" t="str">
        <f>IF(AND('RAW DATA'!$B346&lt;&gt;"",'RAW DATA'!L346=1),1,"")</f>
        <v/>
      </c>
      <c r="L346" s="24" t="str">
        <f t="shared" si="11"/>
        <v/>
      </c>
    </row>
    <row r="347" spans="2:12" x14ac:dyDescent="0.25">
      <c r="B347" s="1" t="str">
        <f>IF('RAW DATA'!$C349&lt;&gt;"",'RAW DATA'!$C349,"")</f>
        <v/>
      </c>
      <c r="C347" s="1" t="str">
        <f>IF('RAW DATA'!$D349&lt;&gt;"",'RAW DATA'!$D349,"")</f>
        <v/>
      </c>
      <c r="D347" s="1" t="str">
        <f>IF(AND($B346&lt;&gt;"", $B347=""), "TOTAL:", IF($D346="TOTAL:","VESSEL TARGET "&amp;'RAW DATA'!$E$2&amp;":",IF('RAW DATA'!$E347&lt;&gt;"",'RAW DATA'!$E347,"")))</f>
        <v/>
      </c>
      <c r="E347" s="29" t="str">
        <f t="shared" si="10"/>
        <v/>
      </c>
      <c r="F347" s="4" t="str">
        <f>IF($D346="TOTAL:",FIXED(ROUND(((SUM($F$4:$F345)/'RAW DATA'!$E$2)*100),1),1)&amp;"%",IF($D347="TOTAL:",SUM($F$4:$F346),IF(SUMIF('RAW DATA'!M:M,'RAW DATA'!B347,'RAW DATA'!H:H)=0,"",SUMIF('RAW DATA'!M:M,'RAW DATA'!B347,'RAW DATA'!H:H))))</f>
        <v/>
      </c>
      <c r="G347" s="4" t="str">
        <f>IF($D346="TOTAL:",FIXED(ROUND(((SUM($G$4:$G345)/'RAW DATA'!$E$2)*100),1),1)&amp;"%",IF($D347="TOTAL:",SUM($G$4:$G346),IF(SUMIF('RAW DATA'!M:M,'RAW DATA'!B347,'RAW DATA'!I:I)=0,"",SUMIF('RAW DATA'!M:M,'RAW DATA'!B347,'RAW DATA'!I:I))))</f>
        <v/>
      </c>
      <c r="H347" s="4" t="str">
        <f>IF(SUM(SUMIF('RAW DATA'!M:M,'RAW DATA'!B347,'RAW DATA'!J:J),SUMIF('RAW DATA'!N:N,'RAW DATA'!B347,'RAW DATA'!J:J),SUMIF('RAW DATA'!O:O,'RAW DATA'!B347,'RAW DATA'!J:J),SUMIF('RAW DATA'!P:P,'RAW DATA'!B347,'RAW DATA'!J:J))=0, "", SUM(SUMIF('RAW DATA'!M:M,'RAW DATA'!B347,'RAW DATA'!J:J),SUMIF('RAW DATA'!N:N,'RAW DATA'!B347,'RAW DATA'!J:J),SUMIF('RAW DATA'!O:O,'RAW DATA'!B347,'RAW DATA'!J:J),SUMIF('RAW DATA'!P:P,'RAW DATA'!B347,'RAW DATA'!J:J)))</f>
        <v/>
      </c>
      <c r="I347" s="4" t="str">
        <f>IF(SUMIF('RAW DATA'!M:M,'RAW DATA'!B347, 'RAW DATA'!K:K)=0, "", SUMIF('RAW DATA'!M:M,'RAW DATA'!B347, 'RAW DATA'!K:K))</f>
        <v/>
      </c>
      <c r="J347" s="29" t="str">
        <f>IF('RAW DATA'!B347&lt;&gt;"",IF(OR('RAW DATA'!H347=1,'RAW DATA'!H347=2),1,IF(ISNUMBER(FIND("Medic",'RAW DATA'!E347)),1,"")),"")</f>
        <v/>
      </c>
      <c r="K347" s="29" t="str">
        <f>IF(AND('RAW DATA'!$B347&lt;&gt;"",'RAW DATA'!L347=1),1,"")</f>
        <v/>
      </c>
      <c r="L347" s="24" t="str">
        <f t="shared" si="11"/>
        <v/>
      </c>
    </row>
    <row r="348" spans="2:12" x14ac:dyDescent="0.25">
      <c r="B348" s="1" t="str">
        <f>IF('RAW DATA'!$C350&lt;&gt;"",'RAW DATA'!$C350,"")</f>
        <v/>
      </c>
      <c r="C348" s="1" t="str">
        <f>IF('RAW DATA'!$D350&lt;&gt;"",'RAW DATA'!$D350,"")</f>
        <v/>
      </c>
      <c r="D348" s="1" t="str">
        <f>IF(AND($B347&lt;&gt;"", $B348=""), "TOTAL:", IF($D347="TOTAL:","VESSEL TARGET "&amp;'RAW DATA'!$E$2&amp;":",IF('RAW DATA'!$E348&lt;&gt;"",'RAW DATA'!$E348,"")))</f>
        <v/>
      </c>
      <c r="E348" s="29" t="str">
        <f t="shared" si="10"/>
        <v/>
      </c>
      <c r="F348" s="4" t="str">
        <f>IF($D347="TOTAL:",FIXED(ROUND(((SUM($F$4:$F346)/'RAW DATA'!$E$2)*100),1),1)&amp;"%",IF($D348="TOTAL:",SUM($F$4:$F347),IF(SUMIF('RAW DATA'!M:M,'RAW DATA'!B348,'RAW DATA'!H:H)=0,"",SUMIF('RAW DATA'!M:M,'RAW DATA'!B348,'RAW DATA'!H:H))))</f>
        <v/>
      </c>
      <c r="G348" s="4" t="str">
        <f>IF($D347="TOTAL:",FIXED(ROUND(((SUM($G$4:$G346)/'RAW DATA'!$E$2)*100),1),1)&amp;"%",IF($D348="TOTAL:",SUM($G$4:$G347),IF(SUMIF('RAW DATA'!M:M,'RAW DATA'!B348,'RAW DATA'!I:I)=0,"",SUMIF('RAW DATA'!M:M,'RAW DATA'!B348,'RAW DATA'!I:I))))</f>
        <v/>
      </c>
      <c r="H348" s="4" t="str">
        <f>IF(SUM(SUMIF('RAW DATA'!M:M,'RAW DATA'!B348,'RAW DATA'!J:J),SUMIF('RAW DATA'!N:N,'RAW DATA'!B348,'RAW DATA'!J:J),SUMIF('RAW DATA'!O:O,'RAW DATA'!B348,'RAW DATA'!J:J),SUMIF('RAW DATA'!P:P,'RAW DATA'!B348,'RAW DATA'!J:J))=0, "", SUM(SUMIF('RAW DATA'!M:M,'RAW DATA'!B348,'RAW DATA'!J:J),SUMIF('RAW DATA'!N:N,'RAW DATA'!B348,'RAW DATA'!J:J),SUMIF('RAW DATA'!O:O,'RAW DATA'!B348,'RAW DATA'!J:J),SUMIF('RAW DATA'!P:P,'RAW DATA'!B348,'RAW DATA'!J:J)))</f>
        <v/>
      </c>
      <c r="I348" s="4" t="str">
        <f>IF(SUMIF('RAW DATA'!M:M,'RAW DATA'!B348, 'RAW DATA'!K:K)=0, "", SUMIF('RAW DATA'!M:M,'RAW DATA'!B348, 'RAW DATA'!K:K))</f>
        <v/>
      </c>
      <c r="J348" s="29" t="str">
        <f>IF('RAW DATA'!B348&lt;&gt;"",IF(OR('RAW DATA'!H348=1,'RAW DATA'!H348=2),1,IF(ISNUMBER(FIND("Medic",'RAW DATA'!E348)),1,"")),"")</f>
        <v/>
      </c>
      <c r="K348" s="29" t="str">
        <f>IF(AND('RAW DATA'!$B348&lt;&gt;"",'RAW DATA'!L348=1),1,"")</f>
        <v/>
      </c>
      <c r="L348" s="24" t="str">
        <f t="shared" si="11"/>
        <v/>
      </c>
    </row>
    <row r="349" spans="2:12" x14ac:dyDescent="0.25">
      <c r="B349" s="1" t="str">
        <f>IF('RAW DATA'!$C351&lt;&gt;"",'RAW DATA'!$C351,"")</f>
        <v/>
      </c>
      <c r="C349" s="1" t="str">
        <f>IF('RAW DATA'!$D351&lt;&gt;"",'RAW DATA'!$D351,"")</f>
        <v/>
      </c>
      <c r="D349" s="1" t="str">
        <f>IF(AND($B348&lt;&gt;"", $B349=""), "TOTAL:", IF($D348="TOTAL:","VESSEL TARGET "&amp;'RAW DATA'!$E$2&amp;":",IF('RAW DATA'!$E349&lt;&gt;"",'RAW DATA'!$E349,"")))</f>
        <v/>
      </c>
      <c r="E349" s="29" t="str">
        <f t="shared" si="10"/>
        <v/>
      </c>
      <c r="F349" s="4" t="str">
        <f>IF($D348="TOTAL:",FIXED(ROUND(((SUM($F$4:$F347)/'RAW DATA'!$E$2)*100),1),1)&amp;"%",IF($D349="TOTAL:",SUM($F$4:$F348),IF(SUMIF('RAW DATA'!M:M,'RAW DATA'!B349,'RAW DATA'!H:H)=0,"",SUMIF('RAW DATA'!M:M,'RAW DATA'!B349,'RAW DATA'!H:H))))</f>
        <v/>
      </c>
      <c r="G349" s="4" t="str">
        <f>IF($D348="TOTAL:",FIXED(ROUND(((SUM($G$4:$G347)/'RAW DATA'!$E$2)*100),1),1)&amp;"%",IF($D349="TOTAL:",SUM($G$4:$G348),IF(SUMIF('RAW DATA'!M:M,'RAW DATA'!B349,'RAW DATA'!I:I)=0,"",SUMIF('RAW DATA'!M:M,'RAW DATA'!B349,'RAW DATA'!I:I))))</f>
        <v/>
      </c>
      <c r="H349" s="4" t="str">
        <f>IF(SUM(SUMIF('RAW DATA'!M:M,'RAW DATA'!B349,'RAW DATA'!J:J),SUMIF('RAW DATA'!N:N,'RAW DATA'!B349,'RAW DATA'!J:J),SUMIF('RAW DATA'!O:O,'RAW DATA'!B349,'RAW DATA'!J:J),SUMIF('RAW DATA'!P:P,'RAW DATA'!B349,'RAW DATA'!J:J))=0, "", SUM(SUMIF('RAW DATA'!M:M,'RAW DATA'!B349,'RAW DATA'!J:J),SUMIF('RAW DATA'!N:N,'RAW DATA'!B349,'RAW DATA'!J:J),SUMIF('RAW DATA'!O:O,'RAW DATA'!B349,'RAW DATA'!J:J),SUMIF('RAW DATA'!P:P,'RAW DATA'!B349,'RAW DATA'!J:J)))</f>
        <v/>
      </c>
      <c r="I349" s="4" t="str">
        <f>IF(SUMIF('RAW DATA'!M:M,'RAW DATA'!B349, 'RAW DATA'!K:K)=0, "", SUMIF('RAW DATA'!M:M,'RAW DATA'!B349, 'RAW DATA'!K:K))</f>
        <v/>
      </c>
      <c r="J349" s="29" t="str">
        <f>IF('RAW DATA'!B349&lt;&gt;"",IF(OR('RAW DATA'!H349=1,'RAW DATA'!H349=2),1,IF(ISNUMBER(FIND("Medic",'RAW DATA'!E349)),1,"")),"")</f>
        <v/>
      </c>
      <c r="K349" s="29" t="str">
        <f>IF(AND('RAW DATA'!$B349&lt;&gt;"",'RAW DATA'!L349=1),1,"")</f>
        <v/>
      </c>
      <c r="L349" s="24" t="str">
        <f t="shared" si="11"/>
        <v/>
      </c>
    </row>
    <row r="350" spans="2:12" x14ac:dyDescent="0.25">
      <c r="B350" s="1" t="str">
        <f>IF('RAW DATA'!$C352&lt;&gt;"",'RAW DATA'!$C352,"")</f>
        <v/>
      </c>
      <c r="C350" s="1" t="str">
        <f>IF('RAW DATA'!$D352&lt;&gt;"",'RAW DATA'!$D352,"")</f>
        <v/>
      </c>
      <c r="D350" s="1" t="str">
        <f>IF(AND($B349&lt;&gt;"", $B350=""), "TOTAL:", IF($D349="TOTAL:","VESSEL TARGET "&amp;'RAW DATA'!$E$2&amp;":",IF('RAW DATA'!$E350&lt;&gt;"",'RAW DATA'!$E350,"")))</f>
        <v/>
      </c>
      <c r="E350" s="29" t="str">
        <f t="shared" si="10"/>
        <v/>
      </c>
      <c r="F350" s="4" t="str">
        <f>IF($D349="TOTAL:",FIXED(ROUND(((SUM($F$4:$F348)/'RAW DATA'!$E$2)*100),1),1)&amp;"%",IF($D350="TOTAL:",SUM($F$4:$F349),IF(SUMIF('RAW DATA'!M:M,'RAW DATA'!B350,'RAW DATA'!H:H)=0,"",SUMIF('RAW DATA'!M:M,'RAW DATA'!B350,'RAW DATA'!H:H))))</f>
        <v/>
      </c>
      <c r="G350" s="4" t="str">
        <f>IF($D349="TOTAL:",FIXED(ROUND(((SUM($G$4:$G348)/'RAW DATA'!$E$2)*100),1),1)&amp;"%",IF($D350="TOTAL:",SUM($G$4:$G349),IF(SUMIF('RAW DATA'!M:M,'RAW DATA'!B350,'RAW DATA'!I:I)=0,"",SUMIF('RAW DATA'!M:M,'RAW DATA'!B350,'RAW DATA'!I:I))))</f>
        <v/>
      </c>
      <c r="H350" s="4" t="str">
        <f>IF(SUM(SUMIF('RAW DATA'!M:M,'RAW DATA'!B350,'RAW DATA'!J:J),SUMIF('RAW DATA'!N:N,'RAW DATA'!B350,'RAW DATA'!J:J),SUMIF('RAW DATA'!O:O,'RAW DATA'!B350,'RAW DATA'!J:J),SUMIF('RAW DATA'!P:P,'RAW DATA'!B350,'RAW DATA'!J:J))=0, "", SUM(SUMIF('RAW DATA'!M:M,'RAW DATA'!B350,'RAW DATA'!J:J),SUMIF('RAW DATA'!N:N,'RAW DATA'!B350,'RAW DATA'!J:J),SUMIF('RAW DATA'!O:O,'RAW DATA'!B350,'RAW DATA'!J:J),SUMIF('RAW DATA'!P:P,'RAW DATA'!B350,'RAW DATA'!J:J)))</f>
        <v/>
      </c>
      <c r="I350" s="4" t="str">
        <f>IF(SUMIF('RAW DATA'!M:M,'RAW DATA'!B350, 'RAW DATA'!K:K)=0, "", SUMIF('RAW DATA'!M:M,'RAW DATA'!B350, 'RAW DATA'!K:K))</f>
        <v/>
      </c>
      <c r="J350" s="29" t="str">
        <f>IF('RAW DATA'!B350&lt;&gt;"",IF(OR('RAW DATA'!H350=1,'RAW DATA'!H350=2),1,IF(ISNUMBER(FIND("Medic",'RAW DATA'!E350)),1,"")),"")</f>
        <v/>
      </c>
      <c r="K350" s="29" t="str">
        <f>IF(AND('RAW DATA'!$B350&lt;&gt;"",'RAW DATA'!L350=1),1,"")</f>
        <v/>
      </c>
      <c r="L350" s="24" t="str">
        <f t="shared" si="11"/>
        <v/>
      </c>
    </row>
    <row r="351" spans="2:12" x14ac:dyDescent="0.25">
      <c r="B351" s="1" t="str">
        <f>IF('RAW DATA'!$C353&lt;&gt;"",'RAW DATA'!$C353,"")</f>
        <v/>
      </c>
      <c r="C351" s="1" t="str">
        <f>IF('RAW DATA'!$D353&lt;&gt;"",'RAW DATA'!$D353,"")</f>
        <v/>
      </c>
      <c r="D351" s="1" t="str">
        <f>IF(AND($B350&lt;&gt;"", $B351=""), "TOTAL:", IF($D350="TOTAL:","VESSEL TARGET "&amp;'RAW DATA'!$E$2&amp;":",IF('RAW DATA'!$E351&lt;&gt;"",'RAW DATA'!$E351,"")))</f>
        <v/>
      </c>
      <c r="E351" s="29" t="str">
        <f t="shared" si="10"/>
        <v/>
      </c>
      <c r="F351" s="4" t="str">
        <f>IF($D350="TOTAL:",FIXED(ROUND(((SUM($F$4:$F349)/'RAW DATA'!$E$2)*100),1),1)&amp;"%",IF($D351="TOTAL:",SUM($F$4:$F350),IF(SUMIF('RAW DATA'!M:M,'RAW DATA'!B351,'RAW DATA'!H:H)=0,"",SUMIF('RAW DATA'!M:M,'RAW DATA'!B351,'RAW DATA'!H:H))))</f>
        <v/>
      </c>
      <c r="G351" s="4" t="str">
        <f>IF($D350="TOTAL:",FIXED(ROUND(((SUM($G$4:$G349)/'RAW DATA'!$E$2)*100),1),1)&amp;"%",IF($D351="TOTAL:",SUM($G$4:$G350),IF(SUMIF('RAW DATA'!M:M,'RAW DATA'!B351,'RAW DATA'!I:I)=0,"",SUMIF('RAW DATA'!M:M,'RAW DATA'!B351,'RAW DATA'!I:I))))</f>
        <v/>
      </c>
      <c r="H351" s="4" t="str">
        <f>IF(SUM(SUMIF('RAW DATA'!M:M,'RAW DATA'!B351,'RAW DATA'!J:J),SUMIF('RAW DATA'!N:N,'RAW DATA'!B351,'RAW DATA'!J:J),SUMIF('RAW DATA'!O:O,'RAW DATA'!B351,'RAW DATA'!J:J),SUMIF('RAW DATA'!P:P,'RAW DATA'!B351,'RAW DATA'!J:J))=0, "", SUM(SUMIF('RAW DATA'!M:M,'RAW DATA'!B351,'RAW DATA'!J:J),SUMIF('RAW DATA'!N:N,'RAW DATA'!B351,'RAW DATA'!J:J),SUMIF('RAW DATA'!O:O,'RAW DATA'!B351,'RAW DATA'!J:J),SUMIF('RAW DATA'!P:P,'RAW DATA'!B351,'RAW DATA'!J:J)))</f>
        <v/>
      </c>
      <c r="I351" s="4" t="str">
        <f>IF(SUMIF('RAW DATA'!M:M,'RAW DATA'!B351, 'RAW DATA'!K:K)=0, "", SUMIF('RAW DATA'!M:M,'RAW DATA'!B351, 'RAW DATA'!K:K))</f>
        <v/>
      </c>
      <c r="J351" s="29" t="str">
        <f>IF('RAW DATA'!B351&lt;&gt;"",IF(OR('RAW DATA'!H351=1,'RAW DATA'!H351=2),1,IF(ISNUMBER(FIND("Medic",'RAW DATA'!E351)),1,"")),"")</f>
        <v/>
      </c>
      <c r="K351" s="29" t="str">
        <f>IF(AND('RAW DATA'!$B351&lt;&gt;"",'RAW DATA'!L351=1),1,"")</f>
        <v/>
      </c>
      <c r="L351" s="24" t="str">
        <f t="shared" si="11"/>
        <v/>
      </c>
    </row>
    <row r="352" spans="2:12" x14ac:dyDescent="0.25">
      <c r="B352" s="1" t="str">
        <f>IF('RAW DATA'!$C354&lt;&gt;"",'RAW DATA'!$C354,"")</f>
        <v/>
      </c>
      <c r="C352" s="1" t="str">
        <f>IF('RAW DATA'!$D354&lt;&gt;"",'RAW DATA'!$D354,"")</f>
        <v/>
      </c>
      <c r="D352" s="1" t="str">
        <f>IF(AND($B351&lt;&gt;"", $B352=""), "TOTAL:", IF($D351="TOTAL:","VESSEL TARGET "&amp;'RAW DATA'!$E$2&amp;":",IF('RAW DATA'!$E352&lt;&gt;"",'RAW DATA'!$E352,"")))</f>
        <v/>
      </c>
      <c r="E352" s="29" t="str">
        <f t="shared" si="10"/>
        <v/>
      </c>
      <c r="F352" s="4" t="str">
        <f>IF($D351="TOTAL:",FIXED(ROUND(((SUM($F$4:$F350)/'RAW DATA'!$E$2)*100),1),1)&amp;"%",IF($D352="TOTAL:",SUM($F$4:$F351),IF(SUMIF('RAW DATA'!M:M,'RAW DATA'!B352,'RAW DATA'!H:H)=0,"",SUMIF('RAW DATA'!M:M,'RAW DATA'!B352,'RAW DATA'!H:H))))</f>
        <v/>
      </c>
      <c r="G352" s="4" t="str">
        <f>IF($D351="TOTAL:",FIXED(ROUND(((SUM($G$4:$G350)/'RAW DATA'!$E$2)*100),1),1)&amp;"%",IF($D352="TOTAL:",SUM($G$4:$G351),IF(SUMIF('RAW DATA'!M:M,'RAW DATA'!B352,'RAW DATA'!I:I)=0,"",SUMIF('RAW DATA'!M:M,'RAW DATA'!B352,'RAW DATA'!I:I))))</f>
        <v/>
      </c>
      <c r="H352" s="4" t="str">
        <f>IF(SUM(SUMIF('RAW DATA'!M:M,'RAW DATA'!B352,'RAW DATA'!J:J),SUMIF('RAW DATA'!N:N,'RAW DATA'!B352,'RAW DATA'!J:J),SUMIF('RAW DATA'!O:O,'RAW DATA'!B352,'RAW DATA'!J:J),SUMIF('RAW DATA'!P:P,'RAW DATA'!B352,'RAW DATA'!J:J))=0, "", SUM(SUMIF('RAW DATA'!M:M,'RAW DATA'!B352,'RAW DATA'!J:J),SUMIF('RAW DATA'!N:N,'RAW DATA'!B352,'RAW DATA'!J:J),SUMIF('RAW DATA'!O:O,'RAW DATA'!B352,'RAW DATA'!J:J),SUMIF('RAW DATA'!P:P,'RAW DATA'!B352,'RAW DATA'!J:J)))</f>
        <v/>
      </c>
      <c r="I352" s="4" t="str">
        <f>IF(SUMIF('RAW DATA'!M:M,'RAW DATA'!B352, 'RAW DATA'!K:K)=0, "", SUMIF('RAW DATA'!M:M,'RAW DATA'!B352, 'RAW DATA'!K:K))</f>
        <v/>
      </c>
      <c r="J352" s="29" t="str">
        <f>IF('RAW DATA'!B352&lt;&gt;"",IF(OR('RAW DATA'!H352=1,'RAW DATA'!H352=2),1,IF(ISNUMBER(FIND("Medic",'RAW DATA'!E352)),1,"")),"")</f>
        <v/>
      </c>
      <c r="K352" s="29" t="str">
        <f>IF(AND('RAW DATA'!$B352&lt;&gt;"",'RAW DATA'!L352=1),1,"")</f>
        <v/>
      </c>
      <c r="L352" s="24" t="str">
        <f t="shared" si="11"/>
        <v/>
      </c>
    </row>
    <row r="353" spans="2:12" x14ac:dyDescent="0.25">
      <c r="B353" s="1" t="str">
        <f>IF('RAW DATA'!$C355&lt;&gt;"",'RAW DATA'!$C355,"")</f>
        <v/>
      </c>
      <c r="C353" s="1" t="str">
        <f>IF('RAW DATA'!$D355&lt;&gt;"",'RAW DATA'!$D355,"")</f>
        <v/>
      </c>
      <c r="D353" s="1" t="str">
        <f>IF(AND($B352&lt;&gt;"", $B353=""), "TOTAL:", IF($D352="TOTAL:","VESSEL TARGET "&amp;'RAW DATA'!$E$2&amp;":",IF('RAW DATA'!$E353&lt;&gt;"",'RAW DATA'!$E353,"")))</f>
        <v/>
      </c>
      <c r="E353" s="29" t="str">
        <f t="shared" si="10"/>
        <v/>
      </c>
      <c r="F353" s="4" t="str">
        <f>IF($D352="TOTAL:",FIXED(ROUND(((SUM($F$4:$F351)/'RAW DATA'!$E$2)*100),1),1)&amp;"%",IF($D353="TOTAL:",SUM($F$4:$F352),IF(SUMIF('RAW DATA'!M:M,'RAW DATA'!B353,'RAW DATA'!H:H)=0,"",SUMIF('RAW DATA'!M:M,'RAW DATA'!B353,'RAW DATA'!H:H))))</f>
        <v/>
      </c>
      <c r="G353" s="4" t="str">
        <f>IF($D352="TOTAL:",FIXED(ROUND(((SUM($G$4:$G351)/'RAW DATA'!$E$2)*100),1),1)&amp;"%",IF($D353="TOTAL:",SUM($G$4:$G352),IF(SUMIF('RAW DATA'!M:M,'RAW DATA'!B353,'RAW DATA'!I:I)=0,"",SUMIF('RAW DATA'!M:M,'RAW DATA'!B353,'RAW DATA'!I:I))))</f>
        <v/>
      </c>
      <c r="H353" s="4" t="str">
        <f>IF(SUM(SUMIF('RAW DATA'!M:M,'RAW DATA'!B353,'RAW DATA'!J:J),SUMIF('RAW DATA'!N:N,'RAW DATA'!B353,'RAW DATA'!J:J),SUMIF('RAW DATA'!O:O,'RAW DATA'!B353,'RAW DATA'!J:J),SUMIF('RAW DATA'!P:P,'RAW DATA'!B353,'RAW DATA'!J:J))=0, "", SUM(SUMIF('RAW DATA'!M:M,'RAW DATA'!B353,'RAW DATA'!J:J),SUMIF('RAW DATA'!N:N,'RAW DATA'!B353,'RAW DATA'!J:J),SUMIF('RAW DATA'!O:O,'RAW DATA'!B353,'RAW DATA'!J:J),SUMIF('RAW DATA'!P:P,'RAW DATA'!B353,'RAW DATA'!J:J)))</f>
        <v/>
      </c>
      <c r="I353" s="4" t="str">
        <f>IF(SUMIF('RAW DATA'!M:M,'RAW DATA'!B353, 'RAW DATA'!K:K)=0, "", SUMIF('RAW DATA'!M:M,'RAW DATA'!B353, 'RAW DATA'!K:K))</f>
        <v/>
      </c>
      <c r="J353" s="29" t="str">
        <f>IF('RAW DATA'!B353&lt;&gt;"",IF(OR('RAW DATA'!H353=1,'RAW DATA'!H353=2),1,IF(ISNUMBER(FIND("Medic",'RAW DATA'!E353)),1,"")),"")</f>
        <v/>
      </c>
      <c r="K353" s="29" t="str">
        <f>IF(AND('RAW DATA'!$B353&lt;&gt;"",'RAW DATA'!L353=1),1,"")</f>
        <v/>
      </c>
      <c r="L353" s="24" t="str">
        <f t="shared" si="11"/>
        <v/>
      </c>
    </row>
    <row r="354" spans="2:12" x14ac:dyDescent="0.25">
      <c r="B354" s="1" t="str">
        <f>IF('RAW DATA'!$C356&lt;&gt;"",'RAW DATA'!$C356,"")</f>
        <v/>
      </c>
      <c r="C354" s="1" t="str">
        <f>IF('RAW DATA'!$D356&lt;&gt;"",'RAW DATA'!$D356,"")</f>
        <v/>
      </c>
      <c r="D354" s="1" t="str">
        <f>IF(AND($B353&lt;&gt;"", $B354=""), "TOTAL:", IF($D353="TOTAL:","VESSEL TARGET "&amp;'RAW DATA'!$E$2&amp;":",IF('RAW DATA'!$E354&lt;&gt;"",'RAW DATA'!$E354,"")))</f>
        <v/>
      </c>
      <c r="E354" s="29" t="str">
        <f t="shared" si="10"/>
        <v/>
      </c>
      <c r="F354" s="4" t="str">
        <f>IF($D353="TOTAL:",FIXED(ROUND(((SUM($F$4:$F352)/'RAW DATA'!$E$2)*100),1),1)&amp;"%",IF($D354="TOTAL:",SUM($F$4:$F353),IF(SUMIF('RAW DATA'!M:M,'RAW DATA'!B354,'RAW DATA'!H:H)=0,"",SUMIF('RAW DATA'!M:M,'RAW DATA'!B354,'RAW DATA'!H:H))))</f>
        <v/>
      </c>
      <c r="G354" s="4" t="str">
        <f>IF($D353="TOTAL:",FIXED(ROUND(((SUM($G$4:$G352)/'RAW DATA'!$E$2)*100),1),1)&amp;"%",IF($D354="TOTAL:",SUM($G$4:$G353),IF(SUMIF('RAW DATA'!M:M,'RAW DATA'!B354,'RAW DATA'!I:I)=0,"",SUMIF('RAW DATA'!M:M,'RAW DATA'!B354,'RAW DATA'!I:I))))</f>
        <v/>
      </c>
      <c r="H354" s="4" t="str">
        <f>IF(SUM(SUMIF('RAW DATA'!M:M,'RAW DATA'!B354,'RAW DATA'!J:J),SUMIF('RAW DATA'!N:N,'RAW DATA'!B354,'RAW DATA'!J:J),SUMIF('RAW DATA'!O:O,'RAW DATA'!B354,'RAW DATA'!J:J),SUMIF('RAW DATA'!P:P,'RAW DATA'!B354,'RAW DATA'!J:J))=0, "", SUM(SUMIF('RAW DATA'!M:M,'RAW DATA'!B354,'RAW DATA'!J:J),SUMIF('RAW DATA'!N:N,'RAW DATA'!B354,'RAW DATA'!J:J),SUMIF('RAW DATA'!O:O,'RAW DATA'!B354,'RAW DATA'!J:J),SUMIF('RAW DATA'!P:P,'RAW DATA'!B354,'RAW DATA'!J:J)))</f>
        <v/>
      </c>
      <c r="I354" s="4" t="str">
        <f>IF(SUMIF('RAW DATA'!M:M,'RAW DATA'!B354, 'RAW DATA'!K:K)=0, "", SUMIF('RAW DATA'!M:M,'RAW DATA'!B354, 'RAW DATA'!K:K))</f>
        <v/>
      </c>
      <c r="J354" s="29" t="str">
        <f>IF('RAW DATA'!B354&lt;&gt;"",IF(OR('RAW DATA'!H354=1,'RAW DATA'!H354=2),1,IF(ISNUMBER(FIND("Medic",'RAW DATA'!E354)),1,"")),"")</f>
        <v/>
      </c>
      <c r="K354" s="29" t="str">
        <f>IF(AND('RAW DATA'!$B354&lt;&gt;"",'RAW DATA'!L354=1),1,"")</f>
        <v/>
      </c>
      <c r="L354" s="24" t="str">
        <f t="shared" si="11"/>
        <v/>
      </c>
    </row>
    <row r="355" spans="2:12" x14ac:dyDescent="0.25">
      <c r="B355" s="1" t="str">
        <f>IF('RAW DATA'!$C357&lt;&gt;"",'RAW DATA'!$C357,"")</f>
        <v/>
      </c>
      <c r="C355" s="1" t="str">
        <f>IF('RAW DATA'!$D357&lt;&gt;"",'RAW DATA'!$D357,"")</f>
        <v/>
      </c>
      <c r="D355" s="1" t="str">
        <f>IF(AND($B354&lt;&gt;"", $B355=""), "TOTAL:", IF($D354="TOTAL:","VESSEL TARGET "&amp;'RAW DATA'!$E$2&amp;":",IF('RAW DATA'!$E355&lt;&gt;"",'RAW DATA'!$E355,"")))</f>
        <v/>
      </c>
      <c r="E355" s="29" t="str">
        <f t="shared" si="10"/>
        <v/>
      </c>
      <c r="F355" s="4" t="str">
        <f>IF($D354="TOTAL:",FIXED(ROUND(((SUM($F$4:$F353)/'RAW DATA'!$E$2)*100),1),1)&amp;"%",IF($D355="TOTAL:",SUM($F$4:$F354),IF(SUMIF('RAW DATA'!M:M,'RAW DATA'!B355,'RAW DATA'!H:H)=0,"",SUMIF('RAW DATA'!M:M,'RAW DATA'!B355,'RAW DATA'!H:H))))</f>
        <v/>
      </c>
      <c r="G355" s="4" t="str">
        <f>IF($D354="TOTAL:",FIXED(ROUND(((SUM($G$4:$G353)/'RAW DATA'!$E$2)*100),1),1)&amp;"%",IF($D355="TOTAL:",SUM($G$4:$G354),IF(SUMIF('RAW DATA'!M:M,'RAW DATA'!B355,'RAW DATA'!I:I)=0,"",SUMIF('RAW DATA'!M:M,'RAW DATA'!B355,'RAW DATA'!I:I))))</f>
        <v/>
      </c>
      <c r="H355" s="4" t="str">
        <f>IF(SUM(SUMIF('RAW DATA'!M:M,'RAW DATA'!B355,'RAW DATA'!J:J),SUMIF('RAW DATA'!N:N,'RAW DATA'!B355,'RAW DATA'!J:J),SUMIF('RAW DATA'!O:O,'RAW DATA'!B355,'RAW DATA'!J:J),SUMIF('RAW DATA'!P:P,'RAW DATA'!B355,'RAW DATA'!J:J))=0, "", SUM(SUMIF('RAW DATA'!M:M,'RAW DATA'!B355,'RAW DATA'!J:J),SUMIF('RAW DATA'!N:N,'RAW DATA'!B355,'RAW DATA'!J:J),SUMIF('RAW DATA'!O:O,'RAW DATA'!B355,'RAW DATA'!J:J),SUMIF('RAW DATA'!P:P,'RAW DATA'!B355,'RAW DATA'!J:J)))</f>
        <v/>
      </c>
      <c r="I355" s="4" t="str">
        <f>IF(SUMIF('RAW DATA'!M:M,'RAW DATA'!B355, 'RAW DATA'!K:K)=0, "", SUMIF('RAW DATA'!M:M,'RAW DATA'!B355, 'RAW DATA'!K:K))</f>
        <v/>
      </c>
      <c r="J355" s="29" t="str">
        <f>IF('RAW DATA'!B355&lt;&gt;"",IF(OR('RAW DATA'!H355=1,'RAW DATA'!H355=2),1,IF(ISNUMBER(FIND("Medic",'RAW DATA'!E355)),1,"")),"")</f>
        <v/>
      </c>
      <c r="K355" s="29" t="str">
        <f>IF(AND('RAW DATA'!$B355&lt;&gt;"",'RAW DATA'!L355=1),1,"")</f>
        <v/>
      </c>
      <c r="L355" s="24" t="str">
        <f t="shared" si="11"/>
        <v/>
      </c>
    </row>
    <row r="356" spans="2:12" x14ac:dyDescent="0.25">
      <c r="B356" s="1" t="str">
        <f>IF('RAW DATA'!$C358&lt;&gt;"",'RAW DATA'!$C358,"")</f>
        <v/>
      </c>
      <c r="C356" s="1" t="str">
        <f>IF('RAW DATA'!$D358&lt;&gt;"",'RAW DATA'!$D358,"")</f>
        <v/>
      </c>
      <c r="D356" s="1" t="str">
        <f>IF(AND($B355&lt;&gt;"", $B356=""), "TOTAL:", IF($D355="TOTAL:","VESSEL TARGET "&amp;'RAW DATA'!$E$2&amp;":",IF('RAW DATA'!$E356&lt;&gt;"",'RAW DATA'!$E356,"")))</f>
        <v/>
      </c>
      <c r="E356" s="29" t="str">
        <f t="shared" si="10"/>
        <v/>
      </c>
      <c r="F356" s="4" t="str">
        <f>IF($D355="TOTAL:",FIXED(ROUND(((SUM($F$4:$F354)/'RAW DATA'!$E$2)*100),1),1)&amp;"%",IF($D356="TOTAL:",SUM($F$4:$F355),IF(SUMIF('RAW DATA'!M:M,'RAW DATA'!B356,'RAW DATA'!H:H)=0,"",SUMIF('RAW DATA'!M:M,'RAW DATA'!B356,'RAW DATA'!H:H))))</f>
        <v/>
      </c>
      <c r="G356" s="4" t="str">
        <f>IF($D355="TOTAL:",FIXED(ROUND(((SUM($G$4:$G354)/'RAW DATA'!$E$2)*100),1),1)&amp;"%",IF($D356="TOTAL:",SUM($G$4:$G355),IF(SUMIF('RAW DATA'!M:M,'RAW DATA'!B356,'RAW DATA'!I:I)=0,"",SUMIF('RAW DATA'!M:M,'RAW DATA'!B356,'RAW DATA'!I:I))))</f>
        <v/>
      </c>
      <c r="H356" s="4" t="str">
        <f>IF(SUM(SUMIF('RAW DATA'!M:M,'RAW DATA'!B356,'RAW DATA'!J:J),SUMIF('RAW DATA'!N:N,'RAW DATA'!B356,'RAW DATA'!J:J),SUMIF('RAW DATA'!O:O,'RAW DATA'!B356,'RAW DATA'!J:J),SUMIF('RAW DATA'!P:P,'RAW DATA'!B356,'RAW DATA'!J:J))=0, "", SUM(SUMIF('RAW DATA'!M:M,'RAW DATA'!B356,'RAW DATA'!J:J),SUMIF('RAW DATA'!N:N,'RAW DATA'!B356,'RAW DATA'!J:J),SUMIF('RAW DATA'!O:O,'RAW DATA'!B356,'RAW DATA'!J:J),SUMIF('RAW DATA'!P:P,'RAW DATA'!B356,'RAW DATA'!J:J)))</f>
        <v/>
      </c>
      <c r="I356" s="4" t="str">
        <f>IF(SUMIF('RAW DATA'!M:M,'RAW DATA'!B356, 'RAW DATA'!K:K)=0, "", SUMIF('RAW DATA'!M:M,'RAW DATA'!B356, 'RAW DATA'!K:K))</f>
        <v/>
      </c>
      <c r="J356" s="29" t="str">
        <f>IF('RAW DATA'!B356&lt;&gt;"",IF(OR('RAW DATA'!H356=1,'RAW DATA'!H356=2),1,IF(ISNUMBER(FIND("Medic",'RAW DATA'!E356)),1,"")),"")</f>
        <v/>
      </c>
      <c r="K356" s="29" t="str">
        <f>IF(AND('RAW DATA'!$B356&lt;&gt;"",'RAW DATA'!L356=1),1,"")</f>
        <v/>
      </c>
      <c r="L356" s="24" t="str">
        <f t="shared" si="11"/>
        <v/>
      </c>
    </row>
    <row r="357" spans="2:12" x14ac:dyDescent="0.25">
      <c r="B357" s="1" t="str">
        <f>IF('RAW DATA'!$C359&lt;&gt;"",'RAW DATA'!$C359,"")</f>
        <v/>
      </c>
      <c r="C357" s="1" t="str">
        <f>IF('RAW DATA'!$D359&lt;&gt;"",'RAW DATA'!$D359,"")</f>
        <v/>
      </c>
      <c r="D357" s="1" t="str">
        <f>IF(AND($B356&lt;&gt;"", $B357=""), "TOTAL:", IF($D356="TOTAL:","VESSEL TARGET "&amp;'RAW DATA'!$E$2&amp;":",IF('RAW DATA'!$E357&lt;&gt;"",'RAW DATA'!$E357,"")))</f>
        <v/>
      </c>
      <c r="E357" s="29" t="str">
        <f t="shared" si="10"/>
        <v/>
      </c>
      <c r="F357" s="4" t="str">
        <f>IF($D356="TOTAL:",FIXED(ROUND(((SUM($F$4:$F355)/'RAW DATA'!$E$2)*100),1),1)&amp;"%",IF($D357="TOTAL:",SUM($F$4:$F356),IF(SUMIF('RAW DATA'!M:M,'RAW DATA'!B357,'RAW DATA'!H:H)=0,"",SUMIF('RAW DATA'!M:M,'RAW DATA'!B357,'RAW DATA'!H:H))))</f>
        <v/>
      </c>
      <c r="G357" s="4" t="str">
        <f>IF($D356="TOTAL:",FIXED(ROUND(((SUM($G$4:$G355)/'RAW DATA'!$E$2)*100),1),1)&amp;"%",IF($D357="TOTAL:",SUM($G$4:$G356),IF(SUMIF('RAW DATA'!M:M,'RAW DATA'!B357,'RAW DATA'!I:I)=0,"",SUMIF('RAW DATA'!M:M,'RAW DATA'!B357,'RAW DATA'!I:I))))</f>
        <v/>
      </c>
      <c r="H357" s="4" t="str">
        <f>IF(SUM(SUMIF('RAW DATA'!M:M,'RAW DATA'!B357,'RAW DATA'!J:J),SUMIF('RAW DATA'!N:N,'RAW DATA'!B357,'RAW DATA'!J:J),SUMIF('RAW DATA'!O:O,'RAW DATA'!B357,'RAW DATA'!J:J),SUMIF('RAW DATA'!P:P,'RAW DATA'!B357,'RAW DATA'!J:J))=0, "", SUM(SUMIF('RAW DATA'!M:M,'RAW DATA'!B357,'RAW DATA'!J:J),SUMIF('RAW DATA'!N:N,'RAW DATA'!B357,'RAW DATA'!J:J),SUMIF('RAW DATA'!O:O,'RAW DATA'!B357,'RAW DATA'!J:J),SUMIF('RAW DATA'!P:P,'RAW DATA'!B357,'RAW DATA'!J:J)))</f>
        <v/>
      </c>
      <c r="I357" s="4" t="str">
        <f>IF(SUMIF('RAW DATA'!M:M,'RAW DATA'!B357, 'RAW DATA'!K:K)=0, "", SUMIF('RAW DATA'!M:M,'RAW DATA'!B357, 'RAW DATA'!K:K))</f>
        <v/>
      </c>
      <c r="J357" s="29" t="str">
        <f>IF('RAW DATA'!B357&lt;&gt;"",IF(OR('RAW DATA'!H357=1,'RAW DATA'!H357=2),1,IF(ISNUMBER(FIND("Medic",'RAW DATA'!E357)),1,"")),"")</f>
        <v/>
      </c>
      <c r="K357" s="29" t="str">
        <f>IF(AND('RAW DATA'!$B357&lt;&gt;"",'RAW DATA'!L357=1),1,"")</f>
        <v/>
      </c>
      <c r="L357" s="24" t="str">
        <f t="shared" si="11"/>
        <v/>
      </c>
    </row>
    <row r="358" spans="2:12" x14ac:dyDescent="0.25">
      <c r="B358" s="1" t="str">
        <f>IF('RAW DATA'!$C360&lt;&gt;"",'RAW DATA'!$C360,"")</f>
        <v/>
      </c>
      <c r="C358" s="1" t="str">
        <f>IF('RAW DATA'!$D360&lt;&gt;"",'RAW DATA'!$D360,"")</f>
        <v/>
      </c>
      <c r="D358" s="1" t="str">
        <f>IF(AND($B357&lt;&gt;"", $B358=""), "TOTAL:", IF($D357="TOTAL:","VESSEL TARGET "&amp;'RAW DATA'!$E$2&amp;":",IF('RAW DATA'!$E358&lt;&gt;"",'RAW DATA'!$E358,"")))</f>
        <v/>
      </c>
      <c r="E358" s="29" t="str">
        <f t="shared" si="10"/>
        <v/>
      </c>
      <c r="F358" s="4" t="str">
        <f>IF($D357="TOTAL:",FIXED(ROUND(((SUM($F$4:$F356)/'RAW DATA'!$E$2)*100),1),1)&amp;"%",IF($D358="TOTAL:",SUM($F$4:$F357),IF(SUMIF('RAW DATA'!M:M,'RAW DATA'!B358,'RAW DATA'!H:H)=0,"",SUMIF('RAW DATA'!M:M,'RAW DATA'!B358,'RAW DATA'!H:H))))</f>
        <v/>
      </c>
      <c r="G358" s="4" t="str">
        <f>IF($D357="TOTAL:",FIXED(ROUND(((SUM($G$4:$G356)/'RAW DATA'!$E$2)*100),1),1)&amp;"%",IF($D358="TOTAL:",SUM($G$4:$G357),IF(SUMIF('RAW DATA'!M:M,'RAW DATA'!B358,'RAW DATA'!I:I)=0,"",SUMIF('RAW DATA'!M:M,'RAW DATA'!B358,'RAW DATA'!I:I))))</f>
        <v/>
      </c>
      <c r="H358" s="4" t="str">
        <f>IF(SUM(SUMIF('RAW DATA'!M:M,'RAW DATA'!B358,'RAW DATA'!J:J),SUMIF('RAW DATA'!N:N,'RAW DATA'!B358,'RAW DATA'!J:J),SUMIF('RAW DATA'!O:O,'RAW DATA'!B358,'RAW DATA'!J:J),SUMIF('RAW DATA'!P:P,'RAW DATA'!B358,'RAW DATA'!J:J))=0, "", SUM(SUMIF('RAW DATA'!M:M,'RAW DATA'!B358,'RAW DATA'!J:J),SUMIF('RAW DATA'!N:N,'RAW DATA'!B358,'RAW DATA'!J:J),SUMIF('RAW DATA'!O:O,'RAW DATA'!B358,'RAW DATA'!J:J),SUMIF('RAW DATA'!P:P,'RAW DATA'!B358,'RAW DATA'!J:J)))</f>
        <v/>
      </c>
      <c r="I358" s="4" t="str">
        <f>IF(SUMIF('RAW DATA'!M:M,'RAW DATA'!B358, 'RAW DATA'!K:K)=0, "", SUMIF('RAW DATA'!M:M,'RAW DATA'!B358, 'RAW DATA'!K:K))</f>
        <v/>
      </c>
      <c r="J358" s="29" t="str">
        <f>IF('RAW DATA'!B358&lt;&gt;"",IF(OR('RAW DATA'!H358=1,'RAW DATA'!H358=2),1,IF(ISNUMBER(FIND("Medic",'RAW DATA'!E358)),1,"")),"")</f>
        <v/>
      </c>
      <c r="K358" s="29" t="str">
        <f>IF(AND('RAW DATA'!$B358&lt;&gt;"",'RAW DATA'!L358=1),1,"")</f>
        <v/>
      </c>
      <c r="L358" s="24" t="str">
        <f t="shared" si="11"/>
        <v/>
      </c>
    </row>
    <row r="359" spans="2:12" x14ac:dyDescent="0.25">
      <c r="B359" s="1" t="str">
        <f>IF('RAW DATA'!$C361&lt;&gt;"",'RAW DATA'!$C361,"")</f>
        <v/>
      </c>
      <c r="C359" s="1" t="str">
        <f>IF('RAW DATA'!$D361&lt;&gt;"",'RAW DATA'!$D361,"")</f>
        <v/>
      </c>
      <c r="D359" s="1" t="str">
        <f>IF(AND($B358&lt;&gt;"", $B359=""), "TOTAL:", IF($D358="TOTAL:","VESSEL TARGET "&amp;'RAW DATA'!$E$2&amp;":",IF('RAW DATA'!$E359&lt;&gt;"",'RAW DATA'!$E359,"")))</f>
        <v/>
      </c>
      <c r="E359" s="29" t="str">
        <f t="shared" si="10"/>
        <v/>
      </c>
      <c r="F359" s="4" t="str">
        <f>IF($D358="TOTAL:",FIXED(ROUND(((SUM($F$4:$F357)/'RAW DATA'!$E$2)*100),1),1)&amp;"%",IF($D359="TOTAL:",SUM($F$4:$F358),IF(SUMIF('RAW DATA'!M:M,'RAW DATA'!B359,'RAW DATA'!H:H)=0,"",SUMIF('RAW DATA'!M:M,'RAW DATA'!B359,'RAW DATA'!H:H))))</f>
        <v/>
      </c>
      <c r="G359" s="4" t="str">
        <f>IF($D358="TOTAL:",FIXED(ROUND(((SUM($G$4:$G357)/'RAW DATA'!$E$2)*100),1),1)&amp;"%",IF($D359="TOTAL:",SUM($G$4:$G358),IF(SUMIF('RAW DATA'!M:M,'RAW DATA'!B359,'RAW DATA'!I:I)=0,"",SUMIF('RAW DATA'!M:M,'RAW DATA'!B359,'RAW DATA'!I:I))))</f>
        <v/>
      </c>
      <c r="H359" s="4" t="str">
        <f>IF(SUM(SUMIF('RAW DATA'!M:M,'RAW DATA'!B359,'RAW DATA'!J:J),SUMIF('RAW DATA'!N:N,'RAW DATA'!B359,'RAW DATA'!J:J),SUMIF('RAW DATA'!O:O,'RAW DATA'!B359,'RAW DATA'!J:J),SUMIF('RAW DATA'!P:P,'RAW DATA'!B359,'RAW DATA'!J:J))=0, "", SUM(SUMIF('RAW DATA'!M:M,'RAW DATA'!B359,'RAW DATA'!J:J),SUMIF('RAW DATA'!N:N,'RAW DATA'!B359,'RAW DATA'!J:J),SUMIF('RAW DATA'!O:O,'RAW DATA'!B359,'RAW DATA'!J:J),SUMIF('RAW DATA'!P:P,'RAW DATA'!B359,'RAW DATA'!J:J)))</f>
        <v/>
      </c>
      <c r="I359" s="4" t="str">
        <f>IF(SUMIF('RAW DATA'!M:M,'RAW DATA'!B359, 'RAW DATA'!K:K)=0, "", SUMIF('RAW DATA'!M:M,'RAW DATA'!B359, 'RAW DATA'!K:K))</f>
        <v/>
      </c>
      <c r="J359" s="29" t="str">
        <f>IF('RAW DATA'!B359&lt;&gt;"",IF(OR('RAW DATA'!H359=1,'RAW DATA'!H359=2),1,IF(ISNUMBER(FIND("Medic",'RAW DATA'!E359)),1,"")),"")</f>
        <v/>
      </c>
      <c r="K359" s="29" t="str">
        <f>IF(AND('RAW DATA'!$B359&lt;&gt;"",'RAW DATA'!L359=1),1,"")</f>
        <v/>
      </c>
      <c r="L359" s="24" t="str">
        <f t="shared" si="11"/>
        <v/>
      </c>
    </row>
    <row r="360" spans="2:12" x14ac:dyDescent="0.25">
      <c r="B360" s="1" t="str">
        <f>IF('RAW DATA'!$C362&lt;&gt;"",'RAW DATA'!$C362,"")</f>
        <v/>
      </c>
      <c r="C360" s="1" t="str">
        <f>IF('RAW DATA'!$D362&lt;&gt;"",'RAW DATA'!$D362,"")</f>
        <v/>
      </c>
      <c r="D360" s="1" t="str">
        <f>IF(AND($B359&lt;&gt;"", $B360=""), "TOTAL:", IF($D359="TOTAL:","VESSEL TARGET "&amp;'RAW DATA'!$E$2&amp;":",IF('RAW DATA'!$E360&lt;&gt;"",'RAW DATA'!$E360,"")))</f>
        <v/>
      </c>
      <c r="E360" s="29" t="str">
        <f t="shared" si="10"/>
        <v/>
      </c>
      <c r="F360" s="4" t="str">
        <f>IF($D359="TOTAL:",FIXED(ROUND(((SUM($F$4:$F358)/'RAW DATA'!$E$2)*100),1),1)&amp;"%",IF($D360="TOTAL:",SUM($F$4:$F359),IF(SUMIF('RAW DATA'!M:M,'RAW DATA'!B360,'RAW DATA'!H:H)=0,"",SUMIF('RAW DATA'!M:M,'RAW DATA'!B360,'RAW DATA'!H:H))))</f>
        <v/>
      </c>
      <c r="G360" s="4" t="str">
        <f>IF($D359="TOTAL:",FIXED(ROUND(((SUM($G$4:$G358)/'RAW DATA'!$E$2)*100),1),1)&amp;"%",IF($D360="TOTAL:",SUM($G$4:$G359),IF(SUMIF('RAW DATA'!M:M,'RAW DATA'!B360,'RAW DATA'!I:I)=0,"",SUMIF('RAW DATA'!M:M,'RAW DATA'!B360,'RAW DATA'!I:I))))</f>
        <v/>
      </c>
      <c r="H360" s="4" t="str">
        <f>IF(SUM(SUMIF('RAW DATA'!M:M,'RAW DATA'!B360,'RAW DATA'!J:J),SUMIF('RAW DATA'!N:N,'RAW DATA'!B360,'RAW DATA'!J:J),SUMIF('RAW DATA'!O:O,'RAW DATA'!B360,'RAW DATA'!J:J),SUMIF('RAW DATA'!P:P,'RAW DATA'!B360,'RAW DATA'!J:J))=0, "", SUM(SUMIF('RAW DATA'!M:M,'RAW DATA'!B360,'RAW DATA'!J:J),SUMIF('RAW DATA'!N:N,'RAW DATA'!B360,'RAW DATA'!J:J),SUMIF('RAW DATA'!O:O,'RAW DATA'!B360,'RAW DATA'!J:J),SUMIF('RAW DATA'!P:P,'RAW DATA'!B360,'RAW DATA'!J:J)))</f>
        <v/>
      </c>
      <c r="I360" s="4" t="str">
        <f>IF(SUMIF('RAW DATA'!M:M,'RAW DATA'!B360, 'RAW DATA'!K:K)=0, "", SUMIF('RAW DATA'!M:M,'RAW DATA'!B360, 'RAW DATA'!K:K))</f>
        <v/>
      </c>
      <c r="J360" s="29" t="str">
        <f>IF('RAW DATA'!B360&lt;&gt;"",IF(OR('RAW DATA'!H360=1,'RAW DATA'!H360=2),1,IF(ISNUMBER(FIND("Medic",'RAW DATA'!E360)),1,"")),"")</f>
        <v/>
      </c>
      <c r="K360" s="29" t="str">
        <f>IF(AND('RAW DATA'!$B360&lt;&gt;"",'RAW DATA'!L360=1),1,"")</f>
        <v/>
      </c>
      <c r="L360" s="24" t="str">
        <f t="shared" si="11"/>
        <v/>
      </c>
    </row>
    <row r="361" spans="2:12" x14ac:dyDescent="0.25">
      <c r="B361" s="1" t="str">
        <f>IF('RAW DATA'!$C363&lt;&gt;"",'RAW DATA'!$C363,"")</f>
        <v/>
      </c>
      <c r="C361" s="1" t="str">
        <f>IF('RAW DATA'!$D363&lt;&gt;"",'RAW DATA'!$D363,"")</f>
        <v/>
      </c>
      <c r="D361" s="1" t="str">
        <f>IF(AND($B360&lt;&gt;"", $B361=""), "TOTAL:", IF($D360="TOTAL:","VESSEL TARGET "&amp;'RAW DATA'!$E$2&amp;":",IF('RAW DATA'!$E361&lt;&gt;"",'RAW DATA'!$E361,"")))</f>
        <v/>
      </c>
      <c r="E361" s="29" t="str">
        <f t="shared" si="10"/>
        <v/>
      </c>
      <c r="F361" s="4" t="str">
        <f>IF($D360="TOTAL:",FIXED(ROUND(((SUM($F$4:$F359)/'RAW DATA'!$E$2)*100),1),1)&amp;"%",IF($D361="TOTAL:",SUM($F$4:$F360),IF(SUMIF('RAW DATA'!M:M,'RAW DATA'!B361,'RAW DATA'!H:H)=0,"",SUMIF('RAW DATA'!M:M,'RAW DATA'!B361,'RAW DATA'!H:H))))</f>
        <v/>
      </c>
      <c r="G361" s="4" t="str">
        <f>IF($D360="TOTAL:",FIXED(ROUND(((SUM($G$4:$G359)/'RAW DATA'!$E$2)*100),1),1)&amp;"%",IF($D361="TOTAL:",SUM($G$4:$G360),IF(SUMIF('RAW DATA'!M:M,'RAW DATA'!B361,'RAW DATA'!I:I)=0,"",SUMIF('RAW DATA'!M:M,'RAW DATA'!B361,'RAW DATA'!I:I))))</f>
        <v/>
      </c>
      <c r="H361" s="4" t="str">
        <f>IF(SUM(SUMIF('RAW DATA'!M:M,'RAW DATA'!B361,'RAW DATA'!J:J),SUMIF('RAW DATA'!N:N,'RAW DATA'!B361,'RAW DATA'!J:J),SUMIF('RAW DATA'!O:O,'RAW DATA'!B361,'RAW DATA'!J:J),SUMIF('RAW DATA'!P:P,'RAW DATA'!B361,'RAW DATA'!J:J))=0, "", SUM(SUMIF('RAW DATA'!M:M,'RAW DATA'!B361,'RAW DATA'!J:J),SUMIF('RAW DATA'!N:N,'RAW DATA'!B361,'RAW DATA'!J:J),SUMIF('RAW DATA'!O:O,'RAW DATA'!B361,'RAW DATA'!J:J),SUMIF('RAW DATA'!P:P,'RAW DATA'!B361,'RAW DATA'!J:J)))</f>
        <v/>
      </c>
      <c r="I361" s="4" t="str">
        <f>IF(SUMIF('RAW DATA'!M:M,'RAW DATA'!B361, 'RAW DATA'!K:K)=0, "", SUMIF('RAW DATA'!M:M,'RAW DATA'!B361, 'RAW DATA'!K:K))</f>
        <v/>
      </c>
      <c r="J361" s="29" t="str">
        <f>IF('RAW DATA'!B361&lt;&gt;"",IF(OR('RAW DATA'!H361=1,'RAW DATA'!H361=2),1,IF(ISNUMBER(FIND("Medic",'RAW DATA'!E361)),1,"")),"")</f>
        <v/>
      </c>
      <c r="K361" s="29" t="str">
        <f>IF(AND('RAW DATA'!$B361&lt;&gt;"",'RAW DATA'!L361=1),1,"")</f>
        <v/>
      </c>
      <c r="L361" s="24" t="str">
        <f t="shared" si="11"/>
        <v/>
      </c>
    </row>
    <row r="362" spans="2:12" x14ac:dyDescent="0.25">
      <c r="B362" s="1" t="str">
        <f>IF('RAW DATA'!$C364&lt;&gt;"",'RAW DATA'!$C364,"")</f>
        <v/>
      </c>
      <c r="C362" s="1" t="str">
        <f>IF('RAW DATA'!$D364&lt;&gt;"",'RAW DATA'!$D364,"")</f>
        <v/>
      </c>
      <c r="D362" s="1" t="str">
        <f>IF(AND($B361&lt;&gt;"", $B362=""), "TOTAL:", IF($D361="TOTAL:","VESSEL TARGET "&amp;'RAW DATA'!$E$2&amp;":",IF('RAW DATA'!$E362&lt;&gt;"",'RAW DATA'!$E362,"")))</f>
        <v/>
      </c>
      <c r="E362" s="29" t="str">
        <f t="shared" si="10"/>
        <v/>
      </c>
      <c r="F362" s="4" t="str">
        <f>IF($D361="TOTAL:",FIXED(ROUND(((SUM($F$4:$F360)/'RAW DATA'!$E$2)*100),1),1)&amp;"%",IF($D362="TOTAL:",SUM($F$4:$F361),IF(SUMIF('RAW DATA'!M:M,'RAW DATA'!B362,'RAW DATA'!H:H)=0,"",SUMIF('RAW DATA'!M:M,'RAW DATA'!B362,'RAW DATA'!H:H))))</f>
        <v/>
      </c>
      <c r="G362" s="4" t="str">
        <f>IF($D361="TOTAL:",FIXED(ROUND(((SUM($G$4:$G360)/'RAW DATA'!$E$2)*100),1),1)&amp;"%",IF($D362="TOTAL:",SUM($G$4:$G361),IF(SUMIF('RAW DATA'!M:M,'RAW DATA'!B362,'RAW DATA'!I:I)=0,"",SUMIF('RAW DATA'!M:M,'RAW DATA'!B362,'RAW DATA'!I:I))))</f>
        <v/>
      </c>
      <c r="H362" s="4" t="str">
        <f>IF(SUM(SUMIF('RAW DATA'!M:M,'RAW DATA'!B362,'RAW DATA'!J:J),SUMIF('RAW DATA'!N:N,'RAW DATA'!B362,'RAW DATA'!J:J),SUMIF('RAW DATA'!O:O,'RAW DATA'!B362,'RAW DATA'!J:J),SUMIF('RAW DATA'!P:P,'RAW DATA'!B362,'RAW DATA'!J:J))=0, "", SUM(SUMIF('RAW DATA'!M:M,'RAW DATA'!B362,'RAW DATA'!J:J),SUMIF('RAW DATA'!N:N,'RAW DATA'!B362,'RAW DATA'!J:J),SUMIF('RAW DATA'!O:O,'RAW DATA'!B362,'RAW DATA'!J:J),SUMIF('RAW DATA'!P:P,'RAW DATA'!B362,'RAW DATA'!J:J)))</f>
        <v/>
      </c>
      <c r="I362" s="4" t="str">
        <f>IF(SUMIF('RAW DATA'!M:M,'RAW DATA'!B362, 'RAW DATA'!K:K)=0, "", SUMIF('RAW DATA'!M:M,'RAW DATA'!B362, 'RAW DATA'!K:K))</f>
        <v/>
      </c>
      <c r="J362" s="29" t="str">
        <f>IF('RAW DATA'!B362&lt;&gt;"",IF(OR('RAW DATA'!H362=1,'RAW DATA'!H362=2),1,IF(ISNUMBER(FIND("Medic",'RAW DATA'!E362)),1,"")),"")</f>
        <v/>
      </c>
      <c r="K362" s="29" t="str">
        <f>IF(AND('RAW DATA'!$B362&lt;&gt;"",'RAW DATA'!L362=1),1,"")</f>
        <v/>
      </c>
      <c r="L362" s="24" t="str">
        <f t="shared" si="11"/>
        <v/>
      </c>
    </row>
    <row r="363" spans="2:12" x14ac:dyDescent="0.25">
      <c r="B363" s="1" t="str">
        <f>IF('RAW DATA'!$C365&lt;&gt;"",'RAW DATA'!$C365,"")</f>
        <v/>
      </c>
      <c r="C363" s="1" t="str">
        <f>IF('RAW DATA'!$D365&lt;&gt;"",'RAW DATA'!$D365,"")</f>
        <v/>
      </c>
      <c r="D363" s="1" t="str">
        <f>IF(AND($B362&lt;&gt;"", $B363=""), "TOTAL:", IF($D362="TOTAL:","VESSEL TARGET "&amp;'RAW DATA'!$E$2&amp;":",IF('RAW DATA'!$E363&lt;&gt;"",'RAW DATA'!$E363,"")))</f>
        <v/>
      </c>
      <c r="E363" s="29" t="str">
        <f t="shared" si="10"/>
        <v/>
      </c>
      <c r="F363" s="4" t="str">
        <f>IF($D362="TOTAL:",FIXED(ROUND(((SUM($F$4:$F361)/'RAW DATA'!$E$2)*100),1),1)&amp;"%",IF($D363="TOTAL:",SUM($F$4:$F362),IF(SUMIF('RAW DATA'!M:M,'RAW DATA'!B363,'RAW DATA'!H:H)=0,"",SUMIF('RAW DATA'!M:M,'RAW DATA'!B363,'RAW DATA'!H:H))))</f>
        <v/>
      </c>
      <c r="G363" s="4" t="str">
        <f>IF($D362="TOTAL:",FIXED(ROUND(((SUM($G$4:$G361)/'RAW DATA'!$E$2)*100),1),1)&amp;"%",IF($D363="TOTAL:",SUM($G$4:$G362),IF(SUMIF('RAW DATA'!M:M,'RAW DATA'!B363,'RAW DATA'!I:I)=0,"",SUMIF('RAW DATA'!M:M,'RAW DATA'!B363,'RAW DATA'!I:I))))</f>
        <v/>
      </c>
      <c r="H363" s="4" t="str">
        <f>IF(SUM(SUMIF('RAW DATA'!M:M,'RAW DATA'!B363,'RAW DATA'!J:J),SUMIF('RAW DATA'!N:N,'RAW DATA'!B363,'RAW DATA'!J:J),SUMIF('RAW DATA'!O:O,'RAW DATA'!B363,'RAW DATA'!J:J),SUMIF('RAW DATA'!P:P,'RAW DATA'!B363,'RAW DATA'!J:J))=0, "", SUM(SUMIF('RAW DATA'!M:M,'RAW DATA'!B363,'RAW DATA'!J:J),SUMIF('RAW DATA'!N:N,'RAW DATA'!B363,'RAW DATA'!J:J),SUMIF('RAW DATA'!O:O,'RAW DATA'!B363,'RAW DATA'!J:J),SUMIF('RAW DATA'!P:P,'RAW DATA'!B363,'RAW DATA'!J:J)))</f>
        <v/>
      </c>
      <c r="I363" s="4" t="str">
        <f>IF(SUMIF('RAW DATA'!M:M,'RAW DATA'!B363, 'RAW DATA'!K:K)=0, "", SUMIF('RAW DATA'!M:M,'RAW DATA'!B363, 'RAW DATA'!K:K))</f>
        <v/>
      </c>
      <c r="J363" s="29" t="str">
        <f>IF('RAW DATA'!B363&lt;&gt;"",IF(OR('RAW DATA'!H363=1,'RAW DATA'!H363=2),1,IF(ISNUMBER(FIND("Medic",'RAW DATA'!E363)),1,"")),"")</f>
        <v/>
      </c>
      <c r="K363" s="29" t="str">
        <f>IF(AND('RAW DATA'!$B363&lt;&gt;"",'RAW DATA'!L363=1),1,"")</f>
        <v/>
      </c>
      <c r="L363" s="24" t="str">
        <f t="shared" si="11"/>
        <v/>
      </c>
    </row>
    <row r="364" spans="2:12" x14ac:dyDescent="0.25">
      <c r="B364" s="1" t="str">
        <f>IF('RAW DATA'!$C366&lt;&gt;"",'RAW DATA'!$C366,"")</f>
        <v/>
      </c>
      <c r="C364" s="1" t="str">
        <f>IF('RAW DATA'!$D366&lt;&gt;"",'RAW DATA'!$D366,"")</f>
        <v/>
      </c>
      <c r="D364" s="1" t="str">
        <f>IF(AND($B363&lt;&gt;"", $B364=""), "TOTAL:", IF($D363="TOTAL:","VESSEL TARGET "&amp;'RAW DATA'!$E$2&amp;":",IF('RAW DATA'!$E364&lt;&gt;"",'RAW DATA'!$E364,"")))</f>
        <v/>
      </c>
      <c r="E364" s="29" t="str">
        <f t="shared" si="10"/>
        <v/>
      </c>
      <c r="F364" s="4" t="str">
        <f>IF($D363="TOTAL:",FIXED(ROUND(((SUM($F$4:$F362)/'RAW DATA'!$E$2)*100),1),1)&amp;"%",IF($D364="TOTAL:",SUM($F$4:$F363),IF(SUMIF('RAW DATA'!M:M,'RAW DATA'!B364,'RAW DATA'!H:H)=0,"",SUMIF('RAW DATA'!M:M,'RAW DATA'!B364,'RAW DATA'!H:H))))</f>
        <v/>
      </c>
      <c r="G364" s="4" t="str">
        <f>IF($D363="TOTAL:",FIXED(ROUND(((SUM($G$4:$G362)/'RAW DATA'!$E$2)*100),1),1)&amp;"%",IF($D364="TOTAL:",SUM($G$4:$G363),IF(SUMIF('RAW DATA'!M:M,'RAW DATA'!B364,'RAW DATA'!I:I)=0,"",SUMIF('RAW DATA'!M:M,'RAW DATA'!B364,'RAW DATA'!I:I))))</f>
        <v/>
      </c>
      <c r="H364" s="4" t="str">
        <f>IF(SUM(SUMIF('RAW DATA'!M:M,'RAW DATA'!B364,'RAW DATA'!J:J),SUMIF('RAW DATA'!N:N,'RAW DATA'!B364,'RAW DATA'!J:J),SUMIF('RAW DATA'!O:O,'RAW DATA'!B364,'RAW DATA'!J:J),SUMIF('RAW DATA'!P:P,'RAW DATA'!B364,'RAW DATA'!J:J))=0, "", SUM(SUMIF('RAW DATA'!M:M,'RAW DATA'!B364,'RAW DATA'!J:J),SUMIF('RAW DATA'!N:N,'RAW DATA'!B364,'RAW DATA'!J:J),SUMIF('RAW DATA'!O:O,'RAW DATA'!B364,'RAW DATA'!J:J),SUMIF('RAW DATA'!P:P,'RAW DATA'!B364,'RAW DATA'!J:J)))</f>
        <v/>
      </c>
      <c r="I364" s="4" t="str">
        <f>IF(SUMIF('RAW DATA'!M:M,'RAW DATA'!B364, 'RAW DATA'!K:K)=0, "", SUMIF('RAW DATA'!M:M,'RAW DATA'!B364, 'RAW DATA'!K:K))</f>
        <v/>
      </c>
      <c r="J364" s="29" t="str">
        <f>IF('RAW DATA'!B364&lt;&gt;"",IF(OR('RAW DATA'!H364=1,'RAW DATA'!H364=2),1,IF(ISNUMBER(FIND("Medic",'RAW DATA'!E364)),1,"")),"")</f>
        <v/>
      </c>
      <c r="K364" s="29" t="str">
        <f>IF(AND('RAW DATA'!$B364&lt;&gt;"",'RAW DATA'!L364=1),1,"")</f>
        <v/>
      </c>
      <c r="L364" s="24" t="str">
        <f t="shared" si="11"/>
        <v/>
      </c>
    </row>
    <row r="365" spans="2:12" x14ac:dyDescent="0.25">
      <c r="B365" s="1" t="str">
        <f>IF('RAW DATA'!$C367&lt;&gt;"",'RAW DATA'!$C367,"")</f>
        <v/>
      </c>
      <c r="C365" s="1" t="str">
        <f>IF('RAW DATA'!$D367&lt;&gt;"",'RAW DATA'!$D367,"")</f>
        <v/>
      </c>
      <c r="D365" s="1" t="str">
        <f>IF(AND($B364&lt;&gt;"", $B365=""), "TOTAL:", IF($D364="TOTAL:","VESSEL TARGET "&amp;'RAW DATA'!$E$2&amp;":",IF('RAW DATA'!$E365&lt;&gt;"",'RAW DATA'!$E365,"")))</f>
        <v/>
      </c>
      <c r="E365" s="29" t="str">
        <f t="shared" si="10"/>
        <v/>
      </c>
      <c r="F365" s="4" t="str">
        <f>IF($D364="TOTAL:",FIXED(ROUND(((SUM($F$4:$F363)/'RAW DATA'!$E$2)*100),1),1)&amp;"%",IF($D365="TOTAL:",SUM($F$4:$F364),IF(SUMIF('RAW DATA'!M:M,'RAW DATA'!B365,'RAW DATA'!H:H)=0,"",SUMIF('RAW DATA'!M:M,'RAW DATA'!B365,'RAW DATA'!H:H))))</f>
        <v/>
      </c>
      <c r="G365" s="4" t="str">
        <f>IF($D364="TOTAL:",FIXED(ROUND(((SUM($G$4:$G363)/'RAW DATA'!$E$2)*100),1),1)&amp;"%",IF($D365="TOTAL:",SUM($G$4:$G364),IF(SUMIF('RAW DATA'!M:M,'RAW DATA'!B365,'RAW DATA'!I:I)=0,"",SUMIF('RAW DATA'!M:M,'RAW DATA'!B365,'RAW DATA'!I:I))))</f>
        <v/>
      </c>
      <c r="H365" s="4" t="str">
        <f>IF(SUM(SUMIF('RAW DATA'!M:M,'RAW DATA'!B365,'RAW DATA'!J:J),SUMIF('RAW DATA'!N:N,'RAW DATA'!B365,'RAW DATA'!J:J),SUMIF('RAW DATA'!O:O,'RAW DATA'!B365,'RAW DATA'!J:J),SUMIF('RAW DATA'!P:P,'RAW DATA'!B365,'RAW DATA'!J:J))=0, "", SUM(SUMIF('RAW DATA'!M:M,'RAW DATA'!B365,'RAW DATA'!J:J),SUMIF('RAW DATA'!N:N,'RAW DATA'!B365,'RAW DATA'!J:J),SUMIF('RAW DATA'!O:O,'RAW DATA'!B365,'RAW DATA'!J:J),SUMIF('RAW DATA'!P:P,'RAW DATA'!B365,'RAW DATA'!J:J)))</f>
        <v/>
      </c>
      <c r="I365" s="4" t="str">
        <f>IF(SUMIF('RAW DATA'!M:M,'RAW DATA'!B365, 'RAW DATA'!K:K)=0, "", SUMIF('RAW DATA'!M:M,'RAW DATA'!B365, 'RAW DATA'!K:K))</f>
        <v/>
      </c>
      <c r="J365" s="29" t="str">
        <f>IF('RAW DATA'!B365&lt;&gt;"",IF(OR('RAW DATA'!H365=1,'RAW DATA'!H365=2),1,IF(ISNUMBER(FIND("Medic",'RAW DATA'!E365)),1,"")),"")</f>
        <v/>
      </c>
      <c r="K365" s="29" t="str">
        <f>IF(AND('RAW DATA'!$B365&lt;&gt;"",'RAW DATA'!L365=1),1,"")</f>
        <v/>
      </c>
      <c r="L365" s="24" t="str">
        <f t="shared" si="11"/>
        <v/>
      </c>
    </row>
    <row r="366" spans="2:12" x14ac:dyDescent="0.25">
      <c r="B366" s="1" t="str">
        <f>IF('RAW DATA'!$C368&lt;&gt;"",'RAW DATA'!$C368,"")</f>
        <v/>
      </c>
      <c r="C366" s="1" t="str">
        <f>IF('RAW DATA'!$D368&lt;&gt;"",'RAW DATA'!$D368,"")</f>
        <v/>
      </c>
      <c r="D366" s="1" t="str">
        <f>IF(AND($B365&lt;&gt;"", $B366=""), "TOTAL:", IF($D365="TOTAL:","VESSEL TARGET "&amp;'RAW DATA'!$E$2&amp;":",IF('RAW DATA'!$E366&lt;&gt;"",'RAW DATA'!$E366,"")))</f>
        <v/>
      </c>
      <c r="E366" s="29" t="str">
        <f t="shared" si="10"/>
        <v/>
      </c>
      <c r="F366" s="4" t="str">
        <f>IF($D365="TOTAL:",FIXED(ROUND(((SUM($F$4:$F364)/'RAW DATA'!$E$2)*100),1),1)&amp;"%",IF($D366="TOTAL:",SUM($F$4:$F365),IF(SUMIF('RAW DATA'!M:M,'RAW DATA'!B366,'RAW DATA'!H:H)=0,"",SUMIF('RAW DATA'!M:M,'RAW DATA'!B366,'RAW DATA'!H:H))))</f>
        <v/>
      </c>
      <c r="G366" s="4" t="str">
        <f>IF($D365="TOTAL:",FIXED(ROUND(((SUM($G$4:$G364)/'RAW DATA'!$E$2)*100),1),1)&amp;"%",IF($D366="TOTAL:",SUM($G$4:$G365),IF(SUMIF('RAW DATA'!M:M,'RAW DATA'!B366,'RAW DATA'!I:I)=0,"",SUMIF('RAW DATA'!M:M,'RAW DATA'!B366,'RAW DATA'!I:I))))</f>
        <v/>
      </c>
      <c r="H366" s="4" t="str">
        <f>IF(SUM(SUMIF('RAW DATA'!M:M,'RAW DATA'!B366,'RAW DATA'!J:J),SUMIF('RAW DATA'!N:N,'RAW DATA'!B366,'RAW DATA'!J:J),SUMIF('RAW DATA'!O:O,'RAW DATA'!B366,'RAW DATA'!J:J),SUMIF('RAW DATA'!P:P,'RAW DATA'!B366,'RAW DATA'!J:J))=0, "", SUM(SUMIF('RAW DATA'!M:M,'RAW DATA'!B366,'RAW DATA'!J:J),SUMIF('RAW DATA'!N:N,'RAW DATA'!B366,'RAW DATA'!J:J),SUMIF('RAW DATA'!O:O,'RAW DATA'!B366,'RAW DATA'!J:J),SUMIF('RAW DATA'!P:P,'RAW DATA'!B366,'RAW DATA'!J:J)))</f>
        <v/>
      </c>
      <c r="I366" s="4" t="str">
        <f>IF(SUMIF('RAW DATA'!M:M,'RAW DATA'!B366, 'RAW DATA'!K:K)=0, "", SUMIF('RAW DATA'!M:M,'RAW DATA'!B366, 'RAW DATA'!K:K))</f>
        <v/>
      </c>
      <c r="J366" s="29" t="str">
        <f>IF('RAW DATA'!B366&lt;&gt;"",IF(OR('RAW DATA'!H366=1,'RAW DATA'!H366=2),1,IF(ISNUMBER(FIND("Medic",'RAW DATA'!E366)),1,"")),"")</f>
        <v/>
      </c>
      <c r="K366" s="29" t="str">
        <f>IF(AND('RAW DATA'!$B366&lt;&gt;"",'RAW DATA'!L366=1),1,"")</f>
        <v/>
      </c>
      <c r="L366" s="24" t="str">
        <f t="shared" si="11"/>
        <v/>
      </c>
    </row>
    <row r="367" spans="2:12" x14ac:dyDescent="0.25">
      <c r="B367" s="1" t="str">
        <f>IF('RAW DATA'!$C369&lt;&gt;"",'RAW DATA'!$C369,"")</f>
        <v/>
      </c>
      <c r="C367" s="1" t="str">
        <f>IF('RAW DATA'!$D369&lt;&gt;"",'RAW DATA'!$D369,"")</f>
        <v/>
      </c>
      <c r="D367" s="1" t="str">
        <f>IF(AND($B366&lt;&gt;"", $B367=""), "TOTAL:", IF($D366="TOTAL:","VESSEL TARGET "&amp;'RAW DATA'!$E$2&amp;":",IF('RAW DATA'!$E367&lt;&gt;"",'RAW DATA'!$E367,"")))</f>
        <v/>
      </c>
      <c r="E367" s="29" t="str">
        <f t="shared" si="10"/>
        <v/>
      </c>
      <c r="F367" s="4" t="str">
        <f>IF($D366="TOTAL:",FIXED(ROUND(((SUM($F$4:$F365)/'RAW DATA'!$E$2)*100),1),1)&amp;"%",IF($D367="TOTAL:",SUM($F$4:$F366),IF(SUMIF('RAW DATA'!M:M,'RAW DATA'!B367,'RAW DATA'!H:H)=0,"",SUMIF('RAW DATA'!M:M,'RAW DATA'!B367,'RAW DATA'!H:H))))</f>
        <v/>
      </c>
      <c r="G367" s="4" t="str">
        <f>IF($D366="TOTAL:",FIXED(ROUND(((SUM($G$4:$G365)/'RAW DATA'!$E$2)*100),1),1)&amp;"%",IF($D367="TOTAL:",SUM($G$4:$G366),IF(SUMIF('RAW DATA'!M:M,'RAW DATA'!B367,'RAW DATA'!I:I)=0,"",SUMIF('RAW DATA'!M:M,'RAW DATA'!B367,'RAW DATA'!I:I))))</f>
        <v/>
      </c>
      <c r="H367" s="4" t="str">
        <f>IF(SUM(SUMIF('RAW DATA'!M:M,'RAW DATA'!B367,'RAW DATA'!J:J),SUMIF('RAW DATA'!N:N,'RAW DATA'!B367,'RAW DATA'!J:J),SUMIF('RAW DATA'!O:O,'RAW DATA'!B367,'RAW DATA'!J:J),SUMIF('RAW DATA'!P:P,'RAW DATA'!B367,'RAW DATA'!J:J))=0, "", SUM(SUMIF('RAW DATA'!M:M,'RAW DATA'!B367,'RAW DATA'!J:J),SUMIF('RAW DATA'!N:N,'RAW DATA'!B367,'RAW DATA'!J:J),SUMIF('RAW DATA'!O:O,'RAW DATA'!B367,'RAW DATA'!J:J),SUMIF('RAW DATA'!P:P,'RAW DATA'!B367,'RAW DATA'!J:J)))</f>
        <v/>
      </c>
      <c r="I367" s="4" t="str">
        <f>IF(SUMIF('RAW DATA'!M:M,'RAW DATA'!B367, 'RAW DATA'!K:K)=0, "", SUMIF('RAW DATA'!M:M,'RAW DATA'!B367, 'RAW DATA'!K:K))</f>
        <v/>
      </c>
      <c r="J367" s="29" t="str">
        <f>IF('RAW DATA'!B367&lt;&gt;"",IF(OR('RAW DATA'!H367=1,'RAW DATA'!H367=2),1,IF(ISNUMBER(FIND("Medic",'RAW DATA'!E367)),1,"")),"")</f>
        <v/>
      </c>
      <c r="K367" s="29" t="str">
        <f>IF(AND('RAW DATA'!$B367&lt;&gt;"",'RAW DATA'!L367=1),1,"")</f>
        <v/>
      </c>
      <c r="L367" s="24" t="str">
        <f t="shared" si="11"/>
        <v/>
      </c>
    </row>
    <row r="368" spans="2:12" x14ac:dyDescent="0.25">
      <c r="B368" s="1" t="str">
        <f>IF('RAW DATA'!$C370&lt;&gt;"",'RAW DATA'!$C370,"")</f>
        <v/>
      </c>
      <c r="C368" s="1" t="str">
        <f>IF('RAW DATA'!$D370&lt;&gt;"",'RAW DATA'!$D370,"")</f>
        <v/>
      </c>
      <c r="D368" s="1" t="str">
        <f>IF(AND($B367&lt;&gt;"", $B368=""), "TOTAL:", IF($D367="TOTAL:","VESSEL TARGET "&amp;'RAW DATA'!$E$2&amp;":",IF('RAW DATA'!$E368&lt;&gt;"",'RAW DATA'!$E368,"")))</f>
        <v/>
      </c>
      <c r="E368" s="29" t="str">
        <f t="shared" si="10"/>
        <v/>
      </c>
      <c r="F368" s="4" t="str">
        <f>IF($D367="TOTAL:",FIXED(ROUND(((SUM($F$4:$F366)/'RAW DATA'!$E$2)*100),1),1)&amp;"%",IF($D368="TOTAL:",SUM($F$4:$F367),IF(SUMIF('RAW DATA'!M:M,'RAW DATA'!B368,'RAW DATA'!H:H)=0,"",SUMIF('RAW DATA'!M:M,'RAW DATA'!B368,'RAW DATA'!H:H))))</f>
        <v/>
      </c>
      <c r="G368" s="4" t="str">
        <f>IF($D367="TOTAL:",FIXED(ROUND(((SUM($G$4:$G366)/'RAW DATA'!$E$2)*100),1),1)&amp;"%",IF($D368="TOTAL:",SUM($G$4:$G367),IF(SUMIF('RAW DATA'!M:M,'RAW DATA'!B368,'RAW DATA'!I:I)=0,"",SUMIF('RAW DATA'!M:M,'RAW DATA'!B368,'RAW DATA'!I:I))))</f>
        <v/>
      </c>
      <c r="H368" s="4" t="str">
        <f>IF(SUM(SUMIF('RAW DATA'!M:M,'RAW DATA'!B368,'RAW DATA'!J:J),SUMIF('RAW DATA'!N:N,'RAW DATA'!B368,'RAW DATA'!J:J),SUMIF('RAW DATA'!O:O,'RAW DATA'!B368,'RAW DATA'!J:J),SUMIF('RAW DATA'!P:P,'RAW DATA'!B368,'RAW DATA'!J:J))=0, "", SUM(SUMIF('RAW DATA'!M:M,'RAW DATA'!B368,'RAW DATA'!J:J),SUMIF('RAW DATA'!N:N,'RAW DATA'!B368,'RAW DATA'!J:J),SUMIF('RAW DATA'!O:O,'RAW DATA'!B368,'RAW DATA'!J:J),SUMIF('RAW DATA'!P:P,'RAW DATA'!B368,'RAW DATA'!J:J)))</f>
        <v/>
      </c>
      <c r="I368" s="4" t="str">
        <f>IF(SUMIF('RAW DATA'!M:M,'RAW DATA'!B368, 'RAW DATA'!K:K)=0, "", SUMIF('RAW DATA'!M:M,'RAW DATA'!B368, 'RAW DATA'!K:K))</f>
        <v/>
      </c>
      <c r="J368" s="29" t="str">
        <f>IF('RAW DATA'!B368&lt;&gt;"",IF(OR('RAW DATA'!H368=1,'RAW DATA'!H368=2),1,IF(ISNUMBER(FIND("Medic",'RAW DATA'!E368)),1,"")),"")</f>
        <v/>
      </c>
      <c r="K368" s="29" t="str">
        <f>IF(AND('RAW DATA'!$B368&lt;&gt;"",'RAW DATA'!L368=1),1,"")</f>
        <v/>
      </c>
      <c r="L368" s="24" t="str">
        <f t="shared" si="11"/>
        <v/>
      </c>
    </row>
    <row r="369" spans="2:12" x14ac:dyDescent="0.25">
      <c r="B369" s="1" t="str">
        <f>IF('RAW DATA'!$C371&lt;&gt;"",'RAW DATA'!$C371,"")</f>
        <v/>
      </c>
      <c r="C369" s="1" t="str">
        <f>IF('RAW DATA'!$D371&lt;&gt;"",'RAW DATA'!$D371,"")</f>
        <v/>
      </c>
      <c r="D369" s="1" t="str">
        <f>IF(AND($B368&lt;&gt;"", $B369=""), "TOTAL:", IF($D368="TOTAL:","VESSEL TARGET "&amp;'RAW DATA'!$E$2&amp;":",IF('RAW DATA'!$E369&lt;&gt;"",'RAW DATA'!$E369,"")))</f>
        <v/>
      </c>
      <c r="E369" s="29" t="str">
        <f t="shared" si="10"/>
        <v/>
      </c>
      <c r="F369" s="4" t="str">
        <f>IF($D368="TOTAL:",FIXED(ROUND(((SUM($F$4:$F367)/'RAW DATA'!$E$2)*100),1),1)&amp;"%",IF($D369="TOTAL:",SUM($F$4:$F368),IF(SUMIF('RAW DATA'!M:M,'RAW DATA'!B369,'RAW DATA'!H:H)=0,"",SUMIF('RAW DATA'!M:M,'RAW DATA'!B369,'RAW DATA'!H:H))))</f>
        <v/>
      </c>
      <c r="G369" s="4" t="str">
        <f>IF($D368="TOTAL:",FIXED(ROUND(((SUM($G$4:$G367)/'RAW DATA'!$E$2)*100),1),1)&amp;"%",IF($D369="TOTAL:",SUM($G$4:$G368),IF(SUMIF('RAW DATA'!M:M,'RAW DATA'!B369,'RAW DATA'!I:I)=0,"",SUMIF('RAW DATA'!M:M,'RAW DATA'!B369,'RAW DATA'!I:I))))</f>
        <v/>
      </c>
      <c r="H369" s="4" t="str">
        <f>IF(SUM(SUMIF('RAW DATA'!M:M,'RAW DATA'!B369,'RAW DATA'!J:J),SUMIF('RAW DATA'!N:N,'RAW DATA'!B369,'RAW DATA'!J:J),SUMIF('RAW DATA'!O:O,'RAW DATA'!B369,'RAW DATA'!J:J),SUMIF('RAW DATA'!P:P,'RAW DATA'!B369,'RAW DATA'!J:J))=0, "", SUM(SUMIF('RAW DATA'!M:M,'RAW DATA'!B369,'RAW DATA'!J:J),SUMIF('RAW DATA'!N:N,'RAW DATA'!B369,'RAW DATA'!J:J),SUMIF('RAW DATA'!O:O,'RAW DATA'!B369,'RAW DATA'!J:J),SUMIF('RAW DATA'!P:P,'RAW DATA'!B369,'RAW DATA'!J:J)))</f>
        <v/>
      </c>
      <c r="I369" s="4" t="str">
        <f>IF(SUMIF('RAW DATA'!M:M,'RAW DATA'!B369, 'RAW DATA'!K:K)=0, "", SUMIF('RAW DATA'!M:M,'RAW DATA'!B369, 'RAW DATA'!K:K))</f>
        <v/>
      </c>
      <c r="J369" s="29" t="str">
        <f>IF('RAW DATA'!B369&lt;&gt;"",IF(OR('RAW DATA'!H369=1,'RAW DATA'!H369=2),1,IF(ISNUMBER(FIND("Medic",'RAW DATA'!E369)),1,"")),"")</f>
        <v/>
      </c>
      <c r="K369" s="29" t="str">
        <f>IF(AND('RAW DATA'!$B369&lt;&gt;"",'RAW DATA'!L369=1),1,"")</f>
        <v/>
      </c>
      <c r="L369" s="24" t="str">
        <f t="shared" si="11"/>
        <v/>
      </c>
    </row>
    <row r="370" spans="2:12" x14ac:dyDescent="0.25">
      <c r="B370" s="1" t="str">
        <f>IF('RAW DATA'!$C372&lt;&gt;"",'RAW DATA'!$C372,"")</f>
        <v/>
      </c>
      <c r="C370" s="1" t="str">
        <f>IF('RAW DATA'!$D372&lt;&gt;"",'RAW DATA'!$D372,"")</f>
        <v/>
      </c>
      <c r="D370" s="1" t="str">
        <f>IF(AND($B369&lt;&gt;"", $B370=""), "TOTAL:", IF($D369="TOTAL:","VESSEL TARGET "&amp;'RAW DATA'!$E$2&amp;":",IF('RAW DATA'!$E370&lt;&gt;"",'RAW DATA'!$E370,"")))</f>
        <v/>
      </c>
      <c r="E370" s="29" t="str">
        <f t="shared" si="10"/>
        <v/>
      </c>
      <c r="F370" s="4" t="str">
        <f>IF($D369="TOTAL:",FIXED(ROUND(((SUM($F$4:$F368)/'RAW DATA'!$E$2)*100),1),1)&amp;"%",IF($D370="TOTAL:",SUM($F$4:$F369),IF(SUMIF('RAW DATA'!M:M,'RAW DATA'!B370,'RAW DATA'!H:H)=0,"",SUMIF('RAW DATA'!M:M,'RAW DATA'!B370,'RAW DATA'!H:H))))</f>
        <v/>
      </c>
      <c r="G370" s="4" t="str">
        <f>IF($D369="TOTAL:",FIXED(ROUND(((SUM($G$4:$G368)/'RAW DATA'!$E$2)*100),1),1)&amp;"%",IF($D370="TOTAL:",SUM($G$4:$G369),IF(SUMIF('RAW DATA'!M:M,'RAW DATA'!B370,'RAW DATA'!I:I)=0,"",SUMIF('RAW DATA'!M:M,'RAW DATA'!B370,'RAW DATA'!I:I))))</f>
        <v/>
      </c>
      <c r="H370" s="4" t="str">
        <f>IF(SUM(SUMIF('RAW DATA'!M:M,'RAW DATA'!B370,'RAW DATA'!J:J),SUMIF('RAW DATA'!N:N,'RAW DATA'!B370,'RAW DATA'!J:J),SUMIF('RAW DATA'!O:O,'RAW DATA'!B370,'RAW DATA'!J:J),SUMIF('RAW DATA'!P:P,'RAW DATA'!B370,'RAW DATA'!J:J))=0, "", SUM(SUMIF('RAW DATA'!M:M,'RAW DATA'!B370,'RAW DATA'!J:J),SUMIF('RAW DATA'!N:N,'RAW DATA'!B370,'RAW DATA'!J:J),SUMIF('RAW DATA'!O:O,'RAW DATA'!B370,'RAW DATA'!J:J),SUMIF('RAW DATA'!P:P,'RAW DATA'!B370,'RAW DATA'!J:J)))</f>
        <v/>
      </c>
      <c r="I370" s="4" t="str">
        <f>IF(SUMIF('RAW DATA'!M:M,'RAW DATA'!B370, 'RAW DATA'!K:K)=0, "", SUMIF('RAW DATA'!M:M,'RAW DATA'!B370, 'RAW DATA'!K:K))</f>
        <v/>
      </c>
      <c r="J370" s="29" t="str">
        <f>IF('RAW DATA'!B370&lt;&gt;"",IF(OR('RAW DATA'!H370=1,'RAW DATA'!H370=2),1,IF(ISNUMBER(FIND("Medic",'RAW DATA'!E370)),1,"")),"")</f>
        <v/>
      </c>
      <c r="K370" s="29" t="str">
        <f>IF(AND('RAW DATA'!$B370&lt;&gt;"",'RAW DATA'!L370=1),1,"")</f>
        <v/>
      </c>
      <c r="L370" s="24" t="str">
        <f t="shared" si="11"/>
        <v/>
      </c>
    </row>
    <row r="371" spans="2:12" x14ac:dyDescent="0.25">
      <c r="B371" s="1" t="str">
        <f>IF('RAW DATA'!$C373&lt;&gt;"",'RAW DATA'!$C373,"")</f>
        <v/>
      </c>
      <c r="C371" s="1" t="str">
        <f>IF('RAW DATA'!$D373&lt;&gt;"",'RAW DATA'!$D373,"")</f>
        <v/>
      </c>
      <c r="D371" s="1" t="str">
        <f>IF(AND($B370&lt;&gt;"", $B371=""), "TOTAL:", IF($D370="TOTAL:","VESSEL TARGET "&amp;'RAW DATA'!$E$2&amp;":",IF('RAW DATA'!$E371&lt;&gt;"",'RAW DATA'!$E371,"")))</f>
        <v/>
      </c>
      <c r="E371" s="29" t="str">
        <f t="shared" si="10"/>
        <v/>
      </c>
      <c r="F371" s="4" t="str">
        <f>IF($D370="TOTAL:",FIXED(ROUND(((SUM($F$4:$F369)/'RAW DATA'!$E$2)*100),1),1)&amp;"%",IF($D371="TOTAL:",SUM($F$4:$F370),IF(SUMIF('RAW DATA'!M:M,'RAW DATA'!B371,'RAW DATA'!H:H)=0,"",SUMIF('RAW DATA'!M:M,'RAW DATA'!B371,'RAW DATA'!H:H))))</f>
        <v/>
      </c>
      <c r="G371" s="4" t="str">
        <f>IF($D370="TOTAL:",FIXED(ROUND(((SUM($G$4:$G369)/'RAW DATA'!$E$2)*100),1),1)&amp;"%",IF($D371="TOTAL:",SUM($G$4:$G370),IF(SUMIF('RAW DATA'!M:M,'RAW DATA'!B371,'RAW DATA'!I:I)=0,"",SUMIF('RAW DATA'!M:M,'RAW DATA'!B371,'RAW DATA'!I:I))))</f>
        <v/>
      </c>
      <c r="H371" s="4" t="str">
        <f>IF(SUM(SUMIF('RAW DATA'!M:M,'RAW DATA'!B371,'RAW DATA'!J:J),SUMIF('RAW DATA'!N:N,'RAW DATA'!B371,'RAW DATA'!J:J),SUMIF('RAW DATA'!O:O,'RAW DATA'!B371,'RAW DATA'!J:J),SUMIF('RAW DATA'!P:P,'RAW DATA'!B371,'RAW DATA'!J:J))=0, "", SUM(SUMIF('RAW DATA'!M:M,'RAW DATA'!B371,'RAW DATA'!J:J),SUMIF('RAW DATA'!N:N,'RAW DATA'!B371,'RAW DATA'!J:J),SUMIF('RAW DATA'!O:O,'RAW DATA'!B371,'RAW DATA'!J:J),SUMIF('RAW DATA'!P:P,'RAW DATA'!B371,'RAW DATA'!J:J)))</f>
        <v/>
      </c>
      <c r="I371" s="4" t="str">
        <f>IF(SUMIF('RAW DATA'!M:M,'RAW DATA'!B371, 'RAW DATA'!K:K)=0, "", SUMIF('RAW DATA'!M:M,'RAW DATA'!B371, 'RAW DATA'!K:K))</f>
        <v/>
      </c>
      <c r="J371" s="29" t="str">
        <f>IF('RAW DATA'!B371&lt;&gt;"",IF(OR('RAW DATA'!H371=1,'RAW DATA'!H371=2),1,IF(ISNUMBER(FIND("Medic",'RAW DATA'!E371)),1,"")),"")</f>
        <v/>
      </c>
      <c r="K371" s="29" t="str">
        <f>IF(AND('RAW DATA'!$B371&lt;&gt;"",'RAW DATA'!L371=1),1,"")</f>
        <v/>
      </c>
      <c r="L371" s="24" t="str">
        <f t="shared" si="11"/>
        <v/>
      </c>
    </row>
    <row r="372" spans="2:12" x14ac:dyDescent="0.25">
      <c r="B372" s="1" t="str">
        <f>IF('RAW DATA'!$C374&lt;&gt;"",'RAW DATA'!$C374,"")</f>
        <v/>
      </c>
      <c r="C372" s="1" t="str">
        <f>IF('RAW DATA'!$D374&lt;&gt;"",'RAW DATA'!$D374,"")</f>
        <v/>
      </c>
      <c r="D372" s="1" t="str">
        <f>IF(AND($B371&lt;&gt;"", $B372=""), "TOTAL:", IF($D371="TOTAL:","VESSEL TARGET "&amp;'RAW DATA'!$E$2&amp;":",IF('RAW DATA'!$E372&lt;&gt;"",'RAW DATA'!$E372,"")))</f>
        <v/>
      </c>
      <c r="E372" s="29" t="str">
        <f t="shared" si="10"/>
        <v/>
      </c>
      <c r="F372" s="4" t="str">
        <f>IF($D371="TOTAL:",FIXED(ROUND(((SUM($F$4:$F370)/'RAW DATA'!$E$2)*100),1),1)&amp;"%",IF($D372="TOTAL:",SUM($F$4:$F371),IF(SUMIF('RAW DATA'!M:M,'RAW DATA'!B372,'RAW DATA'!H:H)=0,"",SUMIF('RAW DATA'!M:M,'RAW DATA'!B372,'RAW DATA'!H:H))))</f>
        <v/>
      </c>
      <c r="G372" s="4" t="str">
        <f>IF($D371="TOTAL:",FIXED(ROUND(((SUM($G$4:$G370)/'RAW DATA'!$E$2)*100),1),1)&amp;"%",IF($D372="TOTAL:",SUM($G$4:$G371),IF(SUMIF('RAW DATA'!M:M,'RAW DATA'!B372,'RAW DATA'!I:I)=0,"",SUMIF('RAW DATA'!M:M,'RAW DATA'!B372,'RAW DATA'!I:I))))</f>
        <v/>
      </c>
      <c r="H372" s="4" t="str">
        <f>IF(SUM(SUMIF('RAW DATA'!M:M,'RAW DATA'!B372,'RAW DATA'!J:J),SUMIF('RAW DATA'!N:N,'RAW DATA'!B372,'RAW DATA'!J:J),SUMIF('RAW DATA'!O:O,'RAW DATA'!B372,'RAW DATA'!J:J),SUMIF('RAW DATA'!P:P,'RAW DATA'!B372,'RAW DATA'!J:J))=0, "", SUM(SUMIF('RAW DATA'!M:M,'RAW DATA'!B372,'RAW DATA'!J:J),SUMIF('RAW DATA'!N:N,'RAW DATA'!B372,'RAW DATA'!J:J),SUMIF('RAW DATA'!O:O,'RAW DATA'!B372,'RAW DATA'!J:J),SUMIF('RAW DATA'!P:P,'RAW DATA'!B372,'RAW DATA'!J:J)))</f>
        <v/>
      </c>
      <c r="I372" s="4" t="str">
        <f>IF(SUMIF('RAW DATA'!M:M,'RAW DATA'!B372, 'RAW DATA'!K:K)=0, "", SUMIF('RAW DATA'!M:M,'RAW DATA'!B372, 'RAW DATA'!K:K))</f>
        <v/>
      </c>
      <c r="J372" s="29" t="str">
        <f>IF('RAW DATA'!B372&lt;&gt;"",IF(OR('RAW DATA'!H372=1,'RAW DATA'!H372=2),1,IF(ISNUMBER(FIND("Medic",'RAW DATA'!E372)),1,"")),"")</f>
        <v/>
      </c>
      <c r="K372" s="29" t="str">
        <f>IF(AND('RAW DATA'!$B372&lt;&gt;"",'RAW DATA'!L372=1),1,"")</f>
        <v/>
      </c>
      <c r="L372" s="24" t="str">
        <f t="shared" si="11"/>
        <v/>
      </c>
    </row>
    <row r="373" spans="2:12" x14ac:dyDescent="0.25">
      <c r="B373" s="1" t="str">
        <f>IF('RAW DATA'!$C375&lt;&gt;"",'RAW DATA'!$C375,"")</f>
        <v/>
      </c>
      <c r="C373" s="1" t="str">
        <f>IF('RAW DATA'!$D375&lt;&gt;"",'RAW DATA'!$D375,"")</f>
        <v/>
      </c>
      <c r="D373" s="1" t="str">
        <f>IF(AND($B372&lt;&gt;"", $B373=""), "TOTAL:", IF($D372="TOTAL:","VESSEL TARGET "&amp;'RAW DATA'!$E$2&amp;":",IF('RAW DATA'!$E373&lt;&gt;"",'RAW DATA'!$E373,"")))</f>
        <v/>
      </c>
      <c r="E373" s="29" t="str">
        <f t="shared" si="10"/>
        <v/>
      </c>
      <c r="F373" s="4" t="str">
        <f>IF($D372="TOTAL:",FIXED(ROUND(((SUM($F$4:$F371)/'RAW DATA'!$E$2)*100),1),1)&amp;"%",IF($D373="TOTAL:",SUM($F$4:$F372),IF(SUMIF('RAW DATA'!M:M,'RAW DATA'!B373,'RAW DATA'!H:H)=0,"",SUMIF('RAW DATA'!M:M,'RAW DATA'!B373,'RAW DATA'!H:H))))</f>
        <v/>
      </c>
      <c r="G373" s="4" t="str">
        <f>IF($D372="TOTAL:",FIXED(ROUND(((SUM($G$4:$G371)/'RAW DATA'!$E$2)*100),1),1)&amp;"%",IF($D373="TOTAL:",SUM($G$4:$G372),IF(SUMIF('RAW DATA'!M:M,'RAW DATA'!B373,'RAW DATA'!I:I)=0,"",SUMIF('RAW DATA'!M:M,'RAW DATA'!B373,'RAW DATA'!I:I))))</f>
        <v/>
      </c>
      <c r="H373" s="4" t="str">
        <f>IF(SUM(SUMIF('RAW DATA'!M:M,'RAW DATA'!B373,'RAW DATA'!J:J),SUMIF('RAW DATA'!N:N,'RAW DATA'!B373,'RAW DATA'!J:J),SUMIF('RAW DATA'!O:O,'RAW DATA'!B373,'RAW DATA'!J:J),SUMIF('RAW DATA'!P:P,'RAW DATA'!B373,'RAW DATA'!J:J))=0, "", SUM(SUMIF('RAW DATA'!M:M,'RAW DATA'!B373,'RAW DATA'!J:J),SUMIF('RAW DATA'!N:N,'RAW DATA'!B373,'RAW DATA'!J:J),SUMIF('RAW DATA'!O:O,'RAW DATA'!B373,'RAW DATA'!J:J),SUMIF('RAW DATA'!P:P,'RAW DATA'!B373,'RAW DATA'!J:J)))</f>
        <v/>
      </c>
      <c r="I373" s="4" t="str">
        <f>IF(SUMIF('RAW DATA'!M:M,'RAW DATA'!B373, 'RAW DATA'!K:K)=0, "", SUMIF('RAW DATA'!M:M,'RAW DATA'!B373, 'RAW DATA'!K:K))</f>
        <v/>
      </c>
      <c r="J373" s="29" t="str">
        <f>IF('RAW DATA'!B373&lt;&gt;"",IF(OR('RAW DATA'!H373=1,'RAW DATA'!H373=2),1,IF(ISNUMBER(FIND("Medic",'RAW DATA'!E373)),1,"")),"")</f>
        <v/>
      </c>
      <c r="K373" s="29" t="str">
        <f>IF(AND('RAW DATA'!$B373&lt;&gt;"",'RAW DATA'!L373=1),1,"")</f>
        <v/>
      </c>
      <c r="L373" s="24" t="str">
        <f t="shared" si="11"/>
        <v/>
      </c>
    </row>
    <row r="374" spans="2:12" x14ac:dyDescent="0.25">
      <c r="B374" s="1" t="str">
        <f>IF('RAW DATA'!$C376&lt;&gt;"",'RAW DATA'!$C376,"")</f>
        <v/>
      </c>
      <c r="C374" s="1" t="str">
        <f>IF('RAW DATA'!$D376&lt;&gt;"",'RAW DATA'!$D376,"")</f>
        <v/>
      </c>
      <c r="D374" s="1" t="str">
        <f>IF(AND($B373&lt;&gt;"", $B374=""), "TOTAL:", IF($D373="TOTAL:","VESSEL TARGET "&amp;'RAW DATA'!$E$2&amp;":",IF('RAW DATA'!$E374&lt;&gt;"",'RAW DATA'!$E374,"")))</f>
        <v/>
      </c>
      <c r="E374" s="29" t="str">
        <f t="shared" si="10"/>
        <v/>
      </c>
      <c r="F374" s="4" t="str">
        <f>IF($D373="TOTAL:",FIXED(ROUND(((SUM($F$4:$F372)/'RAW DATA'!$E$2)*100),1),1)&amp;"%",IF($D374="TOTAL:",SUM($F$4:$F373),IF(SUMIF('RAW DATA'!M:M,'RAW DATA'!B374,'RAW DATA'!H:H)=0,"",SUMIF('RAW DATA'!M:M,'RAW DATA'!B374,'RAW DATA'!H:H))))</f>
        <v/>
      </c>
      <c r="G374" s="4" t="str">
        <f>IF($D373="TOTAL:",FIXED(ROUND(((SUM($G$4:$G372)/'RAW DATA'!$E$2)*100),1),1)&amp;"%",IF($D374="TOTAL:",SUM($G$4:$G373),IF(SUMIF('RAW DATA'!M:M,'RAW DATA'!B374,'RAW DATA'!I:I)=0,"",SUMIF('RAW DATA'!M:M,'RAW DATA'!B374,'RAW DATA'!I:I))))</f>
        <v/>
      </c>
      <c r="H374" s="4" t="str">
        <f>IF(SUM(SUMIF('RAW DATA'!M:M,'RAW DATA'!B374,'RAW DATA'!J:J),SUMIF('RAW DATA'!N:N,'RAW DATA'!B374,'RAW DATA'!J:J),SUMIF('RAW DATA'!O:O,'RAW DATA'!B374,'RAW DATA'!J:J),SUMIF('RAW DATA'!P:P,'RAW DATA'!B374,'RAW DATA'!J:J))=0, "", SUM(SUMIF('RAW DATA'!M:M,'RAW DATA'!B374,'RAW DATA'!J:J),SUMIF('RAW DATA'!N:N,'RAW DATA'!B374,'RAW DATA'!J:J),SUMIF('RAW DATA'!O:O,'RAW DATA'!B374,'RAW DATA'!J:J),SUMIF('RAW DATA'!P:P,'RAW DATA'!B374,'RAW DATA'!J:J)))</f>
        <v/>
      </c>
      <c r="I374" s="4" t="str">
        <f>IF(SUMIF('RAW DATA'!M:M,'RAW DATA'!B374, 'RAW DATA'!K:K)=0, "", SUMIF('RAW DATA'!M:M,'RAW DATA'!B374, 'RAW DATA'!K:K))</f>
        <v/>
      </c>
      <c r="J374" s="29" t="str">
        <f>IF('RAW DATA'!B374&lt;&gt;"",IF(OR('RAW DATA'!H374=1,'RAW DATA'!H374=2),1,IF(ISNUMBER(FIND("Medic",'RAW DATA'!E374)),1,"")),"")</f>
        <v/>
      </c>
      <c r="K374" s="29" t="str">
        <f>IF(AND('RAW DATA'!$B374&lt;&gt;"",'RAW DATA'!L374=1),1,"")</f>
        <v/>
      </c>
      <c r="L374" s="24" t="str">
        <f t="shared" si="11"/>
        <v/>
      </c>
    </row>
    <row r="375" spans="2:12" x14ac:dyDescent="0.25">
      <c r="B375" s="1" t="str">
        <f>IF('RAW DATA'!$C377&lt;&gt;"",'RAW DATA'!$C377,"")</f>
        <v/>
      </c>
      <c r="C375" s="1" t="str">
        <f>IF('RAW DATA'!$D377&lt;&gt;"",'RAW DATA'!$D377,"")</f>
        <v/>
      </c>
      <c r="D375" s="1" t="str">
        <f>IF(AND($B374&lt;&gt;"", $B375=""), "TOTAL:", IF($D374="TOTAL:","VESSEL TARGET "&amp;'RAW DATA'!$E$2&amp;":",IF('RAW DATA'!$E375&lt;&gt;"",'RAW DATA'!$E375,"")))</f>
        <v/>
      </c>
      <c r="E375" s="29" t="str">
        <f t="shared" si="10"/>
        <v/>
      </c>
      <c r="F375" s="4" t="str">
        <f>IF($D374="TOTAL:",FIXED(ROUND(((SUM($F$4:$F373)/'RAW DATA'!$E$2)*100),1),1)&amp;"%",IF($D375="TOTAL:",SUM($F$4:$F374),IF(SUMIF('RAW DATA'!M:M,'RAW DATA'!B375,'RAW DATA'!H:H)=0,"",SUMIF('RAW DATA'!M:M,'RAW DATA'!B375,'RAW DATA'!H:H))))</f>
        <v/>
      </c>
      <c r="G375" s="4" t="str">
        <f>IF($D374="TOTAL:",FIXED(ROUND(((SUM($G$4:$G373)/'RAW DATA'!$E$2)*100),1),1)&amp;"%",IF($D375="TOTAL:",SUM($G$4:$G374),IF(SUMIF('RAW DATA'!M:M,'RAW DATA'!B375,'RAW DATA'!I:I)=0,"",SUMIF('RAW DATA'!M:M,'RAW DATA'!B375,'RAW DATA'!I:I))))</f>
        <v/>
      </c>
      <c r="H375" s="4" t="str">
        <f>IF(SUM(SUMIF('RAW DATA'!M:M,'RAW DATA'!B375,'RAW DATA'!J:J),SUMIF('RAW DATA'!N:N,'RAW DATA'!B375,'RAW DATA'!J:J),SUMIF('RAW DATA'!O:O,'RAW DATA'!B375,'RAW DATA'!J:J),SUMIF('RAW DATA'!P:P,'RAW DATA'!B375,'RAW DATA'!J:J))=0, "", SUM(SUMIF('RAW DATA'!M:M,'RAW DATA'!B375,'RAW DATA'!J:J),SUMIF('RAW DATA'!N:N,'RAW DATA'!B375,'RAW DATA'!J:J),SUMIF('RAW DATA'!O:O,'RAW DATA'!B375,'RAW DATA'!J:J),SUMIF('RAW DATA'!P:P,'RAW DATA'!B375,'RAW DATA'!J:J)))</f>
        <v/>
      </c>
      <c r="I375" s="4" t="str">
        <f>IF(SUMIF('RAW DATA'!M:M,'RAW DATA'!B375, 'RAW DATA'!K:K)=0, "", SUMIF('RAW DATA'!M:M,'RAW DATA'!B375, 'RAW DATA'!K:K))</f>
        <v/>
      </c>
      <c r="J375" s="29" t="str">
        <f>IF('RAW DATA'!B375&lt;&gt;"",IF(OR('RAW DATA'!H375=1,'RAW DATA'!H375=2),1,IF(ISNUMBER(FIND("Medic",'RAW DATA'!E375)),1,"")),"")</f>
        <v/>
      </c>
      <c r="K375" s="29" t="str">
        <f>IF(AND('RAW DATA'!$B375&lt;&gt;"",'RAW DATA'!L375=1),1,"")</f>
        <v/>
      </c>
      <c r="L375" s="24" t="str">
        <f t="shared" si="11"/>
        <v/>
      </c>
    </row>
    <row r="376" spans="2:12" x14ac:dyDescent="0.25">
      <c r="B376" s="1" t="str">
        <f>IF('RAW DATA'!$C378&lt;&gt;"",'RAW DATA'!$C378,"")</f>
        <v/>
      </c>
      <c r="C376" s="1" t="str">
        <f>IF('RAW DATA'!$D378&lt;&gt;"",'RAW DATA'!$D378,"")</f>
        <v/>
      </c>
      <c r="D376" s="1" t="str">
        <f>IF(AND($B375&lt;&gt;"", $B376=""), "TOTAL:", IF($D375="TOTAL:","VESSEL TARGET "&amp;'RAW DATA'!$E$2&amp;":",IF('RAW DATA'!$E376&lt;&gt;"",'RAW DATA'!$E376,"")))</f>
        <v/>
      </c>
      <c r="E376" s="29" t="str">
        <f t="shared" si="10"/>
        <v/>
      </c>
      <c r="F376" s="4" t="str">
        <f>IF($D375="TOTAL:",FIXED(ROUND(((SUM($F$4:$F374)/'RAW DATA'!$E$2)*100),1),1)&amp;"%",IF($D376="TOTAL:",SUM($F$4:$F375),IF(SUMIF('RAW DATA'!M:M,'RAW DATA'!B376,'RAW DATA'!H:H)=0,"",SUMIF('RAW DATA'!M:M,'RAW DATA'!B376,'RAW DATA'!H:H))))</f>
        <v/>
      </c>
      <c r="G376" s="4" t="str">
        <f>IF($D375="TOTAL:",FIXED(ROUND(((SUM($G$4:$G374)/'RAW DATA'!$E$2)*100),1),1)&amp;"%",IF($D376="TOTAL:",SUM($G$4:$G375),IF(SUMIF('RAW DATA'!M:M,'RAW DATA'!B376,'RAW DATA'!I:I)=0,"",SUMIF('RAW DATA'!M:M,'RAW DATA'!B376,'RAW DATA'!I:I))))</f>
        <v/>
      </c>
      <c r="H376" s="4" t="str">
        <f>IF(SUM(SUMIF('RAW DATA'!M:M,'RAW DATA'!B376,'RAW DATA'!J:J),SUMIF('RAW DATA'!N:N,'RAW DATA'!B376,'RAW DATA'!J:J),SUMIF('RAW DATA'!O:O,'RAW DATA'!B376,'RAW DATA'!J:J),SUMIF('RAW DATA'!P:P,'RAW DATA'!B376,'RAW DATA'!J:J))=0, "", SUM(SUMIF('RAW DATA'!M:M,'RAW DATA'!B376,'RAW DATA'!J:J),SUMIF('RAW DATA'!N:N,'RAW DATA'!B376,'RAW DATA'!J:J),SUMIF('RAW DATA'!O:O,'RAW DATA'!B376,'RAW DATA'!J:J),SUMIF('RAW DATA'!P:P,'RAW DATA'!B376,'RAW DATA'!J:J)))</f>
        <v/>
      </c>
      <c r="I376" s="4" t="str">
        <f>IF(SUMIF('RAW DATA'!M:M,'RAW DATA'!B376, 'RAW DATA'!K:K)=0, "", SUMIF('RAW DATA'!M:M,'RAW DATA'!B376, 'RAW DATA'!K:K))</f>
        <v/>
      </c>
      <c r="J376" s="29" t="str">
        <f>IF('RAW DATA'!B376&lt;&gt;"",IF(OR('RAW DATA'!H376=1,'RAW DATA'!H376=2),1,IF(ISNUMBER(FIND("Medic",'RAW DATA'!E376)),1,"")),"")</f>
        <v/>
      </c>
      <c r="K376" s="29" t="str">
        <f>IF(AND('RAW DATA'!$B376&lt;&gt;"",'RAW DATA'!L376=1),1,"")</f>
        <v/>
      </c>
      <c r="L376" s="24" t="str">
        <f t="shared" si="11"/>
        <v/>
      </c>
    </row>
    <row r="377" spans="2:12" x14ac:dyDescent="0.25">
      <c r="B377" s="1" t="str">
        <f>IF('RAW DATA'!$C379&lt;&gt;"",'RAW DATA'!$C379,"")</f>
        <v/>
      </c>
      <c r="C377" s="1" t="str">
        <f>IF('RAW DATA'!$D379&lt;&gt;"",'RAW DATA'!$D379,"")</f>
        <v/>
      </c>
      <c r="D377" s="1" t="str">
        <f>IF(AND($B376&lt;&gt;"", $B377=""), "TOTAL:", IF($D376="TOTAL:","VESSEL TARGET "&amp;'RAW DATA'!$E$2&amp;":",IF('RAW DATA'!$E377&lt;&gt;"",'RAW DATA'!$E377,"")))</f>
        <v/>
      </c>
      <c r="E377" s="29" t="str">
        <f t="shared" si="10"/>
        <v/>
      </c>
      <c r="F377" s="4" t="str">
        <f>IF($D376="TOTAL:",FIXED(ROUND(((SUM($F$4:$F375)/'RAW DATA'!$E$2)*100),1),1)&amp;"%",IF($D377="TOTAL:",SUM($F$4:$F376),IF(SUMIF('RAW DATA'!M:M,'RAW DATA'!B377,'RAW DATA'!H:H)=0,"",SUMIF('RAW DATA'!M:M,'RAW DATA'!B377,'RAW DATA'!H:H))))</f>
        <v/>
      </c>
      <c r="G377" s="4" t="str">
        <f>IF($D376="TOTAL:",FIXED(ROUND(((SUM($G$4:$G375)/'RAW DATA'!$E$2)*100),1),1)&amp;"%",IF($D377="TOTAL:",SUM($G$4:$G376),IF(SUMIF('RAW DATA'!M:M,'RAW DATA'!B377,'RAW DATA'!I:I)=0,"",SUMIF('RAW DATA'!M:M,'RAW DATA'!B377,'RAW DATA'!I:I))))</f>
        <v/>
      </c>
      <c r="H377" s="4" t="str">
        <f>IF(SUM(SUMIF('RAW DATA'!M:M,'RAW DATA'!B377,'RAW DATA'!J:J),SUMIF('RAW DATA'!N:N,'RAW DATA'!B377,'RAW DATA'!J:J),SUMIF('RAW DATA'!O:O,'RAW DATA'!B377,'RAW DATA'!J:J),SUMIF('RAW DATA'!P:P,'RAW DATA'!B377,'RAW DATA'!J:J))=0, "", SUM(SUMIF('RAW DATA'!M:M,'RAW DATA'!B377,'RAW DATA'!J:J),SUMIF('RAW DATA'!N:N,'RAW DATA'!B377,'RAW DATA'!J:J),SUMIF('RAW DATA'!O:O,'RAW DATA'!B377,'RAW DATA'!J:J),SUMIF('RAW DATA'!P:P,'RAW DATA'!B377,'RAW DATA'!J:J)))</f>
        <v/>
      </c>
      <c r="I377" s="4" t="str">
        <f>IF(SUMIF('RAW DATA'!M:M,'RAW DATA'!B377, 'RAW DATA'!K:K)=0, "", SUMIF('RAW DATA'!M:M,'RAW DATA'!B377, 'RAW DATA'!K:K))</f>
        <v/>
      </c>
      <c r="J377" s="29" t="str">
        <f>IF('RAW DATA'!B377&lt;&gt;"",IF(OR('RAW DATA'!H377=1,'RAW DATA'!H377=2),1,IF(ISNUMBER(FIND("Medic",'RAW DATA'!E377)),1,"")),"")</f>
        <v/>
      </c>
      <c r="K377" s="29" t="str">
        <f>IF(AND('RAW DATA'!$B377&lt;&gt;"",'RAW DATA'!L377=1),1,"")</f>
        <v/>
      </c>
      <c r="L377" s="24" t="str">
        <f t="shared" si="11"/>
        <v/>
      </c>
    </row>
    <row r="378" spans="2:12" x14ac:dyDescent="0.25">
      <c r="B378" s="1" t="str">
        <f>IF('RAW DATA'!$C380&lt;&gt;"",'RAW DATA'!$C380,"")</f>
        <v/>
      </c>
      <c r="C378" s="1" t="str">
        <f>IF('RAW DATA'!$D380&lt;&gt;"",'RAW DATA'!$D380,"")</f>
        <v/>
      </c>
      <c r="D378" s="1" t="str">
        <f>IF(AND($B377&lt;&gt;"", $B378=""), "TOTAL:", IF($D377="TOTAL:","VESSEL TARGET "&amp;'RAW DATA'!$E$2&amp;":",IF('RAW DATA'!$E378&lt;&gt;"",'RAW DATA'!$E378,"")))</f>
        <v/>
      </c>
      <c r="E378" s="29" t="str">
        <f t="shared" si="10"/>
        <v/>
      </c>
      <c r="F378" s="4" t="str">
        <f>IF($D377="TOTAL:",FIXED(ROUND(((SUM($F$4:$F376)/'RAW DATA'!$E$2)*100),1),1)&amp;"%",IF($D378="TOTAL:",SUM($F$4:$F377),IF(SUMIF('RAW DATA'!M:M,'RAW DATA'!B378,'RAW DATA'!H:H)=0,"",SUMIF('RAW DATA'!M:M,'RAW DATA'!B378,'RAW DATA'!H:H))))</f>
        <v/>
      </c>
      <c r="G378" s="4" t="str">
        <f>IF($D377="TOTAL:",FIXED(ROUND(((SUM($G$4:$G376)/'RAW DATA'!$E$2)*100),1),1)&amp;"%",IF($D378="TOTAL:",SUM($G$4:$G377),IF(SUMIF('RAW DATA'!M:M,'RAW DATA'!B378,'RAW DATA'!I:I)=0,"",SUMIF('RAW DATA'!M:M,'RAW DATA'!B378,'RAW DATA'!I:I))))</f>
        <v/>
      </c>
      <c r="H378" s="4" t="str">
        <f>IF(SUM(SUMIF('RAW DATA'!M:M,'RAW DATA'!B378,'RAW DATA'!J:J),SUMIF('RAW DATA'!N:N,'RAW DATA'!B378,'RAW DATA'!J:J),SUMIF('RAW DATA'!O:O,'RAW DATA'!B378,'RAW DATA'!J:J),SUMIF('RAW DATA'!P:P,'RAW DATA'!B378,'RAW DATA'!J:J))=0, "", SUM(SUMIF('RAW DATA'!M:M,'RAW DATA'!B378,'RAW DATA'!J:J),SUMIF('RAW DATA'!N:N,'RAW DATA'!B378,'RAW DATA'!J:J),SUMIF('RAW DATA'!O:O,'RAW DATA'!B378,'RAW DATA'!J:J),SUMIF('RAW DATA'!P:P,'RAW DATA'!B378,'RAW DATA'!J:J)))</f>
        <v/>
      </c>
      <c r="I378" s="4" t="str">
        <f>IF(SUMIF('RAW DATA'!M:M,'RAW DATA'!B378, 'RAW DATA'!K:K)=0, "", SUMIF('RAW DATA'!M:M,'RAW DATA'!B378, 'RAW DATA'!K:K))</f>
        <v/>
      </c>
      <c r="J378" s="29" t="str">
        <f>IF('RAW DATA'!B378&lt;&gt;"",IF(OR('RAW DATA'!H378=1,'RAW DATA'!H378=2),1,IF(ISNUMBER(FIND("Medic",'RAW DATA'!E378)),1,"")),"")</f>
        <v/>
      </c>
      <c r="K378" s="29" t="str">
        <f>IF(AND('RAW DATA'!$B378&lt;&gt;"",'RAW DATA'!L378=1),1,"")</f>
        <v/>
      </c>
      <c r="L378" s="24" t="str">
        <f t="shared" si="11"/>
        <v/>
      </c>
    </row>
    <row r="379" spans="2:12" x14ac:dyDescent="0.25">
      <c r="B379" s="1" t="str">
        <f>IF('RAW DATA'!$C381&lt;&gt;"",'RAW DATA'!$C381,"")</f>
        <v/>
      </c>
      <c r="C379" s="1" t="str">
        <f>IF('RAW DATA'!$D381&lt;&gt;"",'RAW DATA'!$D381,"")</f>
        <v/>
      </c>
      <c r="D379" s="1" t="str">
        <f>IF(AND($B378&lt;&gt;"", $B379=""), "TOTAL:", IF($D378="TOTAL:","VESSEL TARGET "&amp;'RAW DATA'!$E$2&amp;":",IF('RAW DATA'!$E379&lt;&gt;"",'RAW DATA'!$E379,"")))</f>
        <v/>
      </c>
      <c r="E379" s="29" t="str">
        <f t="shared" si="10"/>
        <v/>
      </c>
      <c r="F379" s="4" t="str">
        <f>IF($D378="TOTAL:",FIXED(ROUND(((SUM($F$4:$F377)/'RAW DATA'!$E$2)*100),1),1)&amp;"%",IF($D379="TOTAL:",SUM($F$4:$F378),IF(SUMIF('RAW DATA'!M:M,'RAW DATA'!B379,'RAW DATA'!H:H)=0,"",SUMIF('RAW DATA'!M:M,'RAW DATA'!B379,'RAW DATA'!H:H))))</f>
        <v/>
      </c>
      <c r="G379" s="4" t="str">
        <f>IF($D378="TOTAL:",FIXED(ROUND(((SUM($G$4:$G377)/'RAW DATA'!$E$2)*100),1),1)&amp;"%",IF($D379="TOTAL:",SUM($G$4:$G378),IF(SUMIF('RAW DATA'!M:M,'RAW DATA'!B379,'RAW DATA'!I:I)=0,"",SUMIF('RAW DATA'!M:M,'RAW DATA'!B379,'RAW DATA'!I:I))))</f>
        <v/>
      </c>
      <c r="H379" s="4" t="str">
        <f>IF(SUM(SUMIF('RAW DATA'!M:M,'RAW DATA'!B379,'RAW DATA'!J:J),SUMIF('RAW DATA'!N:N,'RAW DATA'!B379,'RAW DATA'!J:J),SUMIF('RAW DATA'!O:O,'RAW DATA'!B379,'RAW DATA'!J:J),SUMIF('RAW DATA'!P:P,'RAW DATA'!B379,'RAW DATA'!J:J))=0, "", SUM(SUMIF('RAW DATA'!M:M,'RAW DATA'!B379,'RAW DATA'!J:J),SUMIF('RAW DATA'!N:N,'RAW DATA'!B379,'RAW DATA'!J:J),SUMIF('RAW DATA'!O:O,'RAW DATA'!B379,'RAW DATA'!J:J),SUMIF('RAW DATA'!P:P,'RAW DATA'!B379,'RAW DATA'!J:J)))</f>
        <v/>
      </c>
      <c r="I379" s="4" t="str">
        <f>IF(SUMIF('RAW DATA'!M:M,'RAW DATA'!B379, 'RAW DATA'!K:K)=0, "", SUMIF('RAW DATA'!M:M,'RAW DATA'!B379, 'RAW DATA'!K:K))</f>
        <v/>
      </c>
      <c r="J379" s="29" t="str">
        <f>IF('RAW DATA'!B379&lt;&gt;"",IF(OR('RAW DATA'!H379=1,'RAW DATA'!H379=2),1,IF(ISNUMBER(FIND("Medic",'RAW DATA'!E379)),1,"")),"")</f>
        <v/>
      </c>
      <c r="K379" s="29" t="str">
        <f>IF(AND('RAW DATA'!$B379&lt;&gt;"",'RAW DATA'!L379=1),1,"")</f>
        <v/>
      </c>
      <c r="L379" s="24" t="str">
        <f t="shared" si="11"/>
        <v/>
      </c>
    </row>
    <row r="380" spans="2:12" x14ac:dyDescent="0.25">
      <c r="B380" s="1" t="str">
        <f>IF('RAW DATA'!$C382&lt;&gt;"",'RAW DATA'!$C382,"")</f>
        <v/>
      </c>
      <c r="C380" s="1" t="str">
        <f>IF('RAW DATA'!$D382&lt;&gt;"",'RAW DATA'!$D382,"")</f>
        <v/>
      </c>
      <c r="D380" s="1" t="str">
        <f>IF(AND($B379&lt;&gt;"", $B380=""), "TOTAL:", IF($D379="TOTAL:","VESSEL TARGET "&amp;'RAW DATA'!$E$2&amp;":",IF('RAW DATA'!$E380&lt;&gt;"",'RAW DATA'!$E380,"")))</f>
        <v/>
      </c>
      <c r="E380" s="29" t="str">
        <f t="shared" si="10"/>
        <v/>
      </c>
      <c r="F380" s="4" t="str">
        <f>IF($D379="TOTAL:",FIXED(ROUND(((SUM($F$4:$F378)/'RAW DATA'!$E$2)*100),1),1)&amp;"%",IF($D380="TOTAL:",SUM($F$4:$F379),IF(SUMIF('RAW DATA'!M:M,'RAW DATA'!B380,'RAW DATA'!H:H)=0,"",SUMIF('RAW DATA'!M:M,'RAW DATA'!B380,'RAW DATA'!H:H))))</f>
        <v/>
      </c>
      <c r="G380" s="4" t="str">
        <f>IF($D379="TOTAL:",FIXED(ROUND(((SUM($G$4:$G378)/'RAW DATA'!$E$2)*100),1),1)&amp;"%",IF($D380="TOTAL:",SUM($G$4:$G379),IF(SUMIF('RAW DATA'!M:M,'RAW DATA'!B380,'RAW DATA'!I:I)=0,"",SUMIF('RAW DATA'!M:M,'RAW DATA'!B380,'RAW DATA'!I:I))))</f>
        <v/>
      </c>
      <c r="H380" s="4" t="str">
        <f>IF(SUM(SUMIF('RAW DATA'!M:M,'RAW DATA'!B380,'RAW DATA'!J:J),SUMIF('RAW DATA'!N:N,'RAW DATA'!B380,'RAW DATA'!J:J),SUMIF('RAW DATA'!O:O,'RAW DATA'!B380,'RAW DATA'!J:J),SUMIF('RAW DATA'!P:P,'RAW DATA'!B380,'RAW DATA'!J:J))=0, "", SUM(SUMIF('RAW DATA'!M:M,'RAW DATA'!B380,'RAW DATA'!J:J),SUMIF('RAW DATA'!N:N,'RAW DATA'!B380,'RAW DATA'!J:J),SUMIF('RAW DATA'!O:O,'RAW DATA'!B380,'RAW DATA'!J:J),SUMIF('RAW DATA'!P:P,'RAW DATA'!B380,'RAW DATA'!J:J)))</f>
        <v/>
      </c>
      <c r="I380" s="4" t="str">
        <f>IF(SUMIF('RAW DATA'!M:M,'RAW DATA'!B380, 'RAW DATA'!K:K)=0, "", SUMIF('RAW DATA'!M:M,'RAW DATA'!B380, 'RAW DATA'!K:K))</f>
        <v/>
      </c>
      <c r="J380" s="29" t="str">
        <f>IF('RAW DATA'!B380&lt;&gt;"",IF(OR('RAW DATA'!H380=1,'RAW DATA'!H380=2),1,IF(ISNUMBER(FIND("Medic",'RAW DATA'!E380)),1,"")),"")</f>
        <v/>
      </c>
      <c r="K380" s="29" t="str">
        <f>IF(AND('RAW DATA'!$B380&lt;&gt;"",'RAW DATA'!L380=1),1,"")</f>
        <v/>
      </c>
      <c r="L380" s="24" t="str">
        <f t="shared" si="11"/>
        <v/>
      </c>
    </row>
    <row r="381" spans="2:12" x14ac:dyDescent="0.25">
      <c r="B381" s="1" t="str">
        <f>IF('RAW DATA'!$C383&lt;&gt;"",'RAW DATA'!$C383,"")</f>
        <v/>
      </c>
      <c r="C381" s="1" t="str">
        <f>IF('RAW DATA'!$D383&lt;&gt;"",'RAW DATA'!$D383,"")</f>
        <v/>
      </c>
      <c r="D381" s="1" t="str">
        <f>IF(AND($B380&lt;&gt;"", $B381=""), "TOTAL:", IF($D380="TOTAL:","VESSEL TARGET "&amp;'RAW DATA'!$E$2&amp;":",IF('RAW DATA'!$E381&lt;&gt;"",'RAW DATA'!$E381,"")))</f>
        <v/>
      </c>
      <c r="E381" s="29" t="str">
        <f t="shared" si="10"/>
        <v/>
      </c>
      <c r="F381" s="4" t="str">
        <f>IF($D380="TOTAL:",FIXED(ROUND(((SUM($F$4:$F379)/'RAW DATA'!$E$2)*100),1),1)&amp;"%",IF($D381="TOTAL:",SUM($F$4:$F380),IF(SUMIF('RAW DATA'!M:M,'RAW DATA'!B381,'RAW DATA'!H:H)=0,"",SUMIF('RAW DATA'!M:M,'RAW DATA'!B381,'RAW DATA'!H:H))))</f>
        <v/>
      </c>
      <c r="G381" s="4" t="str">
        <f>IF($D380="TOTAL:",FIXED(ROUND(((SUM($G$4:$G379)/'RAW DATA'!$E$2)*100),1),1)&amp;"%",IF($D381="TOTAL:",SUM($G$4:$G380),IF(SUMIF('RAW DATA'!M:M,'RAW DATA'!B381,'RAW DATA'!I:I)=0,"",SUMIF('RAW DATA'!M:M,'RAW DATA'!B381,'RAW DATA'!I:I))))</f>
        <v/>
      </c>
      <c r="H381" s="4" t="str">
        <f>IF(SUM(SUMIF('RAW DATA'!M:M,'RAW DATA'!B381,'RAW DATA'!J:J),SUMIF('RAW DATA'!N:N,'RAW DATA'!B381,'RAW DATA'!J:J),SUMIF('RAW DATA'!O:O,'RAW DATA'!B381,'RAW DATA'!J:J),SUMIF('RAW DATA'!P:P,'RAW DATA'!B381,'RAW DATA'!J:J))=0, "", SUM(SUMIF('RAW DATA'!M:M,'RAW DATA'!B381,'RAW DATA'!J:J),SUMIF('RAW DATA'!N:N,'RAW DATA'!B381,'RAW DATA'!J:J),SUMIF('RAW DATA'!O:O,'RAW DATA'!B381,'RAW DATA'!J:J),SUMIF('RAW DATA'!P:P,'RAW DATA'!B381,'RAW DATA'!J:J)))</f>
        <v/>
      </c>
      <c r="I381" s="4" t="str">
        <f>IF(SUMIF('RAW DATA'!M:M,'RAW DATA'!B381, 'RAW DATA'!K:K)=0, "", SUMIF('RAW DATA'!M:M,'RAW DATA'!B381, 'RAW DATA'!K:K))</f>
        <v/>
      </c>
      <c r="J381" s="29" t="str">
        <f>IF('RAW DATA'!B381&lt;&gt;"",IF(OR('RAW DATA'!H381=1,'RAW DATA'!H381=2),1,IF(ISNUMBER(FIND("Medic",'RAW DATA'!E381)),1,"")),"")</f>
        <v/>
      </c>
      <c r="K381" s="29" t="str">
        <f>IF(AND('RAW DATA'!$B381&lt;&gt;"",'RAW DATA'!L381=1),1,"")</f>
        <v/>
      </c>
      <c r="L381" s="24" t="str">
        <f t="shared" si="11"/>
        <v/>
      </c>
    </row>
    <row r="382" spans="2:12" x14ac:dyDescent="0.25">
      <c r="B382" s="1" t="str">
        <f>IF('RAW DATA'!$C384&lt;&gt;"",'RAW DATA'!$C384,"")</f>
        <v/>
      </c>
      <c r="C382" s="1" t="str">
        <f>IF('RAW DATA'!$D384&lt;&gt;"",'RAW DATA'!$D384,"")</f>
        <v/>
      </c>
      <c r="D382" s="1" t="str">
        <f>IF(AND($B381&lt;&gt;"", $B382=""), "TOTAL:", IF($D381="TOTAL:","VESSEL TARGET "&amp;'RAW DATA'!$E$2&amp;":",IF('RAW DATA'!$E382&lt;&gt;"",'RAW DATA'!$E382,"")))</f>
        <v/>
      </c>
      <c r="E382" s="29" t="str">
        <f t="shared" si="10"/>
        <v/>
      </c>
      <c r="F382" s="4" t="str">
        <f>IF($D381="TOTAL:",FIXED(ROUND(((SUM($F$4:$F380)/'RAW DATA'!$E$2)*100),1),1)&amp;"%",IF($D382="TOTAL:",SUM($F$4:$F381),IF(SUMIF('RAW DATA'!M:M,'RAW DATA'!B382,'RAW DATA'!H:H)=0,"",SUMIF('RAW DATA'!M:M,'RAW DATA'!B382,'RAW DATA'!H:H))))</f>
        <v/>
      </c>
      <c r="G382" s="4" t="str">
        <f>IF($D381="TOTAL:",FIXED(ROUND(((SUM($G$4:$G380)/'RAW DATA'!$E$2)*100),1),1)&amp;"%",IF($D382="TOTAL:",SUM($G$4:$G381),IF(SUMIF('RAW DATA'!M:M,'RAW DATA'!B382,'RAW DATA'!I:I)=0,"",SUMIF('RAW DATA'!M:M,'RAW DATA'!B382,'RAW DATA'!I:I))))</f>
        <v/>
      </c>
      <c r="H382" s="4" t="str">
        <f>IF(SUM(SUMIF('RAW DATA'!M:M,'RAW DATA'!B382,'RAW DATA'!J:J),SUMIF('RAW DATA'!N:N,'RAW DATA'!B382,'RAW DATA'!J:J),SUMIF('RAW DATA'!O:O,'RAW DATA'!B382,'RAW DATA'!J:J),SUMIF('RAW DATA'!P:P,'RAW DATA'!B382,'RAW DATA'!J:J))=0, "", SUM(SUMIF('RAW DATA'!M:M,'RAW DATA'!B382,'RAW DATA'!J:J),SUMIF('RAW DATA'!N:N,'RAW DATA'!B382,'RAW DATA'!J:J),SUMIF('RAW DATA'!O:O,'RAW DATA'!B382,'RAW DATA'!J:J),SUMIF('RAW DATA'!P:P,'RAW DATA'!B382,'RAW DATA'!J:J)))</f>
        <v/>
      </c>
      <c r="I382" s="4" t="str">
        <f>IF(SUMIF('RAW DATA'!M:M,'RAW DATA'!B382, 'RAW DATA'!K:K)=0, "", SUMIF('RAW DATA'!M:M,'RAW DATA'!B382, 'RAW DATA'!K:K))</f>
        <v/>
      </c>
      <c r="J382" s="29" t="str">
        <f>IF('RAW DATA'!B382&lt;&gt;"",IF(OR('RAW DATA'!H382=1,'RAW DATA'!H382=2),1,IF(ISNUMBER(FIND("Medic",'RAW DATA'!E382)),1,"")),"")</f>
        <v/>
      </c>
      <c r="K382" s="29" t="str">
        <f>IF(AND('RAW DATA'!$B382&lt;&gt;"",'RAW DATA'!L382=1),1,"")</f>
        <v/>
      </c>
      <c r="L382" s="24" t="str">
        <f t="shared" si="11"/>
        <v/>
      </c>
    </row>
    <row r="383" spans="2:12" x14ac:dyDescent="0.25">
      <c r="B383" s="1" t="str">
        <f>IF('RAW DATA'!$C385&lt;&gt;"",'RAW DATA'!$C385,"")</f>
        <v/>
      </c>
      <c r="C383" s="1" t="str">
        <f>IF('RAW DATA'!$D385&lt;&gt;"",'RAW DATA'!$D385,"")</f>
        <v/>
      </c>
      <c r="D383" s="1" t="str">
        <f>IF(AND($B382&lt;&gt;"", $B383=""), "TOTAL:", IF($D382="TOTAL:","VESSEL TARGET "&amp;'RAW DATA'!$E$2&amp;":",IF('RAW DATA'!$E383&lt;&gt;"",'RAW DATA'!$E383,"")))</f>
        <v/>
      </c>
      <c r="E383" s="29" t="str">
        <f t="shared" si="10"/>
        <v/>
      </c>
      <c r="F383" s="4" t="str">
        <f>IF($D382="TOTAL:",FIXED(ROUND(((SUM($F$4:$F381)/'RAW DATA'!$E$2)*100),1),1)&amp;"%",IF($D383="TOTAL:",SUM($F$4:$F382),IF(SUMIF('RAW DATA'!M:M,'RAW DATA'!B383,'RAW DATA'!H:H)=0,"",SUMIF('RAW DATA'!M:M,'RAW DATA'!B383,'RAW DATA'!H:H))))</f>
        <v/>
      </c>
      <c r="G383" s="4" t="str">
        <f>IF($D382="TOTAL:",FIXED(ROUND(((SUM($G$4:$G381)/'RAW DATA'!$E$2)*100),1),1)&amp;"%",IF($D383="TOTAL:",SUM($G$4:$G382),IF(SUMIF('RAW DATA'!M:M,'RAW DATA'!B383,'RAW DATA'!I:I)=0,"",SUMIF('RAW DATA'!M:M,'RAW DATA'!B383,'RAW DATA'!I:I))))</f>
        <v/>
      </c>
      <c r="H383" s="4" t="str">
        <f>IF(SUM(SUMIF('RAW DATA'!M:M,'RAW DATA'!B383,'RAW DATA'!J:J),SUMIF('RAW DATA'!N:N,'RAW DATA'!B383,'RAW DATA'!J:J),SUMIF('RAW DATA'!O:O,'RAW DATA'!B383,'RAW DATA'!J:J),SUMIF('RAW DATA'!P:P,'RAW DATA'!B383,'RAW DATA'!J:J))=0, "", SUM(SUMIF('RAW DATA'!M:M,'RAW DATA'!B383,'RAW DATA'!J:J),SUMIF('RAW DATA'!N:N,'RAW DATA'!B383,'RAW DATA'!J:J),SUMIF('RAW DATA'!O:O,'RAW DATA'!B383,'RAW DATA'!J:J),SUMIF('RAW DATA'!P:P,'RAW DATA'!B383,'RAW DATA'!J:J)))</f>
        <v/>
      </c>
      <c r="I383" s="4" t="str">
        <f>IF(SUMIF('RAW DATA'!M:M,'RAW DATA'!B383, 'RAW DATA'!K:K)=0, "", SUMIF('RAW DATA'!M:M,'RAW DATA'!B383, 'RAW DATA'!K:K))</f>
        <v/>
      </c>
      <c r="J383" s="29" t="str">
        <f>IF('RAW DATA'!B383&lt;&gt;"",IF(OR('RAW DATA'!H383=1,'RAW DATA'!H383=2),1,IF(ISNUMBER(FIND("Medic",'RAW DATA'!E383)),1,"")),"")</f>
        <v/>
      </c>
      <c r="K383" s="29" t="str">
        <f>IF(AND('RAW DATA'!$B383&lt;&gt;"",'RAW DATA'!L383=1),1,"")</f>
        <v/>
      </c>
      <c r="L383" s="24" t="str">
        <f t="shared" si="11"/>
        <v/>
      </c>
    </row>
    <row r="384" spans="2:12" x14ac:dyDescent="0.25">
      <c r="B384" s="1" t="str">
        <f>IF('RAW DATA'!$C386&lt;&gt;"",'RAW DATA'!$C386,"")</f>
        <v/>
      </c>
      <c r="C384" s="1" t="str">
        <f>IF('RAW DATA'!$D386&lt;&gt;"",'RAW DATA'!$D386,"")</f>
        <v/>
      </c>
      <c r="D384" s="1" t="str">
        <f>IF(AND($B383&lt;&gt;"", $B384=""), "TOTAL:", IF($D383="TOTAL:","VESSEL TARGET "&amp;'RAW DATA'!$E$2&amp;":",IF('RAW DATA'!$E384&lt;&gt;"",'RAW DATA'!$E384,"")))</f>
        <v/>
      </c>
      <c r="E384" s="29" t="str">
        <f t="shared" si="10"/>
        <v/>
      </c>
      <c r="F384" s="4" t="str">
        <f>IF($D383="TOTAL:",FIXED(ROUND(((SUM($F$4:$F382)/'RAW DATA'!$E$2)*100),1),1)&amp;"%",IF($D384="TOTAL:",SUM($F$4:$F383),IF(SUMIF('RAW DATA'!M:M,'RAW DATA'!B384,'RAW DATA'!H:H)=0,"",SUMIF('RAW DATA'!M:M,'RAW DATA'!B384,'RAW DATA'!H:H))))</f>
        <v/>
      </c>
      <c r="G384" s="4" t="str">
        <f>IF($D383="TOTAL:",FIXED(ROUND(((SUM($G$4:$G382)/'RAW DATA'!$E$2)*100),1),1)&amp;"%",IF($D384="TOTAL:",SUM($G$4:$G383),IF(SUMIF('RAW DATA'!M:M,'RAW DATA'!B384,'RAW DATA'!I:I)=0,"",SUMIF('RAW DATA'!M:M,'RAW DATA'!B384,'RAW DATA'!I:I))))</f>
        <v/>
      </c>
      <c r="H384" s="4" t="str">
        <f>IF(SUM(SUMIF('RAW DATA'!M:M,'RAW DATA'!B384,'RAW DATA'!J:J),SUMIF('RAW DATA'!N:N,'RAW DATA'!B384,'RAW DATA'!J:J),SUMIF('RAW DATA'!O:O,'RAW DATA'!B384,'RAW DATA'!J:J),SUMIF('RAW DATA'!P:P,'RAW DATA'!B384,'RAW DATA'!J:J))=0, "", SUM(SUMIF('RAW DATA'!M:M,'RAW DATA'!B384,'RAW DATA'!J:J),SUMIF('RAW DATA'!N:N,'RAW DATA'!B384,'RAW DATA'!J:J),SUMIF('RAW DATA'!O:O,'RAW DATA'!B384,'RAW DATA'!J:J),SUMIF('RAW DATA'!P:P,'RAW DATA'!B384,'RAW DATA'!J:J)))</f>
        <v/>
      </c>
      <c r="I384" s="4" t="str">
        <f>IF(SUMIF('RAW DATA'!M:M,'RAW DATA'!B384, 'RAW DATA'!K:K)=0, "", SUMIF('RAW DATA'!M:M,'RAW DATA'!B384, 'RAW DATA'!K:K))</f>
        <v/>
      </c>
      <c r="J384" s="29" t="str">
        <f>IF('RAW DATA'!B384&lt;&gt;"",IF(OR('RAW DATA'!H384=1,'RAW DATA'!H384=2),1,IF(ISNUMBER(FIND("Medic",'RAW DATA'!E384)),1,"")),"")</f>
        <v/>
      </c>
      <c r="K384" s="29" t="str">
        <f>IF(AND('RAW DATA'!$B384&lt;&gt;"",'RAW DATA'!L384=1),1,"")</f>
        <v/>
      </c>
      <c r="L384" s="24" t="str">
        <f t="shared" si="11"/>
        <v/>
      </c>
    </row>
    <row r="385" spans="2:12" x14ac:dyDescent="0.25">
      <c r="B385" s="1" t="str">
        <f>IF('RAW DATA'!$C387&lt;&gt;"",'RAW DATA'!$C387,"")</f>
        <v/>
      </c>
      <c r="C385" s="1" t="str">
        <f>IF('RAW DATA'!$D387&lt;&gt;"",'RAW DATA'!$D387,"")</f>
        <v/>
      </c>
      <c r="D385" s="1" t="str">
        <f>IF(AND($B384&lt;&gt;"", $B385=""), "TOTAL:", IF($D384="TOTAL:","VESSEL TARGET "&amp;'RAW DATA'!$E$2&amp;":",IF('RAW DATA'!$E385&lt;&gt;"",'RAW DATA'!$E385,"")))</f>
        <v/>
      </c>
      <c r="E385" s="29" t="str">
        <f t="shared" si="10"/>
        <v/>
      </c>
      <c r="F385" s="4" t="str">
        <f>IF($D384="TOTAL:",FIXED(ROUND(((SUM($F$4:$F383)/'RAW DATA'!$E$2)*100),1),1)&amp;"%",IF($D385="TOTAL:",SUM($F$4:$F384),IF(SUMIF('RAW DATA'!M:M,'RAW DATA'!B385,'RAW DATA'!H:H)=0,"",SUMIF('RAW DATA'!M:M,'RAW DATA'!B385,'RAW DATA'!H:H))))</f>
        <v/>
      </c>
      <c r="G385" s="4" t="str">
        <f>IF($D384="TOTAL:",FIXED(ROUND(((SUM($G$4:$G383)/'RAW DATA'!$E$2)*100),1),1)&amp;"%",IF($D385="TOTAL:",SUM($G$4:$G384),IF(SUMIF('RAW DATA'!M:M,'RAW DATA'!B385,'RAW DATA'!I:I)=0,"",SUMIF('RAW DATA'!M:M,'RAW DATA'!B385,'RAW DATA'!I:I))))</f>
        <v/>
      </c>
      <c r="H385" s="4" t="str">
        <f>IF(SUM(SUMIF('RAW DATA'!M:M,'RAW DATA'!B385,'RAW DATA'!J:J),SUMIF('RAW DATA'!N:N,'RAW DATA'!B385,'RAW DATA'!J:J),SUMIF('RAW DATA'!O:O,'RAW DATA'!B385,'RAW DATA'!J:J),SUMIF('RAW DATA'!P:P,'RAW DATA'!B385,'RAW DATA'!J:J))=0, "", SUM(SUMIF('RAW DATA'!M:M,'RAW DATA'!B385,'RAW DATA'!J:J),SUMIF('RAW DATA'!N:N,'RAW DATA'!B385,'RAW DATA'!J:J),SUMIF('RAW DATA'!O:O,'RAW DATA'!B385,'RAW DATA'!J:J),SUMIF('RAW DATA'!P:P,'RAW DATA'!B385,'RAW DATA'!J:J)))</f>
        <v/>
      </c>
      <c r="I385" s="4" t="str">
        <f>IF(SUMIF('RAW DATA'!M:M,'RAW DATA'!B385, 'RAW DATA'!K:K)=0, "", SUMIF('RAW DATA'!M:M,'RAW DATA'!B385, 'RAW DATA'!K:K))</f>
        <v/>
      </c>
      <c r="J385" s="29" t="str">
        <f>IF('RAW DATA'!B385&lt;&gt;"",IF(OR('RAW DATA'!H385=1,'RAW DATA'!H385=2),1,IF(ISNUMBER(FIND("Medic",'RAW DATA'!E385)),1,"")),"")</f>
        <v/>
      </c>
      <c r="K385" s="29" t="str">
        <f>IF(AND('RAW DATA'!$B385&lt;&gt;"",'RAW DATA'!L385=1),1,"")</f>
        <v/>
      </c>
      <c r="L385" s="24" t="str">
        <f t="shared" si="11"/>
        <v/>
      </c>
    </row>
    <row r="386" spans="2:12" x14ac:dyDescent="0.25">
      <c r="B386" s="1" t="str">
        <f>IF('RAW DATA'!$C388&lt;&gt;"",'RAW DATA'!$C388,"")</f>
        <v/>
      </c>
      <c r="C386" s="1" t="str">
        <f>IF('RAW DATA'!$D388&lt;&gt;"",'RAW DATA'!$D388,"")</f>
        <v/>
      </c>
      <c r="D386" s="1" t="str">
        <f>IF(AND($B385&lt;&gt;"", $B386=""), "TOTAL:", IF($D385="TOTAL:","VESSEL TARGET "&amp;'RAW DATA'!$E$2&amp;":",IF('RAW DATA'!$E386&lt;&gt;"",'RAW DATA'!$E386,"")))</f>
        <v/>
      </c>
      <c r="E386" s="29" t="str">
        <f t="shared" si="10"/>
        <v/>
      </c>
      <c r="F386" s="4" t="str">
        <f>IF($D385="TOTAL:",FIXED(ROUND(((SUM($F$4:$F384)/'RAW DATA'!$E$2)*100),1),1)&amp;"%",IF($D386="TOTAL:",SUM($F$4:$F385),IF(SUMIF('RAW DATA'!M:M,'RAW DATA'!B386,'RAW DATA'!H:H)=0,"",SUMIF('RAW DATA'!M:M,'RAW DATA'!B386,'RAW DATA'!H:H))))</f>
        <v/>
      </c>
      <c r="G386" s="4" t="str">
        <f>IF($D385="TOTAL:",FIXED(ROUND(((SUM($G$4:$G384)/'RAW DATA'!$E$2)*100),1),1)&amp;"%",IF($D386="TOTAL:",SUM($G$4:$G385),IF(SUMIF('RAW DATA'!M:M,'RAW DATA'!B386,'RAW DATA'!I:I)=0,"",SUMIF('RAW DATA'!M:M,'RAW DATA'!B386,'RAW DATA'!I:I))))</f>
        <v/>
      </c>
      <c r="H386" s="4" t="str">
        <f>IF(SUM(SUMIF('RAW DATA'!M:M,'RAW DATA'!B386,'RAW DATA'!J:J),SUMIF('RAW DATA'!N:N,'RAW DATA'!B386,'RAW DATA'!J:J),SUMIF('RAW DATA'!O:O,'RAW DATA'!B386,'RAW DATA'!J:J),SUMIF('RAW DATA'!P:P,'RAW DATA'!B386,'RAW DATA'!J:J))=0, "", SUM(SUMIF('RAW DATA'!M:M,'RAW DATA'!B386,'RAW DATA'!J:J),SUMIF('RAW DATA'!N:N,'RAW DATA'!B386,'RAW DATA'!J:J),SUMIF('RAW DATA'!O:O,'RAW DATA'!B386,'RAW DATA'!J:J),SUMIF('RAW DATA'!P:P,'RAW DATA'!B386,'RAW DATA'!J:J)))</f>
        <v/>
      </c>
      <c r="I386" s="4" t="str">
        <f>IF(SUMIF('RAW DATA'!M:M,'RAW DATA'!B386, 'RAW DATA'!K:K)=0, "", SUMIF('RAW DATA'!M:M,'RAW DATA'!B386, 'RAW DATA'!K:K))</f>
        <v/>
      </c>
      <c r="J386" s="29" t="str">
        <f>IF('RAW DATA'!B386&lt;&gt;"",IF(OR('RAW DATA'!H386=1,'RAW DATA'!H386=2),1,IF(ISNUMBER(FIND("Medic",'RAW DATA'!E386)),1,"")),"")</f>
        <v/>
      </c>
      <c r="K386" s="29" t="str">
        <f>IF(AND('RAW DATA'!$B386&lt;&gt;"",'RAW DATA'!L386=1),1,"")</f>
        <v/>
      </c>
      <c r="L386" s="24" t="str">
        <f t="shared" si="11"/>
        <v/>
      </c>
    </row>
    <row r="387" spans="2:12" x14ac:dyDescent="0.25">
      <c r="B387" s="1" t="str">
        <f>IF('RAW DATA'!$C389&lt;&gt;"",'RAW DATA'!$C389,"")</f>
        <v/>
      </c>
      <c r="C387" s="1" t="str">
        <f>IF('RAW DATA'!$D389&lt;&gt;"",'RAW DATA'!$D389,"")</f>
        <v/>
      </c>
      <c r="D387" s="1" t="str">
        <f>IF(AND($B386&lt;&gt;"", $B387=""), "TOTAL:", IF($D386="TOTAL:","VESSEL TARGET "&amp;'RAW DATA'!$E$2&amp;":",IF('RAW DATA'!$E387&lt;&gt;"",'RAW DATA'!$E387,"")))</f>
        <v/>
      </c>
      <c r="E387" s="29" t="str">
        <f t="shared" si="10"/>
        <v/>
      </c>
      <c r="F387" s="4" t="str">
        <f>IF($D386="TOTAL:",FIXED(ROUND(((SUM($F$4:$F385)/'RAW DATA'!$E$2)*100),1),1)&amp;"%",IF($D387="TOTAL:",SUM($F$4:$F386),IF(SUMIF('RAW DATA'!M:M,'RAW DATA'!B387,'RAW DATA'!H:H)=0,"",SUMIF('RAW DATA'!M:M,'RAW DATA'!B387,'RAW DATA'!H:H))))</f>
        <v/>
      </c>
      <c r="G387" s="4" t="str">
        <f>IF($D386="TOTAL:",FIXED(ROUND(((SUM($G$4:$G385)/'RAW DATA'!$E$2)*100),1),1)&amp;"%",IF($D387="TOTAL:",SUM($G$4:$G386),IF(SUMIF('RAW DATA'!M:M,'RAW DATA'!B387,'RAW DATA'!I:I)=0,"",SUMIF('RAW DATA'!M:M,'RAW DATA'!B387,'RAW DATA'!I:I))))</f>
        <v/>
      </c>
      <c r="H387" s="4" t="str">
        <f>IF(SUM(SUMIF('RAW DATA'!M:M,'RAW DATA'!B387,'RAW DATA'!J:J),SUMIF('RAW DATA'!N:N,'RAW DATA'!B387,'RAW DATA'!J:J),SUMIF('RAW DATA'!O:O,'RAW DATA'!B387,'RAW DATA'!J:J),SUMIF('RAW DATA'!P:P,'RAW DATA'!B387,'RAW DATA'!J:J))=0, "", SUM(SUMIF('RAW DATA'!M:M,'RAW DATA'!B387,'RAW DATA'!J:J),SUMIF('RAW DATA'!N:N,'RAW DATA'!B387,'RAW DATA'!J:J),SUMIF('RAW DATA'!O:O,'RAW DATA'!B387,'RAW DATA'!J:J),SUMIF('RAW DATA'!P:P,'RAW DATA'!B387,'RAW DATA'!J:J)))</f>
        <v/>
      </c>
      <c r="I387" s="4" t="str">
        <f>IF(SUMIF('RAW DATA'!M:M,'RAW DATA'!B387, 'RAW DATA'!K:K)=0, "", SUMIF('RAW DATA'!M:M,'RAW DATA'!B387, 'RAW DATA'!K:K))</f>
        <v/>
      </c>
      <c r="J387" s="29" t="str">
        <f>IF('RAW DATA'!B387&lt;&gt;"",IF(OR('RAW DATA'!H387=1,'RAW DATA'!H387=2),1,IF(ISNUMBER(FIND("Medic",'RAW DATA'!E387)),1,"")),"")</f>
        <v/>
      </c>
      <c r="K387" s="29" t="str">
        <f>IF(AND('RAW DATA'!$B387&lt;&gt;"",'RAW DATA'!L387=1),1,"")</f>
        <v/>
      </c>
      <c r="L387" s="24" t="str">
        <f t="shared" si="11"/>
        <v/>
      </c>
    </row>
    <row r="388" spans="2:12" x14ac:dyDescent="0.25">
      <c r="B388" s="1" t="str">
        <f>IF('RAW DATA'!$C390&lt;&gt;"",'RAW DATA'!$C390,"")</f>
        <v/>
      </c>
      <c r="C388" s="1" t="str">
        <f>IF('RAW DATA'!$D390&lt;&gt;"",'RAW DATA'!$D390,"")</f>
        <v/>
      </c>
      <c r="D388" s="1" t="str">
        <f>IF(AND($B387&lt;&gt;"", $B388=""), "TOTAL:", IF($D387="TOTAL:","VESSEL TARGET "&amp;'RAW DATA'!$E$2&amp;":",IF('RAW DATA'!$E388&lt;&gt;"",'RAW DATA'!$E388,"")))</f>
        <v/>
      </c>
      <c r="E388" s="29" t="str">
        <f t="shared" si="10"/>
        <v/>
      </c>
      <c r="F388" s="4" t="str">
        <f>IF($D387="TOTAL:",FIXED(ROUND(((SUM($F$4:$F386)/'RAW DATA'!$E$2)*100),1),1)&amp;"%",IF($D388="TOTAL:",SUM($F$4:$F387),IF(SUMIF('RAW DATA'!M:M,'RAW DATA'!B388,'RAW DATA'!H:H)=0,"",SUMIF('RAW DATA'!M:M,'RAW DATA'!B388,'RAW DATA'!H:H))))</f>
        <v/>
      </c>
      <c r="G388" s="4" t="str">
        <f>IF($D387="TOTAL:",FIXED(ROUND(((SUM($G$4:$G386)/'RAW DATA'!$E$2)*100),1),1)&amp;"%",IF($D388="TOTAL:",SUM($G$4:$G387),IF(SUMIF('RAW DATA'!M:M,'RAW DATA'!B388,'RAW DATA'!I:I)=0,"",SUMIF('RAW DATA'!M:M,'RAW DATA'!B388,'RAW DATA'!I:I))))</f>
        <v/>
      </c>
      <c r="H388" s="4" t="str">
        <f>IF(SUM(SUMIF('RAW DATA'!M:M,'RAW DATA'!B388,'RAW DATA'!J:J),SUMIF('RAW DATA'!N:N,'RAW DATA'!B388,'RAW DATA'!J:J),SUMIF('RAW DATA'!O:O,'RAW DATA'!B388,'RAW DATA'!J:J),SUMIF('RAW DATA'!P:P,'RAW DATA'!B388,'RAW DATA'!J:J))=0, "", SUM(SUMIF('RAW DATA'!M:M,'RAW DATA'!B388,'RAW DATA'!J:J),SUMIF('RAW DATA'!N:N,'RAW DATA'!B388,'RAW DATA'!J:J),SUMIF('RAW DATA'!O:O,'RAW DATA'!B388,'RAW DATA'!J:J),SUMIF('RAW DATA'!P:P,'RAW DATA'!B388,'RAW DATA'!J:J)))</f>
        <v/>
      </c>
      <c r="I388" s="4" t="str">
        <f>IF(SUMIF('RAW DATA'!M:M,'RAW DATA'!B388, 'RAW DATA'!K:K)=0, "", SUMIF('RAW DATA'!M:M,'RAW DATA'!B388, 'RAW DATA'!K:K))</f>
        <v/>
      </c>
      <c r="J388" s="29" t="str">
        <f>IF('RAW DATA'!B388&lt;&gt;"",IF(OR('RAW DATA'!H388=1,'RAW DATA'!H388=2),1,IF(ISNUMBER(FIND("Medic",'RAW DATA'!E388)),1,"")),"")</f>
        <v/>
      </c>
      <c r="K388" s="29" t="str">
        <f>IF(AND('RAW DATA'!$B388&lt;&gt;"",'RAW DATA'!L388=1),1,"")</f>
        <v/>
      </c>
      <c r="L388" s="24" t="str">
        <f t="shared" si="11"/>
        <v/>
      </c>
    </row>
    <row r="389" spans="2:12" x14ac:dyDescent="0.25">
      <c r="B389" s="1" t="str">
        <f>IF('RAW DATA'!$C391&lt;&gt;"",'RAW DATA'!$C391,"")</f>
        <v/>
      </c>
      <c r="C389" s="1" t="str">
        <f>IF('RAW DATA'!$D391&lt;&gt;"",'RAW DATA'!$D391,"")</f>
        <v/>
      </c>
      <c r="D389" s="1" t="str">
        <f>IF(AND($B388&lt;&gt;"", $B389=""), "TOTAL:", IF($D388="TOTAL:","VESSEL TARGET "&amp;'RAW DATA'!$E$2&amp;":",IF('RAW DATA'!$E389&lt;&gt;"",'RAW DATA'!$E389,"")))</f>
        <v/>
      </c>
      <c r="E389" s="29" t="str">
        <f t="shared" ref="E389:E452" si="12">IF(B389&lt;&gt;"",IF(SUM(FLOOR(SUM(F389)/3,1)*10,FLOOR(SUM(G389)/3,1)*10, IF(SUM(H389)&gt;=1,5,0), IF(SUM(I389)&gt;=2,5,0), IF(SUM(J389)&gt;=1,5,0), IF(SUM(K389)&gt;=1,15,0))&gt;0, SUM(FLOOR(SUM(F389)/3,1)*10,FLOOR(SUM(G389)/3,1)*10, IF(SUM(H389)&gt;=1,5,0), IF(SUM(I389)&gt;=2,5,0), IF(SUM(J389)&gt;=1,5,0), IF(SUM(K389)&gt;=1,15,0)),""),"")</f>
        <v/>
      </c>
      <c r="F389" s="4" t="str">
        <f>IF($D388="TOTAL:",FIXED(ROUND(((SUM($F$4:$F387)/'RAW DATA'!$E$2)*100),1),1)&amp;"%",IF($D389="TOTAL:",SUM($F$4:$F388),IF(SUMIF('RAW DATA'!M:M,'RAW DATA'!B389,'RAW DATA'!H:H)=0,"",SUMIF('RAW DATA'!M:M,'RAW DATA'!B389,'RAW DATA'!H:H))))</f>
        <v/>
      </c>
      <c r="G389" s="4" t="str">
        <f>IF($D388="TOTAL:",FIXED(ROUND(((SUM($G$4:$G387)/'RAW DATA'!$E$2)*100),1),1)&amp;"%",IF($D389="TOTAL:",SUM($G$4:$G388),IF(SUMIF('RAW DATA'!M:M,'RAW DATA'!B389,'RAW DATA'!I:I)=0,"",SUMIF('RAW DATA'!M:M,'RAW DATA'!B389,'RAW DATA'!I:I))))</f>
        <v/>
      </c>
      <c r="H389" s="4" t="str">
        <f>IF(SUM(SUMIF('RAW DATA'!M:M,'RAW DATA'!B389,'RAW DATA'!J:J),SUMIF('RAW DATA'!N:N,'RAW DATA'!B389,'RAW DATA'!J:J),SUMIF('RAW DATA'!O:O,'RAW DATA'!B389,'RAW DATA'!J:J),SUMIF('RAW DATA'!P:P,'RAW DATA'!B389,'RAW DATA'!J:J))=0, "", SUM(SUMIF('RAW DATA'!M:M,'RAW DATA'!B389,'RAW DATA'!J:J),SUMIF('RAW DATA'!N:N,'RAW DATA'!B389,'RAW DATA'!J:J),SUMIF('RAW DATA'!O:O,'RAW DATA'!B389,'RAW DATA'!J:J),SUMIF('RAW DATA'!P:P,'RAW DATA'!B389,'RAW DATA'!J:J)))</f>
        <v/>
      </c>
      <c r="I389" s="4" t="str">
        <f>IF(SUMIF('RAW DATA'!M:M,'RAW DATA'!B389, 'RAW DATA'!K:K)=0, "", SUMIF('RAW DATA'!M:M,'RAW DATA'!B389, 'RAW DATA'!K:K))</f>
        <v/>
      </c>
      <c r="J389" s="29" t="str">
        <f>IF('RAW DATA'!B389&lt;&gt;"",IF(OR('RAW DATA'!H389=1,'RAW DATA'!H389=2),1,IF(ISNUMBER(FIND("Medic",'RAW DATA'!E389)),1,"")),"")</f>
        <v/>
      </c>
      <c r="K389" s="29" t="str">
        <f>IF(AND('RAW DATA'!$B389&lt;&gt;"",'RAW DATA'!L389=1),1,"")</f>
        <v/>
      </c>
      <c r="L389" s="24" t="str">
        <f t="shared" ref="L389:L452" si="13">IF(OR($B389="", $F389="",$G389=""),"",IF(AND($F389&gt;=2,$G389&gt;=2),1,""))</f>
        <v/>
      </c>
    </row>
    <row r="390" spans="2:12" x14ac:dyDescent="0.25">
      <c r="B390" s="1" t="str">
        <f>IF('RAW DATA'!$C392&lt;&gt;"",'RAW DATA'!$C392,"")</f>
        <v/>
      </c>
      <c r="C390" s="1" t="str">
        <f>IF('RAW DATA'!$D392&lt;&gt;"",'RAW DATA'!$D392,"")</f>
        <v/>
      </c>
      <c r="D390" s="1" t="str">
        <f>IF(AND($B389&lt;&gt;"", $B390=""), "TOTAL:", IF($D389="TOTAL:","VESSEL TARGET "&amp;'RAW DATA'!$E$2&amp;":",IF('RAW DATA'!$E390&lt;&gt;"",'RAW DATA'!$E390,"")))</f>
        <v/>
      </c>
      <c r="E390" s="29" t="str">
        <f t="shared" si="12"/>
        <v/>
      </c>
      <c r="F390" s="4" t="str">
        <f>IF($D389="TOTAL:",FIXED(ROUND(((SUM($F$4:$F388)/'RAW DATA'!$E$2)*100),1),1)&amp;"%",IF($D390="TOTAL:",SUM($F$4:$F389),IF(SUMIF('RAW DATA'!M:M,'RAW DATA'!B390,'RAW DATA'!H:H)=0,"",SUMIF('RAW DATA'!M:M,'RAW DATA'!B390,'RAW DATA'!H:H))))</f>
        <v/>
      </c>
      <c r="G390" s="4" t="str">
        <f>IF($D389="TOTAL:",FIXED(ROUND(((SUM($G$4:$G388)/'RAW DATA'!$E$2)*100),1),1)&amp;"%",IF($D390="TOTAL:",SUM($G$4:$G389),IF(SUMIF('RAW DATA'!M:M,'RAW DATA'!B390,'RAW DATA'!I:I)=0,"",SUMIF('RAW DATA'!M:M,'RAW DATA'!B390,'RAW DATA'!I:I))))</f>
        <v/>
      </c>
      <c r="H390" s="4" t="str">
        <f>IF(SUM(SUMIF('RAW DATA'!M:M,'RAW DATA'!B390,'RAW DATA'!J:J),SUMIF('RAW DATA'!N:N,'RAW DATA'!B390,'RAW DATA'!J:J),SUMIF('RAW DATA'!O:O,'RAW DATA'!B390,'RAW DATA'!J:J),SUMIF('RAW DATA'!P:P,'RAW DATA'!B390,'RAW DATA'!J:J))=0, "", SUM(SUMIF('RAW DATA'!M:M,'RAW DATA'!B390,'RAW DATA'!J:J),SUMIF('RAW DATA'!N:N,'RAW DATA'!B390,'RAW DATA'!J:J),SUMIF('RAW DATA'!O:O,'RAW DATA'!B390,'RAW DATA'!J:J),SUMIF('RAW DATA'!P:P,'RAW DATA'!B390,'RAW DATA'!J:J)))</f>
        <v/>
      </c>
      <c r="I390" s="4" t="str">
        <f>IF(SUMIF('RAW DATA'!M:M,'RAW DATA'!B390, 'RAW DATA'!K:K)=0, "", SUMIF('RAW DATA'!M:M,'RAW DATA'!B390, 'RAW DATA'!K:K))</f>
        <v/>
      </c>
      <c r="J390" s="29" t="str">
        <f>IF('RAW DATA'!B390&lt;&gt;"",IF(OR('RAW DATA'!H390=1,'RAW DATA'!H390=2),1,IF(ISNUMBER(FIND("Medic",'RAW DATA'!E390)),1,"")),"")</f>
        <v/>
      </c>
      <c r="K390" s="29" t="str">
        <f>IF(AND('RAW DATA'!$B390&lt;&gt;"",'RAW DATA'!L390=1),1,"")</f>
        <v/>
      </c>
      <c r="L390" s="24" t="str">
        <f t="shared" si="13"/>
        <v/>
      </c>
    </row>
    <row r="391" spans="2:12" x14ac:dyDescent="0.25">
      <c r="B391" s="1" t="str">
        <f>IF('RAW DATA'!$C393&lt;&gt;"",'RAW DATA'!$C393,"")</f>
        <v/>
      </c>
      <c r="C391" s="1" t="str">
        <f>IF('RAW DATA'!$D393&lt;&gt;"",'RAW DATA'!$D393,"")</f>
        <v/>
      </c>
      <c r="D391" s="1" t="str">
        <f>IF(AND($B390&lt;&gt;"", $B391=""), "TOTAL:", IF($D390="TOTAL:","VESSEL TARGET "&amp;'RAW DATA'!$E$2&amp;":",IF('RAW DATA'!$E391&lt;&gt;"",'RAW DATA'!$E391,"")))</f>
        <v/>
      </c>
      <c r="E391" s="29" t="str">
        <f t="shared" si="12"/>
        <v/>
      </c>
      <c r="F391" s="4" t="str">
        <f>IF($D390="TOTAL:",FIXED(ROUND(((SUM($F$4:$F389)/'RAW DATA'!$E$2)*100),1),1)&amp;"%",IF($D391="TOTAL:",SUM($F$4:$F390),IF(SUMIF('RAW DATA'!M:M,'RAW DATA'!B391,'RAW DATA'!H:H)=0,"",SUMIF('RAW DATA'!M:M,'RAW DATA'!B391,'RAW DATA'!H:H))))</f>
        <v/>
      </c>
      <c r="G391" s="4" t="str">
        <f>IF($D390="TOTAL:",FIXED(ROUND(((SUM($G$4:$G389)/'RAW DATA'!$E$2)*100),1),1)&amp;"%",IF($D391="TOTAL:",SUM($G$4:$G390),IF(SUMIF('RAW DATA'!M:M,'RAW DATA'!B391,'RAW DATA'!I:I)=0,"",SUMIF('RAW DATA'!M:M,'RAW DATA'!B391,'RAW DATA'!I:I))))</f>
        <v/>
      </c>
      <c r="H391" s="4" t="str">
        <f>IF(SUM(SUMIF('RAW DATA'!M:M,'RAW DATA'!B391,'RAW DATA'!J:J),SUMIF('RAW DATA'!N:N,'RAW DATA'!B391,'RAW DATA'!J:J),SUMIF('RAW DATA'!O:O,'RAW DATA'!B391,'RAW DATA'!J:J),SUMIF('RAW DATA'!P:P,'RAW DATA'!B391,'RAW DATA'!J:J))=0, "", SUM(SUMIF('RAW DATA'!M:M,'RAW DATA'!B391,'RAW DATA'!J:J),SUMIF('RAW DATA'!N:N,'RAW DATA'!B391,'RAW DATA'!J:J),SUMIF('RAW DATA'!O:O,'RAW DATA'!B391,'RAW DATA'!J:J),SUMIF('RAW DATA'!P:P,'RAW DATA'!B391,'RAW DATA'!J:J)))</f>
        <v/>
      </c>
      <c r="I391" s="4" t="str">
        <f>IF(SUMIF('RAW DATA'!M:M,'RAW DATA'!B391, 'RAW DATA'!K:K)=0, "", SUMIF('RAW DATA'!M:M,'RAW DATA'!B391, 'RAW DATA'!K:K))</f>
        <v/>
      </c>
      <c r="J391" s="29" t="str">
        <f>IF('RAW DATA'!B391&lt;&gt;"",IF(OR('RAW DATA'!H391=1,'RAW DATA'!H391=2),1,IF(ISNUMBER(FIND("Medic",'RAW DATA'!E391)),1,"")),"")</f>
        <v/>
      </c>
      <c r="K391" s="29" t="str">
        <f>IF(AND('RAW DATA'!$B391&lt;&gt;"",'RAW DATA'!L391=1),1,"")</f>
        <v/>
      </c>
      <c r="L391" s="24" t="str">
        <f t="shared" si="13"/>
        <v/>
      </c>
    </row>
    <row r="392" spans="2:12" x14ac:dyDescent="0.25">
      <c r="B392" s="1" t="str">
        <f>IF('RAW DATA'!$C394&lt;&gt;"",'RAW DATA'!$C394,"")</f>
        <v/>
      </c>
      <c r="C392" s="1" t="str">
        <f>IF('RAW DATA'!$D394&lt;&gt;"",'RAW DATA'!$D394,"")</f>
        <v/>
      </c>
      <c r="D392" s="1" t="str">
        <f>IF(AND($B391&lt;&gt;"", $B392=""), "TOTAL:", IF($D391="TOTAL:","VESSEL TARGET "&amp;'RAW DATA'!$E$2&amp;":",IF('RAW DATA'!$E392&lt;&gt;"",'RAW DATA'!$E392,"")))</f>
        <v/>
      </c>
      <c r="E392" s="29" t="str">
        <f t="shared" si="12"/>
        <v/>
      </c>
      <c r="F392" s="4" t="str">
        <f>IF($D391="TOTAL:",FIXED(ROUND(((SUM($F$4:$F390)/'RAW DATA'!$E$2)*100),1),1)&amp;"%",IF($D392="TOTAL:",SUM($F$4:$F391),IF(SUMIF('RAW DATA'!M:M,'RAW DATA'!B392,'RAW DATA'!H:H)=0,"",SUMIF('RAW DATA'!M:M,'RAW DATA'!B392,'RAW DATA'!H:H))))</f>
        <v/>
      </c>
      <c r="G392" s="4" t="str">
        <f>IF($D391="TOTAL:",FIXED(ROUND(((SUM($G$4:$G390)/'RAW DATA'!$E$2)*100),1),1)&amp;"%",IF($D392="TOTAL:",SUM($G$4:$G391),IF(SUMIF('RAW DATA'!M:M,'RAW DATA'!B392,'RAW DATA'!I:I)=0,"",SUMIF('RAW DATA'!M:M,'RAW DATA'!B392,'RAW DATA'!I:I))))</f>
        <v/>
      </c>
      <c r="H392" s="4" t="str">
        <f>IF(SUM(SUMIF('RAW DATA'!M:M,'RAW DATA'!B392,'RAW DATA'!J:J),SUMIF('RAW DATA'!N:N,'RAW DATA'!B392,'RAW DATA'!J:J),SUMIF('RAW DATA'!O:O,'RAW DATA'!B392,'RAW DATA'!J:J),SUMIF('RAW DATA'!P:P,'RAW DATA'!B392,'RAW DATA'!J:J))=0, "", SUM(SUMIF('RAW DATA'!M:M,'RAW DATA'!B392,'RAW DATA'!J:J),SUMIF('RAW DATA'!N:N,'RAW DATA'!B392,'RAW DATA'!J:J),SUMIF('RAW DATA'!O:O,'RAW DATA'!B392,'RAW DATA'!J:J),SUMIF('RAW DATA'!P:P,'RAW DATA'!B392,'RAW DATA'!J:J)))</f>
        <v/>
      </c>
      <c r="I392" s="4" t="str">
        <f>IF(SUMIF('RAW DATA'!M:M,'RAW DATA'!B392, 'RAW DATA'!K:K)=0, "", SUMIF('RAW DATA'!M:M,'RAW DATA'!B392, 'RAW DATA'!K:K))</f>
        <v/>
      </c>
      <c r="J392" s="29" t="str">
        <f>IF('RAW DATA'!B392&lt;&gt;"",IF(OR('RAW DATA'!H392=1,'RAW DATA'!H392=2),1,IF(ISNUMBER(FIND("Medic",'RAW DATA'!E392)),1,"")),"")</f>
        <v/>
      </c>
      <c r="K392" s="29" t="str">
        <f>IF(AND('RAW DATA'!$B392&lt;&gt;"",'RAW DATA'!L392=1),1,"")</f>
        <v/>
      </c>
      <c r="L392" s="24" t="str">
        <f t="shared" si="13"/>
        <v/>
      </c>
    </row>
    <row r="393" spans="2:12" x14ac:dyDescent="0.25">
      <c r="B393" s="1" t="str">
        <f>IF('RAW DATA'!$C395&lt;&gt;"",'RAW DATA'!$C395,"")</f>
        <v/>
      </c>
      <c r="C393" s="1" t="str">
        <f>IF('RAW DATA'!$D395&lt;&gt;"",'RAW DATA'!$D395,"")</f>
        <v/>
      </c>
      <c r="D393" s="1" t="str">
        <f>IF(AND($B392&lt;&gt;"", $B393=""), "TOTAL:", IF($D392="TOTAL:","VESSEL TARGET "&amp;'RAW DATA'!$E$2&amp;":",IF('RAW DATA'!$E393&lt;&gt;"",'RAW DATA'!$E393,"")))</f>
        <v/>
      </c>
      <c r="E393" s="29" t="str">
        <f t="shared" si="12"/>
        <v/>
      </c>
      <c r="F393" s="4" t="str">
        <f>IF($D392="TOTAL:",FIXED(ROUND(((SUM($F$4:$F391)/'RAW DATA'!$E$2)*100),1),1)&amp;"%",IF($D393="TOTAL:",SUM($F$4:$F392),IF(SUMIF('RAW DATA'!M:M,'RAW DATA'!B393,'RAW DATA'!H:H)=0,"",SUMIF('RAW DATA'!M:M,'RAW DATA'!B393,'RAW DATA'!H:H))))</f>
        <v/>
      </c>
      <c r="G393" s="4" t="str">
        <f>IF($D392="TOTAL:",FIXED(ROUND(((SUM($G$4:$G391)/'RAW DATA'!$E$2)*100),1),1)&amp;"%",IF($D393="TOTAL:",SUM($G$4:$G392),IF(SUMIF('RAW DATA'!M:M,'RAW DATA'!B393,'RAW DATA'!I:I)=0,"",SUMIF('RAW DATA'!M:M,'RAW DATA'!B393,'RAW DATA'!I:I))))</f>
        <v/>
      </c>
      <c r="H393" s="4" t="str">
        <f>IF(SUM(SUMIF('RAW DATA'!M:M,'RAW DATA'!B393,'RAW DATA'!J:J),SUMIF('RAW DATA'!N:N,'RAW DATA'!B393,'RAW DATA'!J:J),SUMIF('RAW DATA'!O:O,'RAW DATA'!B393,'RAW DATA'!J:J),SUMIF('RAW DATA'!P:P,'RAW DATA'!B393,'RAW DATA'!J:J))=0, "", SUM(SUMIF('RAW DATA'!M:M,'RAW DATA'!B393,'RAW DATA'!J:J),SUMIF('RAW DATA'!N:N,'RAW DATA'!B393,'RAW DATA'!J:J),SUMIF('RAW DATA'!O:O,'RAW DATA'!B393,'RAW DATA'!J:J),SUMIF('RAW DATA'!P:P,'RAW DATA'!B393,'RAW DATA'!J:J)))</f>
        <v/>
      </c>
      <c r="I393" s="4" t="str">
        <f>IF(SUMIF('RAW DATA'!M:M,'RAW DATA'!B393, 'RAW DATA'!K:K)=0, "", SUMIF('RAW DATA'!M:M,'RAW DATA'!B393, 'RAW DATA'!K:K))</f>
        <v/>
      </c>
      <c r="J393" s="29" t="str">
        <f>IF('RAW DATA'!B393&lt;&gt;"",IF(OR('RAW DATA'!H393=1,'RAW DATA'!H393=2),1,IF(ISNUMBER(FIND("Medic",'RAW DATA'!E393)),1,"")),"")</f>
        <v/>
      </c>
      <c r="K393" s="29" t="str">
        <f>IF(AND('RAW DATA'!$B393&lt;&gt;"",'RAW DATA'!L393=1),1,"")</f>
        <v/>
      </c>
      <c r="L393" s="24" t="str">
        <f t="shared" si="13"/>
        <v/>
      </c>
    </row>
    <row r="394" spans="2:12" x14ac:dyDescent="0.25">
      <c r="B394" s="1" t="str">
        <f>IF('RAW DATA'!$C396&lt;&gt;"",'RAW DATA'!$C396,"")</f>
        <v/>
      </c>
      <c r="C394" s="1" t="str">
        <f>IF('RAW DATA'!$D396&lt;&gt;"",'RAW DATA'!$D396,"")</f>
        <v/>
      </c>
      <c r="D394" s="1" t="str">
        <f>IF(AND($B393&lt;&gt;"", $B394=""), "TOTAL:", IF($D393="TOTAL:","VESSEL TARGET "&amp;'RAW DATA'!$E$2&amp;":",IF('RAW DATA'!$E394&lt;&gt;"",'RAW DATA'!$E394,"")))</f>
        <v/>
      </c>
      <c r="E394" s="29" t="str">
        <f t="shared" si="12"/>
        <v/>
      </c>
      <c r="F394" s="4" t="str">
        <f>IF($D393="TOTAL:",FIXED(ROUND(((SUM($F$4:$F392)/'RAW DATA'!$E$2)*100),1),1)&amp;"%",IF($D394="TOTAL:",SUM($F$4:$F393),IF(SUMIF('RAW DATA'!M:M,'RAW DATA'!B394,'RAW DATA'!H:H)=0,"",SUMIF('RAW DATA'!M:M,'RAW DATA'!B394,'RAW DATA'!H:H))))</f>
        <v/>
      </c>
      <c r="G394" s="4" t="str">
        <f>IF($D393="TOTAL:",FIXED(ROUND(((SUM($G$4:$G392)/'RAW DATA'!$E$2)*100),1),1)&amp;"%",IF($D394="TOTAL:",SUM($G$4:$G393),IF(SUMIF('RAW DATA'!M:M,'RAW DATA'!B394,'RAW DATA'!I:I)=0,"",SUMIF('RAW DATA'!M:M,'RAW DATA'!B394,'RAW DATA'!I:I))))</f>
        <v/>
      </c>
      <c r="H394" s="4" t="str">
        <f>IF(SUM(SUMIF('RAW DATA'!M:M,'RAW DATA'!B394,'RAW DATA'!J:J),SUMIF('RAW DATA'!N:N,'RAW DATA'!B394,'RAW DATA'!J:J),SUMIF('RAW DATA'!O:O,'RAW DATA'!B394,'RAW DATA'!J:J),SUMIF('RAW DATA'!P:P,'RAW DATA'!B394,'RAW DATA'!J:J))=0, "", SUM(SUMIF('RAW DATA'!M:M,'RAW DATA'!B394,'RAW DATA'!J:J),SUMIF('RAW DATA'!N:N,'RAW DATA'!B394,'RAW DATA'!J:J),SUMIF('RAW DATA'!O:O,'RAW DATA'!B394,'RAW DATA'!J:J),SUMIF('RAW DATA'!P:P,'RAW DATA'!B394,'RAW DATA'!J:J)))</f>
        <v/>
      </c>
      <c r="I394" s="4" t="str">
        <f>IF(SUMIF('RAW DATA'!M:M,'RAW DATA'!B394, 'RAW DATA'!K:K)=0, "", SUMIF('RAW DATA'!M:M,'RAW DATA'!B394, 'RAW DATA'!K:K))</f>
        <v/>
      </c>
      <c r="J394" s="29" t="str">
        <f>IF('RAW DATA'!B394&lt;&gt;"",IF(OR('RAW DATA'!H394=1,'RAW DATA'!H394=2),1,IF(ISNUMBER(FIND("Medic",'RAW DATA'!E394)),1,"")),"")</f>
        <v/>
      </c>
      <c r="K394" s="29" t="str">
        <f>IF(AND('RAW DATA'!$B394&lt;&gt;"",'RAW DATA'!L394=1),1,"")</f>
        <v/>
      </c>
      <c r="L394" s="24" t="str">
        <f t="shared" si="13"/>
        <v/>
      </c>
    </row>
    <row r="395" spans="2:12" x14ac:dyDescent="0.25">
      <c r="B395" s="1" t="str">
        <f>IF('RAW DATA'!$C397&lt;&gt;"",'RAW DATA'!$C397,"")</f>
        <v/>
      </c>
      <c r="C395" s="1" t="str">
        <f>IF('RAW DATA'!$D397&lt;&gt;"",'RAW DATA'!$D397,"")</f>
        <v/>
      </c>
      <c r="D395" s="1" t="str">
        <f>IF(AND($B394&lt;&gt;"", $B395=""), "TOTAL:", IF($D394="TOTAL:","VESSEL TARGET "&amp;'RAW DATA'!$E$2&amp;":",IF('RAW DATA'!$E395&lt;&gt;"",'RAW DATA'!$E395,"")))</f>
        <v/>
      </c>
      <c r="E395" s="29" t="str">
        <f t="shared" si="12"/>
        <v/>
      </c>
      <c r="F395" s="4" t="str">
        <f>IF($D394="TOTAL:",FIXED(ROUND(((SUM($F$4:$F393)/'RAW DATA'!$E$2)*100),1),1)&amp;"%",IF($D395="TOTAL:",SUM($F$4:$F394),IF(SUMIF('RAW DATA'!M:M,'RAW DATA'!B395,'RAW DATA'!H:H)=0,"",SUMIF('RAW DATA'!M:M,'RAW DATA'!B395,'RAW DATA'!H:H))))</f>
        <v/>
      </c>
      <c r="G395" s="4" t="str">
        <f>IF($D394="TOTAL:",FIXED(ROUND(((SUM($G$4:$G393)/'RAW DATA'!$E$2)*100),1),1)&amp;"%",IF($D395="TOTAL:",SUM($G$4:$G394),IF(SUMIF('RAW DATA'!M:M,'RAW DATA'!B395,'RAW DATA'!I:I)=0,"",SUMIF('RAW DATA'!M:M,'RAW DATA'!B395,'RAW DATA'!I:I))))</f>
        <v/>
      </c>
      <c r="H395" s="4" t="str">
        <f>IF(SUM(SUMIF('RAW DATA'!M:M,'RAW DATA'!B395,'RAW DATA'!J:J),SUMIF('RAW DATA'!N:N,'RAW DATA'!B395,'RAW DATA'!J:J),SUMIF('RAW DATA'!O:O,'RAW DATA'!B395,'RAW DATA'!J:J),SUMIF('RAW DATA'!P:P,'RAW DATA'!B395,'RAW DATA'!J:J))=0, "", SUM(SUMIF('RAW DATA'!M:M,'RAW DATA'!B395,'RAW DATA'!J:J),SUMIF('RAW DATA'!N:N,'RAW DATA'!B395,'RAW DATA'!J:J),SUMIF('RAW DATA'!O:O,'RAW DATA'!B395,'RAW DATA'!J:J),SUMIF('RAW DATA'!P:P,'RAW DATA'!B395,'RAW DATA'!J:J)))</f>
        <v/>
      </c>
      <c r="I395" s="4" t="str">
        <f>IF(SUMIF('RAW DATA'!M:M,'RAW DATA'!B395, 'RAW DATA'!K:K)=0, "", SUMIF('RAW DATA'!M:M,'RAW DATA'!B395, 'RAW DATA'!K:K))</f>
        <v/>
      </c>
      <c r="J395" s="29" t="str">
        <f>IF('RAW DATA'!B395&lt;&gt;"",IF(OR('RAW DATA'!H395=1,'RAW DATA'!H395=2),1,IF(ISNUMBER(FIND("Medic",'RAW DATA'!E395)),1,"")),"")</f>
        <v/>
      </c>
      <c r="K395" s="29" t="str">
        <f>IF(AND('RAW DATA'!$B395&lt;&gt;"",'RAW DATA'!L395=1),1,"")</f>
        <v/>
      </c>
      <c r="L395" s="24" t="str">
        <f t="shared" si="13"/>
        <v/>
      </c>
    </row>
    <row r="396" spans="2:12" x14ac:dyDescent="0.25">
      <c r="B396" s="1" t="str">
        <f>IF('RAW DATA'!$C398&lt;&gt;"",'RAW DATA'!$C398,"")</f>
        <v/>
      </c>
      <c r="C396" s="1" t="str">
        <f>IF('RAW DATA'!$D398&lt;&gt;"",'RAW DATA'!$D398,"")</f>
        <v/>
      </c>
      <c r="D396" s="1" t="str">
        <f>IF(AND($B395&lt;&gt;"", $B396=""), "TOTAL:", IF($D395="TOTAL:","VESSEL TARGET "&amp;'RAW DATA'!$E$2&amp;":",IF('RAW DATA'!$E396&lt;&gt;"",'RAW DATA'!$E396,"")))</f>
        <v/>
      </c>
      <c r="E396" s="29" t="str">
        <f t="shared" si="12"/>
        <v/>
      </c>
      <c r="F396" s="4" t="str">
        <f>IF($D395="TOTAL:",FIXED(ROUND(((SUM($F$4:$F394)/'RAW DATA'!$E$2)*100),1),1)&amp;"%",IF($D396="TOTAL:",SUM($F$4:$F395),IF(SUMIF('RAW DATA'!M:M,'RAW DATA'!B396,'RAW DATA'!H:H)=0,"",SUMIF('RAW DATA'!M:M,'RAW DATA'!B396,'RAW DATA'!H:H))))</f>
        <v/>
      </c>
      <c r="G396" s="4" t="str">
        <f>IF($D395="TOTAL:",FIXED(ROUND(((SUM($G$4:$G394)/'RAW DATA'!$E$2)*100),1),1)&amp;"%",IF($D396="TOTAL:",SUM($G$4:$G395),IF(SUMIF('RAW DATA'!M:M,'RAW DATA'!B396,'RAW DATA'!I:I)=0,"",SUMIF('RAW DATA'!M:M,'RAW DATA'!B396,'RAW DATA'!I:I))))</f>
        <v/>
      </c>
      <c r="H396" s="4" t="str">
        <f>IF(SUM(SUMIF('RAW DATA'!M:M,'RAW DATA'!B396,'RAW DATA'!J:J),SUMIF('RAW DATA'!N:N,'RAW DATA'!B396,'RAW DATA'!J:J),SUMIF('RAW DATA'!O:O,'RAW DATA'!B396,'RAW DATA'!J:J),SUMIF('RAW DATA'!P:P,'RAW DATA'!B396,'RAW DATA'!J:J))=0, "", SUM(SUMIF('RAW DATA'!M:M,'RAW DATA'!B396,'RAW DATA'!J:J),SUMIF('RAW DATA'!N:N,'RAW DATA'!B396,'RAW DATA'!J:J),SUMIF('RAW DATA'!O:O,'RAW DATA'!B396,'RAW DATA'!J:J),SUMIF('RAW DATA'!P:P,'RAW DATA'!B396,'RAW DATA'!J:J)))</f>
        <v/>
      </c>
      <c r="I396" s="4" t="str">
        <f>IF(SUMIF('RAW DATA'!M:M,'RAW DATA'!B396, 'RAW DATA'!K:K)=0, "", SUMIF('RAW DATA'!M:M,'RAW DATA'!B396, 'RAW DATA'!K:K))</f>
        <v/>
      </c>
      <c r="J396" s="29" t="str">
        <f>IF('RAW DATA'!B396&lt;&gt;"",IF(OR('RAW DATA'!H396=1,'RAW DATA'!H396=2),1,IF(ISNUMBER(FIND("Medic",'RAW DATA'!E396)),1,"")),"")</f>
        <v/>
      </c>
      <c r="K396" s="29" t="str">
        <f>IF(AND('RAW DATA'!$B396&lt;&gt;"",'RAW DATA'!L396=1),1,"")</f>
        <v/>
      </c>
      <c r="L396" s="24" t="str">
        <f t="shared" si="13"/>
        <v/>
      </c>
    </row>
    <row r="397" spans="2:12" x14ac:dyDescent="0.25">
      <c r="B397" s="1" t="str">
        <f>IF('RAW DATA'!$C399&lt;&gt;"",'RAW DATA'!$C399,"")</f>
        <v/>
      </c>
      <c r="C397" s="1" t="str">
        <f>IF('RAW DATA'!$D399&lt;&gt;"",'RAW DATA'!$D399,"")</f>
        <v/>
      </c>
      <c r="D397" s="1" t="str">
        <f>IF(AND($B396&lt;&gt;"", $B397=""), "TOTAL:", IF($D396="TOTAL:","VESSEL TARGET "&amp;'RAW DATA'!$E$2&amp;":",IF('RAW DATA'!$E397&lt;&gt;"",'RAW DATA'!$E397,"")))</f>
        <v/>
      </c>
      <c r="E397" s="29" t="str">
        <f t="shared" si="12"/>
        <v/>
      </c>
      <c r="F397" s="4" t="str">
        <f>IF($D396="TOTAL:",FIXED(ROUND(((SUM($F$4:$F395)/'RAW DATA'!$E$2)*100),1),1)&amp;"%",IF($D397="TOTAL:",SUM($F$4:$F396),IF(SUMIF('RAW DATA'!M:M,'RAW DATA'!B397,'RAW DATA'!H:H)=0,"",SUMIF('RAW DATA'!M:M,'RAW DATA'!B397,'RAW DATA'!H:H))))</f>
        <v/>
      </c>
      <c r="G397" s="4" t="str">
        <f>IF($D396="TOTAL:",FIXED(ROUND(((SUM($G$4:$G395)/'RAW DATA'!$E$2)*100),1),1)&amp;"%",IF($D397="TOTAL:",SUM($G$4:$G396),IF(SUMIF('RAW DATA'!M:M,'RAW DATA'!B397,'RAW DATA'!I:I)=0,"",SUMIF('RAW DATA'!M:M,'RAW DATA'!B397,'RAW DATA'!I:I))))</f>
        <v/>
      </c>
      <c r="H397" s="4" t="str">
        <f>IF(SUM(SUMIF('RAW DATA'!M:M,'RAW DATA'!B397,'RAW DATA'!J:J),SUMIF('RAW DATA'!N:N,'RAW DATA'!B397,'RAW DATA'!J:J),SUMIF('RAW DATA'!O:O,'RAW DATA'!B397,'RAW DATA'!J:J),SUMIF('RAW DATA'!P:P,'RAW DATA'!B397,'RAW DATA'!J:J))=0, "", SUM(SUMIF('RAW DATA'!M:M,'RAW DATA'!B397,'RAW DATA'!J:J),SUMIF('RAW DATA'!N:N,'RAW DATA'!B397,'RAW DATA'!J:J),SUMIF('RAW DATA'!O:O,'RAW DATA'!B397,'RAW DATA'!J:J),SUMIF('RAW DATA'!P:P,'RAW DATA'!B397,'RAW DATA'!J:J)))</f>
        <v/>
      </c>
      <c r="I397" s="4" t="str">
        <f>IF(SUMIF('RAW DATA'!M:M,'RAW DATA'!B397, 'RAW DATA'!K:K)=0, "", SUMIF('RAW DATA'!M:M,'RAW DATA'!B397, 'RAW DATA'!K:K))</f>
        <v/>
      </c>
      <c r="J397" s="29" t="str">
        <f>IF('RAW DATA'!B397&lt;&gt;"",IF(OR('RAW DATA'!H397=1,'RAW DATA'!H397=2),1,IF(ISNUMBER(FIND("Medic",'RAW DATA'!E397)),1,"")),"")</f>
        <v/>
      </c>
      <c r="K397" s="29" t="str">
        <f>IF(AND('RAW DATA'!$B397&lt;&gt;"",'RAW DATA'!L397=1),1,"")</f>
        <v/>
      </c>
      <c r="L397" s="24" t="str">
        <f t="shared" si="13"/>
        <v/>
      </c>
    </row>
    <row r="398" spans="2:12" x14ac:dyDescent="0.25">
      <c r="B398" s="1" t="str">
        <f>IF('RAW DATA'!$C400&lt;&gt;"",'RAW DATA'!$C400,"")</f>
        <v/>
      </c>
      <c r="C398" s="1" t="str">
        <f>IF('RAW DATA'!$D400&lt;&gt;"",'RAW DATA'!$D400,"")</f>
        <v/>
      </c>
      <c r="D398" s="1" t="str">
        <f>IF(AND($B397&lt;&gt;"", $B398=""), "TOTAL:", IF($D397="TOTAL:","VESSEL TARGET "&amp;'RAW DATA'!$E$2&amp;":",IF('RAW DATA'!$E398&lt;&gt;"",'RAW DATA'!$E398,"")))</f>
        <v/>
      </c>
      <c r="E398" s="29" t="str">
        <f t="shared" si="12"/>
        <v/>
      </c>
      <c r="F398" s="4" t="str">
        <f>IF($D397="TOTAL:",FIXED(ROUND(((SUM($F$4:$F396)/'RAW DATA'!$E$2)*100),1),1)&amp;"%",IF($D398="TOTAL:",SUM($F$4:$F397),IF(SUMIF('RAW DATA'!M:M,'RAW DATA'!B398,'RAW DATA'!H:H)=0,"",SUMIF('RAW DATA'!M:M,'RAW DATA'!B398,'RAW DATA'!H:H))))</f>
        <v/>
      </c>
      <c r="G398" s="4" t="str">
        <f>IF($D397="TOTAL:",FIXED(ROUND(((SUM($G$4:$G396)/'RAW DATA'!$E$2)*100),1),1)&amp;"%",IF($D398="TOTAL:",SUM($G$4:$G397),IF(SUMIF('RAW DATA'!M:M,'RAW DATA'!B398,'RAW DATA'!I:I)=0,"",SUMIF('RAW DATA'!M:M,'RAW DATA'!B398,'RAW DATA'!I:I))))</f>
        <v/>
      </c>
      <c r="H398" s="4" t="str">
        <f>IF(SUM(SUMIF('RAW DATA'!M:M,'RAW DATA'!B398,'RAW DATA'!J:J),SUMIF('RAW DATA'!N:N,'RAW DATA'!B398,'RAW DATA'!J:J),SUMIF('RAW DATA'!O:O,'RAW DATA'!B398,'RAW DATA'!J:J),SUMIF('RAW DATA'!P:P,'RAW DATA'!B398,'RAW DATA'!J:J))=0, "", SUM(SUMIF('RAW DATA'!M:M,'RAW DATA'!B398,'RAW DATA'!J:J),SUMIF('RAW DATA'!N:N,'RAW DATA'!B398,'RAW DATA'!J:J),SUMIF('RAW DATA'!O:O,'RAW DATA'!B398,'RAW DATA'!J:J),SUMIF('RAW DATA'!P:P,'RAW DATA'!B398,'RAW DATA'!J:J)))</f>
        <v/>
      </c>
      <c r="I398" s="4" t="str">
        <f>IF(SUMIF('RAW DATA'!M:M,'RAW DATA'!B398, 'RAW DATA'!K:K)=0, "", SUMIF('RAW DATA'!M:M,'RAW DATA'!B398, 'RAW DATA'!K:K))</f>
        <v/>
      </c>
      <c r="J398" s="29" t="str">
        <f>IF('RAW DATA'!B398&lt;&gt;"",IF(OR('RAW DATA'!H398=1,'RAW DATA'!H398=2),1,IF(ISNUMBER(FIND("Medic",'RAW DATA'!E398)),1,"")),"")</f>
        <v/>
      </c>
      <c r="K398" s="29" t="str">
        <f>IF(AND('RAW DATA'!$B398&lt;&gt;"",'RAW DATA'!L398=1),1,"")</f>
        <v/>
      </c>
      <c r="L398" s="24" t="str">
        <f t="shared" si="13"/>
        <v/>
      </c>
    </row>
    <row r="399" spans="2:12" x14ac:dyDescent="0.25">
      <c r="B399" s="1" t="str">
        <f>IF('RAW DATA'!$C401&lt;&gt;"",'RAW DATA'!$C401,"")</f>
        <v/>
      </c>
      <c r="C399" s="1" t="str">
        <f>IF('RAW DATA'!$D401&lt;&gt;"",'RAW DATA'!$D401,"")</f>
        <v/>
      </c>
      <c r="D399" s="1" t="str">
        <f>IF(AND($B398&lt;&gt;"", $B399=""), "TOTAL:", IF($D398="TOTAL:","VESSEL TARGET "&amp;'RAW DATA'!$E$2&amp;":",IF('RAW DATA'!$E399&lt;&gt;"",'RAW DATA'!$E399,"")))</f>
        <v/>
      </c>
      <c r="E399" s="29" t="str">
        <f t="shared" si="12"/>
        <v/>
      </c>
      <c r="F399" s="4" t="str">
        <f>IF($D398="TOTAL:",FIXED(ROUND(((SUM($F$4:$F397)/'RAW DATA'!$E$2)*100),1),1)&amp;"%",IF($D399="TOTAL:",SUM($F$4:$F398),IF(SUMIF('RAW DATA'!M:M,'RAW DATA'!B399,'RAW DATA'!H:H)=0,"",SUMIF('RAW DATA'!M:M,'RAW DATA'!B399,'RAW DATA'!H:H))))</f>
        <v/>
      </c>
      <c r="G399" s="4" t="str">
        <f>IF($D398="TOTAL:",FIXED(ROUND(((SUM($G$4:$G397)/'RAW DATA'!$E$2)*100),1),1)&amp;"%",IF($D399="TOTAL:",SUM($G$4:$G398),IF(SUMIF('RAW DATA'!M:M,'RAW DATA'!B399,'RAW DATA'!I:I)=0,"",SUMIF('RAW DATA'!M:M,'RAW DATA'!B399,'RAW DATA'!I:I))))</f>
        <v/>
      </c>
      <c r="H399" s="4" t="str">
        <f>IF(SUM(SUMIF('RAW DATA'!M:M,'RAW DATA'!B399,'RAW DATA'!J:J),SUMIF('RAW DATA'!N:N,'RAW DATA'!B399,'RAW DATA'!J:J),SUMIF('RAW DATA'!O:O,'RAW DATA'!B399,'RAW DATA'!J:J),SUMIF('RAW DATA'!P:P,'RAW DATA'!B399,'RAW DATA'!J:J))=0, "", SUM(SUMIF('RAW DATA'!M:M,'RAW DATA'!B399,'RAW DATA'!J:J),SUMIF('RAW DATA'!N:N,'RAW DATA'!B399,'RAW DATA'!J:J),SUMIF('RAW DATA'!O:O,'RAW DATA'!B399,'RAW DATA'!J:J),SUMIF('RAW DATA'!P:P,'RAW DATA'!B399,'RAW DATA'!J:J)))</f>
        <v/>
      </c>
      <c r="I399" s="4" t="str">
        <f>IF(SUMIF('RAW DATA'!M:M,'RAW DATA'!B399, 'RAW DATA'!K:K)=0, "", SUMIF('RAW DATA'!M:M,'RAW DATA'!B399, 'RAW DATA'!K:K))</f>
        <v/>
      </c>
      <c r="J399" s="29" t="str">
        <f>IF('RAW DATA'!B399&lt;&gt;"",IF(OR('RAW DATA'!H399=1,'RAW DATA'!H399=2),1,IF(ISNUMBER(FIND("Medic",'RAW DATA'!E399)),1,"")),"")</f>
        <v/>
      </c>
      <c r="K399" s="29" t="str">
        <f>IF(AND('RAW DATA'!$B399&lt;&gt;"",'RAW DATA'!L399=1),1,"")</f>
        <v/>
      </c>
      <c r="L399" s="24" t="str">
        <f t="shared" si="13"/>
        <v/>
      </c>
    </row>
    <row r="400" spans="2:12" x14ac:dyDescent="0.25">
      <c r="B400" s="1" t="str">
        <f>IF('RAW DATA'!$C402&lt;&gt;"",'RAW DATA'!$C402,"")</f>
        <v/>
      </c>
      <c r="C400" s="1" t="str">
        <f>IF('RAW DATA'!$D402&lt;&gt;"",'RAW DATA'!$D402,"")</f>
        <v/>
      </c>
      <c r="D400" s="1" t="str">
        <f>IF(AND($B399&lt;&gt;"", $B400=""), "TOTAL:", IF($D399="TOTAL:","VESSEL TARGET "&amp;'RAW DATA'!$E$2&amp;":",IF('RAW DATA'!$E400&lt;&gt;"",'RAW DATA'!$E400,"")))</f>
        <v/>
      </c>
      <c r="E400" s="29" t="str">
        <f t="shared" si="12"/>
        <v/>
      </c>
      <c r="F400" s="4" t="str">
        <f>IF($D399="TOTAL:",FIXED(ROUND(((SUM($F$4:$F398)/'RAW DATA'!$E$2)*100),1),1)&amp;"%",IF($D400="TOTAL:",SUM($F$4:$F399),IF(SUMIF('RAW DATA'!M:M,'RAW DATA'!B400,'RAW DATA'!H:H)=0,"",SUMIF('RAW DATA'!M:M,'RAW DATA'!B400,'RAW DATA'!H:H))))</f>
        <v/>
      </c>
      <c r="G400" s="4" t="str">
        <f>IF($D399="TOTAL:",FIXED(ROUND(((SUM($G$4:$G398)/'RAW DATA'!$E$2)*100),1),1)&amp;"%",IF($D400="TOTAL:",SUM($G$4:$G399),IF(SUMIF('RAW DATA'!M:M,'RAW DATA'!B400,'RAW DATA'!I:I)=0,"",SUMIF('RAW DATA'!M:M,'RAW DATA'!B400,'RAW DATA'!I:I))))</f>
        <v/>
      </c>
      <c r="H400" s="4" t="str">
        <f>IF(SUM(SUMIF('RAW DATA'!M:M,'RAW DATA'!B400,'RAW DATA'!J:J),SUMIF('RAW DATA'!N:N,'RAW DATA'!B400,'RAW DATA'!J:J),SUMIF('RAW DATA'!O:O,'RAW DATA'!B400,'RAW DATA'!J:J),SUMIF('RAW DATA'!P:P,'RAW DATA'!B400,'RAW DATA'!J:J))=0, "", SUM(SUMIF('RAW DATA'!M:M,'RAW DATA'!B400,'RAW DATA'!J:J),SUMIF('RAW DATA'!N:N,'RAW DATA'!B400,'RAW DATA'!J:J),SUMIF('RAW DATA'!O:O,'RAW DATA'!B400,'RAW DATA'!J:J),SUMIF('RAW DATA'!P:P,'RAW DATA'!B400,'RAW DATA'!J:J)))</f>
        <v/>
      </c>
      <c r="I400" s="4" t="str">
        <f>IF(SUMIF('RAW DATA'!M:M,'RAW DATA'!B400, 'RAW DATA'!K:K)=0, "", SUMIF('RAW DATA'!M:M,'RAW DATA'!B400, 'RAW DATA'!K:K))</f>
        <v/>
      </c>
      <c r="J400" s="29" t="str">
        <f>IF('RAW DATA'!B400&lt;&gt;"",IF(OR('RAW DATA'!H400=1,'RAW DATA'!H400=2),1,IF(ISNUMBER(FIND("Medic",'RAW DATA'!E400)),1,"")),"")</f>
        <v/>
      </c>
      <c r="K400" s="29" t="str">
        <f>IF(AND('RAW DATA'!$B400&lt;&gt;"",'RAW DATA'!L400=1),1,"")</f>
        <v/>
      </c>
      <c r="L400" s="24" t="str">
        <f t="shared" si="13"/>
        <v/>
      </c>
    </row>
    <row r="401" spans="2:12" x14ac:dyDescent="0.25">
      <c r="B401" s="1" t="str">
        <f>IF('RAW DATA'!$C403&lt;&gt;"",'RAW DATA'!$C403,"")</f>
        <v/>
      </c>
      <c r="C401" s="1" t="str">
        <f>IF('RAW DATA'!$D403&lt;&gt;"",'RAW DATA'!$D403,"")</f>
        <v/>
      </c>
      <c r="D401" s="1" t="str">
        <f>IF(AND($B400&lt;&gt;"", $B401=""), "TOTAL:", IF($D400="TOTAL:","VESSEL TARGET "&amp;'RAW DATA'!$E$2&amp;":",IF('RAW DATA'!$E401&lt;&gt;"",'RAW DATA'!$E401,"")))</f>
        <v/>
      </c>
      <c r="E401" s="29" t="str">
        <f t="shared" si="12"/>
        <v/>
      </c>
      <c r="F401" s="4" t="str">
        <f>IF($D400="TOTAL:",FIXED(ROUND(((SUM($F$4:$F399)/'RAW DATA'!$E$2)*100),1),1)&amp;"%",IF($D401="TOTAL:",SUM($F$4:$F400),IF(SUMIF('RAW DATA'!M:M,'RAW DATA'!B401,'RAW DATA'!H:H)=0,"",SUMIF('RAW DATA'!M:M,'RAW DATA'!B401,'RAW DATA'!H:H))))</f>
        <v/>
      </c>
      <c r="G401" s="4" t="str">
        <f>IF($D400="TOTAL:",FIXED(ROUND(((SUM($G$4:$G399)/'RAW DATA'!$E$2)*100),1),1)&amp;"%",IF($D401="TOTAL:",SUM($G$4:$G400),IF(SUMIF('RAW DATA'!M:M,'RAW DATA'!B401,'RAW DATA'!I:I)=0,"",SUMIF('RAW DATA'!M:M,'RAW DATA'!B401,'RAW DATA'!I:I))))</f>
        <v/>
      </c>
      <c r="H401" s="4" t="str">
        <f>IF(SUM(SUMIF('RAW DATA'!M:M,'RAW DATA'!B401,'RAW DATA'!J:J),SUMIF('RAW DATA'!N:N,'RAW DATA'!B401,'RAW DATA'!J:J),SUMIF('RAW DATA'!O:O,'RAW DATA'!B401,'RAW DATA'!J:J),SUMIF('RAW DATA'!P:P,'RAW DATA'!B401,'RAW DATA'!J:J))=0, "", SUM(SUMIF('RAW DATA'!M:M,'RAW DATA'!B401,'RAW DATA'!J:J),SUMIF('RAW DATA'!N:N,'RAW DATA'!B401,'RAW DATA'!J:J),SUMIF('RAW DATA'!O:O,'RAW DATA'!B401,'RAW DATA'!J:J),SUMIF('RAW DATA'!P:P,'RAW DATA'!B401,'RAW DATA'!J:J)))</f>
        <v/>
      </c>
      <c r="I401" s="4" t="str">
        <f>IF(SUMIF('RAW DATA'!M:M,'RAW DATA'!B401, 'RAW DATA'!K:K)=0, "", SUMIF('RAW DATA'!M:M,'RAW DATA'!B401, 'RAW DATA'!K:K))</f>
        <v/>
      </c>
      <c r="J401" s="29" t="str">
        <f>IF('RAW DATA'!B401&lt;&gt;"",IF(OR('RAW DATA'!H401=1,'RAW DATA'!H401=2),1,IF(ISNUMBER(FIND("Medic",'RAW DATA'!E401)),1,"")),"")</f>
        <v/>
      </c>
      <c r="K401" s="29" t="str">
        <f>IF(AND('RAW DATA'!$B401&lt;&gt;"",'RAW DATA'!L401=1),1,"")</f>
        <v/>
      </c>
      <c r="L401" s="24" t="str">
        <f t="shared" si="13"/>
        <v/>
      </c>
    </row>
    <row r="402" spans="2:12" x14ac:dyDescent="0.25">
      <c r="B402" s="1" t="str">
        <f>IF('RAW DATA'!$C404&lt;&gt;"",'RAW DATA'!$C404,"")</f>
        <v/>
      </c>
      <c r="C402" s="1" t="str">
        <f>IF('RAW DATA'!$D404&lt;&gt;"",'RAW DATA'!$D404,"")</f>
        <v/>
      </c>
      <c r="D402" s="1" t="str">
        <f>IF(AND($B401&lt;&gt;"", $B402=""), "TOTAL:", IF($D401="TOTAL:","VESSEL TARGET "&amp;'RAW DATA'!$E$2&amp;":",IF('RAW DATA'!$E402&lt;&gt;"",'RAW DATA'!$E402,"")))</f>
        <v/>
      </c>
      <c r="E402" s="29" t="str">
        <f t="shared" si="12"/>
        <v/>
      </c>
      <c r="F402" s="4" t="str">
        <f>IF($D401="TOTAL:",FIXED(ROUND(((SUM($F$4:$F400)/'RAW DATA'!$E$2)*100),1),1)&amp;"%",IF($D402="TOTAL:",SUM($F$4:$F401),IF(SUMIF('RAW DATA'!M:M,'RAW DATA'!B402,'RAW DATA'!H:H)=0,"",SUMIF('RAW DATA'!M:M,'RAW DATA'!B402,'RAW DATA'!H:H))))</f>
        <v/>
      </c>
      <c r="G402" s="4" t="str">
        <f>IF($D401="TOTAL:",FIXED(ROUND(((SUM($G$4:$G400)/'RAW DATA'!$E$2)*100),1),1)&amp;"%",IF($D402="TOTAL:",SUM($G$4:$G401),IF(SUMIF('RAW DATA'!M:M,'RAW DATA'!B402,'RAW DATA'!I:I)=0,"",SUMIF('RAW DATA'!M:M,'RAW DATA'!B402,'RAW DATA'!I:I))))</f>
        <v/>
      </c>
      <c r="H402" s="4" t="str">
        <f>IF(SUM(SUMIF('RAW DATA'!M:M,'RAW DATA'!B402,'RAW DATA'!J:J),SUMIF('RAW DATA'!N:N,'RAW DATA'!B402,'RAW DATA'!J:J),SUMIF('RAW DATA'!O:O,'RAW DATA'!B402,'RAW DATA'!J:J),SUMIF('RAW DATA'!P:P,'RAW DATA'!B402,'RAW DATA'!J:J))=0, "", SUM(SUMIF('RAW DATA'!M:M,'RAW DATA'!B402,'RAW DATA'!J:J),SUMIF('RAW DATA'!N:N,'RAW DATA'!B402,'RAW DATA'!J:J),SUMIF('RAW DATA'!O:O,'RAW DATA'!B402,'RAW DATA'!J:J),SUMIF('RAW DATA'!P:P,'RAW DATA'!B402,'RAW DATA'!J:J)))</f>
        <v/>
      </c>
      <c r="I402" s="4" t="str">
        <f>IF(SUMIF('RAW DATA'!M:M,'RAW DATA'!B402, 'RAW DATA'!K:K)=0, "", SUMIF('RAW DATA'!M:M,'RAW DATA'!B402, 'RAW DATA'!K:K))</f>
        <v/>
      </c>
      <c r="J402" s="29" t="str">
        <f>IF('RAW DATA'!B402&lt;&gt;"",IF(OR('RAW DATA'!H402=1,'RAW DATA'!H402=2),1,IF(ISNUMBER(FIND("Medic",'RAW DATA'!E402)),1,"")),"")</f>
        <v/>
      </c>
      <c r="K402" s="29" t="str">
        <f>IF(AND('RAW DATA'!$B402&lt;&gt;"",'RAW DATA'!L402=1),1,"")</f>
        <v/>
      </c>
      <c r="L402" s="24" t="str">
        <f t="shared" si="13"/>
        <v/>
      </c>
    </row>
    <row r="403" spans="2:12" x14ac:dyDescent="0.25">
      <c r="B403" s="1" t="str">
        <f>IF('RAW DATA'!$C405&lt;&gt;"",'RAW DATA'!$C405,"")</f>
        <v/>
      </c>
      <c r="C403" s="1" t="str">
        <f>IF('RAW DATA'!$D405&lt;&gt;"",'RAW DATA'!$D405,"")</f>
        <v/>
      </c>
      <c r="D403" s="1" t="str">
        <f>IF(AND($B402&lt;&gt;"", $B403=""), "TOTAL:", IF($D402="TOTAL:","VESSEL TARGET "&amp;'RAW DATA'!$E$2&amp;":",IF('RAW DATA'!$E403&lt;&gt;"",'RAW DATA'!$E403,"")))</f>
        <v/>
      </c>
      <c r="E403" s="29" t="str">
        <f t="shared" si="12"/>
        <v/>
      </c>
      <c r="F403" s="4" t="str">
        <f>IF($D402="TOTAL:",FIXED(ROUND(((SUM($F$4:$F401)/'RAW DATA'!$E$2)*100),1),1)&amp;"%",IF($D403="TOTAL:",SUM($F$4:$F402),IF(SUMIF('RAW DATA'!M:M,'RAW DATA'!B403,'RAW DATA'!H:H)=0,"",SUMIF('RAW DATA'!M:M,'RAW DATA'!B403,'RAW DATA'!H:H))))</f>
        <v/>
      </c>
      <c r="G403" s="4" t="str">
        <f>IF($D402="TOTAL:",FIXED(ROUND(((SUM($G$4:$G401)/'RAW DATA'!$E$2)*100),1),1)&amp;"%",IF($D403="TOTAL:",SUM($G$4:$G402),IF(SUMIF('RAW DATA'!M:M,'RAW DATA'!B403,'RAW DATA'!I:I)=0,"",SUMIF('RAW DATA'!M:M,'RAW DATA'!B403,'RAW DATA'!I:I))))</f>
        <v/>
      </c>
      <c r="H403" s="4" t="str">
        <f>IF(SUM(SUMIF('RAW DATA'!M:M,'RAW DATA'!B403,'RAW DATA'!J:J),SUMIF('RAW DATA'!N:N,'RAW DATA'!B403,'RAW DATA'!J:J),SUMIF('RAW DATA'!O:O,'RAW DATA'!B403,'RAW DATA'!J:J),SUMIF('RAW DATA'!P:P,'RAW DATA'!B403,'RAW DATA'!J:J))=0, "", SUM(SUMIF('RAW DATA'!M:M,'RAW DATA'!B403,'RAW DATA'!J:J),SUMIF('RAW DATA'!N:N,'RAW DATA'!B403,'RAW DATA'!J:J),SUMIF('RAW DATA'!O:O,'RAW DATA'!B403,'RAW DATA'!J:J),SUMIF('RAW DATA'!P:P,'RAW DATA'!B403,'RAW DATA'!J:J)))</f>
        <v/>
      </c>
      <c r="I403" s="4" t="str">
        <f>IF(SUMIF('RAW DATA'!M:M,'RAW DATA'!B403, 'RAW DATA'!K:K)=0, "", SUMIF('RAW DATA'!M:M,'RAW DATA'!B403, 'RAW DATA'!K:K))</f>
        <v/>
      </c>
      <c r="J403" s="29" t="str">
        <f>IF('RAW DATA'!B403&lt;&gt;"",IF(OR('RAW DATA'!H403=1,'RAW DATA'!H403=2),1,IF(ISNUMBER(FIND("Medic",'RAW DATA'!E403)),1,"")),"")</f>
        <v/>
      </c>
      <c r="K403" s="29" t="str">
        <f>IF(AND('RAW DATA'!$B403&lt;&gt;"",'RAW DATA'!L403=1),1,"")</f>
        <v/>
      </c>
      <c r="L403" s="24" t="str">
        <f t="shared" si="13"/>
        <v/>
      </c>
    </row>
    <row r="404" spans="2:12" x14ac:dyDescent="0.25">
      <c r="B404" s="1" t="str">
        <f>IF('RAW DATA'!$C406&lt;&gt;"",'RAW DATA'!$C406,"")</f>
        <v/>
      </c>
      <c r="C404" s="1" t="str">
        <f>IF('RAW DATA'!$D406&lt;&gt;"",'RAW DATA'!$D406,"")</f>
        <v/>
      </c>
      <c r="D404" s="1" t="str">
        <f>IF(AND($B403&lt;&gt;"", $B404=""), "TOTAL:", IF($D403="TOTAL:","VESSEL TARGET "&amp;'RAW DATA'!$E$2&amp;":",IF('RAW DATA'!$E404&lt;&gt;"",'RAW DATA'!$E404,"")))</f>
        <v/>
      </c>
      <c r="E404" s="29" t="str">
        <f t="shared" si="12"/>
        <v/>
      </c>
      <c r="F404" s="4" t="str">
        <f>IF($D403="TOTAL:",FIXED(ROUND(((SUM($F$4:$F402)/'RAW DATA'!$E$2)*100),1),1)&amp;"%",IF($D404="TOTAL:",SUM($F$4:$F403),IF(SUMIF('RAW DATA'!M:M,'RAW DATA'!B404,'RAW DATA'!H:H)=0,"",SUMIF('RAW DATA'!M:M,'RAW DATA'!B404,'RAW DATA'!H:H))))</f>
        <v/>
      </c>
      <c r="G404" s="4" t="str">
        <f>IF($D403="TOTAL:",FIXED(ROUND(((SUM($G$4:$G402)/'RAW DATA'!$E$2)*100),1),1)&amp;"%",IF($D404="TOTAL:",SUM($G$4:$G403),IF(SUMIF('RAW DATA'!M:M,'RAW DATA'!B404,'RAW DATA'!I:I)=0,"",SUMIF('RAW DATA'!M:M,'RAW DATA'!B404,'RAW DATA'!I:I))))</f>
        <v/>
      </c>
      <c r="H404" s="4" t="str">
        <f>IF(SUM(SUMIF('RAW DATA'!M:M,'RAW DATA'!B404,'RAW DATA'!J:J),SUMIF('RAW DATA'!N:N,'RAW DATA'!B404,'RAW DATA'!J:J),SUMIF('RAW DATA'!O:O,'RAW DATA'!B404,'RAW DATA'!J:J),SUMIF('RAW DATA'!P:P,'RAW DATA'!B404,'RAW DATA'!J:J))=0, "", SUM(SUMIF('RAW DATA'!M:M,'RAW DATA'!B404,'RAW DATA'!J:J),SUMIF('RAW DATA'!N:N,'RAW DATA'!B404,'RAW DATA'!J:J),SUMIF('RAW DATA'!O:O,'RAW DATA'!B404,'RAW DATA'!J:J),SUMIF('RAW DATA'!P:P,'RAW DATA'!B404,'RAW DATA'!J:J)))</f>
        <v/>
      </c>
      <c r="I404" s="4" t="str">
        <f>IF(SUMIF('RAW DATA'!M:M,'RAW DATA'!B404, 'RAW DATA'!K:K)=0, "", SUMIF('RAW DATA'!M:M,'RAW DATA'!B404, 'RAW DATA'!K:K))</f>
        <v/>
      </c>
      <c r="J404" s="29" t="str">
        <f>IF('RAW DATA'!B404&lt;&gt;"",IF(OR('RAW DATA'!H404=1,'RAW DATA'!H404=2),1,IF(ISNUMBER(FIND("Medic",'RAW DATA'!E404)),1,"")),"")</f>
        <v/>
      </c>
      <c r="K404" s="29" t="str">
        <f>IF(AND('RAW DATA'!$B404&lt;&gt;"",'RAW DATA'!L404=1),1,"")</f>
        <v/>
      </c>
      <c r="L404" s="24" t="str">
        <f t="shared" si="13"/>
        <v/>
      </c>
    </row>
    <row r="405" spans="2:12" x14ac:dyDescent="0.25">
      <c r="B405" s="1" t="str">
        <f>IF('RAW DATA'!$C407&lt;&gt;"",'RAW DATA'!$C407,"")</f>
        <v/>
      </c>
      <c r="C405" s="1" t="str">
        <f>IF('RAW DATA'!$D407&lt;&gt;"",'RAW DATA'!$D407,"")</f>
        <v/>
      </c>
      <c r="D405" s="1" t="str">
        <f>IF(AND($B404&lt;&gt;"", $B405=""), "TOTAL:", IF($D404="TOTAL:","VESSEL TARGET "&amp;'RAW DATA'!$E$2&amp;":",IF('RAW DATA'!$E405&lt;&gt;"",'RAW DATA'!$E405,"")))</f>
        <v/>
      </c>
      <c r="E405" s="29" t="str">
        <f t="shared" si="12"/>
        <v/>
      </c>
      <c r="F405" s="4" t="str">
        <f>IF($D404="TOTAL:",FIXED(ROUND(((SUM($F$4:$F403)/'RAW DATA'!$E$2)*100),1),1)&amp;"%",IF($D405="TOTAL:",SUM($F$4:$F404),IF(SUMIF('RAW DATA'!M:M,'RAW DATA'!B405,'RAW DATA'!H:H)=0,"",SUMIF('RAW DATA'!M:M,'RAW DATA'!B405,'RAW DATA'!H:H))))</f>
        <v/>
      </c>
      <c r="G405" s="4" t="str">
        <f>IF($D404="TOTAL:",FIXED(ROUND(((SUM($G$4:$G403)/'RAW DATA'!$E$2)*100),1),1)&amp;"%",IF($D405="TOTAL:",SUM($G$4:$G404),IF(SUMIF('RAW DATA'!M:M,'RAW DATA'!B405,'RAW DATA'!I:I)=0,"",SUMIF('RAW DATA'!M:M,'RAW DATA'!B405,'RAW DATA'!I:I))))</f>
        <v/>
      </c>
      <c r="H405" s="4" t="str">
        <f>IF(SUM(SUMIF('RAW DATA'!M:M,'RAW DATA'!B405,'RAW DATA'!J:J),SUMIF('RAW DATA'!N:N,'RAW DATA'!B405,'RAW DATA'!J:J),SUMIF('RAW DATA'!O:O,'RAW DATA'!B405,'RAW DATA'!J:J),SUMIF('RAW DATA'!P:P,'RAW DATA'!B405,'RAW DATA'!J:J))=0, "", SUM(SUMIF('RAW DATA'!M:M,'RAW DATA'!B405,'RAW DATA'!J:J),SUMIF('RAW DATA'!N:N,'RAW DATA'!B405,'RAW DATA'!J:J),SUMIF('RAW DATA'!O:O,'RAW DATA'!B405,'RAW DATA'!J:J),SUMIF('RAW DATA'!P:P,'RAW DATA'!B405,'RAW DATA'!J:J)))</f>
        <v/>
      </c>
      <c r="I405" s="4" t="str">
        <f>IF(SUMIF('RAW DATA'!M:M,'RAW DATA'!B405, 'RAW DATA'!K:K)=0, "", SUMIF('RAW DATA'!M:M,'RAW DATA'!B405, 'RAW DATA'!K:K))</f>
        <v/>
      </c>
      <c r="J405" s="29" t="str">
        <f>IF('RAW DATA'!B405&lt;&gt;"",IF(OR('RAW DATA'!H405=1,'RAW DATA'!H405=2),1,IF(ISNUMBER(FIND("Medic",'RAW DATA'!E405)),1,"")),"")</f>
        <v/>
      </c>
      <c r="K405" s="29" t="str">
        <f>IF(AND('RAW DATA'!$B405&lt;&gt;"",'RAW DATA'!L405=1),1,"")</f>
        <v/>
      </c>
      <c r="L405" s="24" t="str">
        <f t="shared" si="13"/>
        <v/>
      </c>
    </row>
    <row r="406" spans="2:12" x14ac:dyDescent="0.25">
      <c r="B406" s="1" t="str">
        <f>IF('RAW DATA'!$C408&lt;&gt;"",'RAW DATA'!$C408,"")</f>
        <v/>
      </c>
      <c r="C406" s="1" t="str">
        <f>IF('RAW DATA'!$D408&lt;&gt;"",'RAW DATA'!$D408,"")</f>
        <v/>
      </c>
      <c r="D406" s="1" t="str">
        <f>IF(AND($B405&lt;&gt;"", $B406=""), "TOTAL:", IF($D405="TOTAL:","VESSEL TARGET "&amp;'RAW DATA'!$E$2&amp;":",IF('RAW DATA'!$E406&lt;&gt;"",'RAW DATA'!$E406,"")))</f>
        <v/>
      </c>
      <c r="E406" s="29" t="str">
        <f t="shared" si="12"/>
        <v/>
      </c>
      <c r="F406" s="4" t="str">
        <f>IF($D405="TOTAL:",FIXED(ROUND(((SUM($F$4:$F404)/'RAW DATA'!$E$2)*100),1),1)&amp;"%",IF($D406="TOTAL:",SUM($F$4:$F405),IF(SUMIF('RAW DATA'!M:M,'RAW DATA'!B406,'RAW DATA'!H:H)=0,"",SUMIF('RAW DATA'!M:M,'RAW DATA'!B406,'RAW DATA'!H:H))))</f>
        <v/>
      </c>
      <c r="G406" s="4" t="str">
        <f>IF($D405="TOTAL:",FIXED(ROUND(((SUM($G$4:$G404)/'RAW DATA'!$E$2)*100),1),1)&amp;"%",IF($D406="TOTAL:",SUM($G$4:$G405),IF(SUMIF('RAW DATA'!M:M,'RAW DATA'!B406,'RAW DATA'!I:I)=0,"",SUMIF('RAW DATA'!M:M,'RAW DATA'!B406,'RAW DATA'!I:I))))</f>
        <v/>
      </c>
      <c r="H406" s="4" t="str">
        <f>IF(SUM(SUMIF('RAW DATA'!M:M,'RAW DATA'!B406,'RAW DATA'!J:J),SUMIF('RAW DATA'!N:N,'RAW DATA'!B406,'RAW DATA'!J:J),SUMIF('RAW DATA'!O:O,'RAW DATA'!B406,'RAW DATA'!J:J),SUMIF('RAW DATA'!P:P,'RAW DATA'!B406,'RAW DATA'!J:J))=0, "", SUM(SUMIF('RAW DATA'!M:M,'RAW DATA'!B406,'RAW DATA'!J:J),SUMIF('RAW DATA'!N:N,'RAW DATA'!B406,'RAW DATA'!J:J),SUMIF('RAW DATA'!O:O,'RAW DATA'!B406,'RAW DATA'!J:J),SUMIF('RAW DATA'!P:P,'RAW DATA'!B406,'RAW DATA'!J:J)))</f>
        <v/>
      </c>
      <c r="I406" s="4" t="str">
        <f>IF(SUMIF('RAW DATA'!M:M,'RAW DATA'!B406, 'RAW DATA'!K:K)=0, "", SUMIF('RAW DATA'!M:M,'RAW DATA'!B406, 'RAW DATA'!K:K))</f>
        <v/>
      </c>
      <c r="J406" s="29" t="str">
        <f>IF('RAW DATA'!B406&lt;&gt;"",IF(OR('RAW DATA'!H406=1,'RAW DATA'!H406=2),1,IF(ISNUMBER(FIND("Medic",'RAW DATA'!E406)),1,"")),"")</f>
        <v/>
      </c>
      <c r="K406" s="29" t="str">
        <f>IF(AND('RAW DATA'!$B406&lt;&gt;"",'RAW DATA'!L406=1),1,"")</f>
        <v/>
      </c>
      <c r="L406" s="24" t="str">
        <f t="shared" si="13"/>
        <v/>
      </c>
    </row>
    <row r="407" spans="2:12" x14ac:dyDescent="0.25">
      <c r="B407" s="1" t="str">
        <f>IF('RAW DATA'!$C409&lt;&gt;"",'RAW DATA'!$C409,"")</f>
        <v/>
      </c>
      <c r="C407" s="1" t="str">
        <f>IF('RAW DATA'!$D409&lt;&gt;"",'RAW DATA'!$D409,"")</f>
        <v/>
      </c>
      <c r="D407" s="1" t="str">
        <f>IF(AND($B406&lt;&gt;"", $B407=""), "TOTAL:", IF($D406="TOTAL:","VESSEL TARGET "&amp;'RAW DATA'!$E$2&amp;":",IF('RAW DATA'!$E407&lt;&gt;"",'RAW DATA'!$E407,"")))</f>
        <v/>
      </c>
      <c r="E407" s="29" t="str">
        <f t="shared" si="12"/>
        <v/>
      </c>
      <c r="F407" s="4" t="str">
        <f>IF($D406="TOTAL:",FIXED(ROUND(((SUM($F$4:$F405)/'RAW DATA'!$E$2)*100),1),1)&amp;"%",IF($D407="TOTAL:",SUM($F$4:$F406),IF(SUMIF('RAW DATA'!M:M,'RAW DATA'!B407,'RAW DATA'!H:H)=0,"",SUMIF('RAW DATA'!M:M,'RAW DATA'!B407,'RAW DATA'!H:H))))</f>
        <v/>
      </c>
      <c r="G407" s="4" t="str">
        <f>IF($D406="TOTAL:",FIXED(ROUND(((SUM($G$4:$G405)/'RAW DATA'!$E$2)*100),1),1)&amp;"%",IF($D407="TOTAL:",SUM($G$4:$G406),IF(SUMIF('RAW DATA'!M:M,'RAW DATA'!B407,'RAW DATA'!I:I)=0,"",SUMIF('RAW DATA'!M:M,'RAW DATA'!B407,'RAW DATA'!I:I))))</f>
        <v/>
      </c>
      <c r="H407" s="4" t="str">
        <f>IF(SUM(SUMIF('RAW DATA'!M:M,'RAW DATA'!B407,'RAW DATA'!J:J),SUMIF('RAW DATA'!N:N,'RAW DATA'!B407,'RAW DATA'!J:J),SUMIF('RAW DATA'!O:O,'RAW DATA'!B407,'RAW DATA'!J:J),SUMIF('RAW DATA'!P:P,'RAW DATA'!B407,'RAW DATA'!J:J))=0, "", SUM(SUMIF('RAW DATA'!M:M,'RAW DATA'!B407,'RAW DATA'!J:J),SUMIF('RAW DATA'!N:N,'RAW DATA'!B407,'RAW DATA'!J:J),SUMIF('RAW DATA'!O:O,'RAW DATA'!B407,'RAW DATA'!J:J),SUMIF('RAW DATA'!P:P,'RAW DATA'!B407,'RAW DATA'!J:J)))</f>
        <v/>
      </c>
      <c r="I407" s="4" t="str">
        <f>IF(SUMIF('RAW DATA'!M:M,'RAW DATA'!B407, 'RAW DATA'!K:K)=0, "", SUMIF('RAW DATA'!M:M,'RAW DATA'!B407, 'RAW DATA'!K:K))</f>
        <v/>
      </c>
      <c r="J407" s="29" t="str">
        <f>IF('RAW DATA'!B407&lt;&gt;"",IF(OR('RAW DATA'!H407=1,'RAW DATA'!H407=2),1,IF(ISNUMBER(FIND("Medic",'RAW DATA'!E407)),1,"")),"")</f>
        <v/>
      </c>
      <c r="K407" s="29" t="str">
        <f>IF(AND('RAW DATA'!$B407&lt;&gt;"",'RAW DATA'!L407=1),1,"")</f>
        <v/>
      </c>
      <c r="L407" s="24" t="str">
        <f t="shared" si="13"/>
        <v/>
      </c>
    </row>
    <row r="408" spans="2:12" x14ac:dyDescent="0.25">
      <c r="B408" s="1" t="str">
        <f>IF('RAW DATA'!$C410&lt;&gt;"",'RAW DATA'!$C410,"")</f>
        <v/>
      </c>
      <c r="C408" s="1" t="str">
        <f>IF('RAW DATA'!$D410&lt;&gt;"",'RAW DATA'!$D410,"")</f>
        <v/>
      </c>
      <c r="D408" s="1" t="str">
        <f>IF(AND($B407&lt;&gt;"", $B408=""), "TOTAL:", IF($D407="TOTAL:","VESSEL TARGET "&amp;'RAW DATA'!$E$2&amp;":",IF('RAW DATA'!$E408&lt;&gt;"",'RAW DATA'!$E408,"")))</f>
        <v/>
      </c>
      <c r="E408" s="29" t="str">
        <f t="shared" si="12"/>
        <v/>
      </c>
      <c r="F408" s="4" t="str">
        <f>IF($D407="TOTAL:",FIXED(ROUND(((SUM($F$4:$F406)/'RAW DATA'!$E$2)*100),1),1)&amp;"%",IF($D408="TOTAL:",SUM($F$4:$F407),IF(SUMIF('RAW DATA'!M:M,'RAW DATA'!B408,'RAW DATA'!H:H)=0,"",SUMIF('RAW DATA'!M:M,'RAW DATA'!B408,'RAW DATA'!H:H))))</f>
        <v/>
      </c>
      <c r="G408" s="4" t="str">
        <f>IF($D407="TOTAL:",FIXED(ROUND(((SUM($G$4:$G406)/'RAW DATA'!$E$2)*100),1),1)&amp;"%",IF($D408="TOTAL:",SUM($G$4:$G407),IF(SUMIF('RAW DATA'!M:M,'RAW DATA'!B408,'RAW DATA'!I:I)=0,"",SUMIF('RAW DATA'!M:M,'RAW DATA'!B408,'RAW DATA'!I:I))))</f>
        <v/>
      </c>
      <c r="H408" s="4" t="str">
        <f>IF(SUM(SUMIF('RAW DATA'!M:M,'RAW DATA'!B408,'RAW DATA'!J:J),SUMIF('RAW DATA'!N:N,'RAW DATA'!B408,'RAW DATA'!J:J),SUMIF('RAW DATA'!O:O,'RAW DATA'!B408,'RAW DATA'!J:J),SUMIF('RAW DATA'!P:P,'RAW DATA'!B408,'RAW DATA'!J:J))=0, "", SUM(SUMIF('RAW DATA'!M:M,'RAW DATA'!B408,'RAW DATA'!J:J),SUMIF('RAW DATA'!N:N,'RAW DATA'!B408,'RAW DATA'!J:J),SUMIF('RAW DATA'!O:O,'RAW DATA'!B408,'RAW DATA'!J:J),SUMIF('RAW DATA'!P:P,'RAW DATA'!B408,'RAW DATA'!J:J)))</f>
        <v/>
      </c>
      <c r="I408" s="4" t="str">
        <f>IF(SUMIF('RAW DATA'!M:M,'RAW DATA'!B408, 'RAW DATA'!K:K)=0, "", SUMIF('RAW DATA'!M:M,'RAW DATA'!B408, 'RAW DATA'!K:K))</f>
        <v/>
      </c>
      <c r="J408" s="29" t="str">
        <f>IF('RAW DATA'!B408&lt;&gt;"",IF(OR('RAW DATA'!H408=1,'RAW DATA'!H408=2),1,IF(ISNUMBER(FIND("Medic",'RAW DATA'!E408)),1,"")),"")</f>
        <v/>
      </c>
      <c r="K408" s="29" t="str">
        <f>IF(AND('RAW DATA'!$B408&lt;&gt;"",'RAW DATA'!L408=1),1,"")</f>
        <v/>
      </c>
      <c r="L408" s="24" t="str">
        <f t="shared" si="13"/>
        <v/>
      </c>
    </row>
    <row r="409" spans="2:12" x14ac:dyDescent="0.25">
      <c r="B409" s="1" t="str">
        <f>IF('RAW DATA'!$C411&lt;&gt;"",'RAW DATA'!$C411,"")</f>
        <v/>
      </c>
      <c r="C409" s="1" t="str">
        <f>IF('RAW DATA'!$D411&lt;&gt;"",'RAW DATA'!$D411,"")</f>
        <v/>
      </c>
      <c r="D409" s="1" t="str">
        <f>IF(AND($B408&lt;&gt;"", $B409=""), "TOTAL:", IF($D408="TOTAL:","VESSEL TARGET "&amp;'RAW DATA'!$E$2&amp;":",IF('RAW DATA'!$E409&lt;&gt;"",'RAW DATA'!$E409,"")))</f>
        <v/>
      </c>
      <c r="E409" s="29" t="str">
        <f t="shared" si="12"/>
        <v/>
      </c>
      <c r="F409" s="4" t="str">
        <f>IF($D408="TOTAL:",FIXED(ROUND(((SUM($F$4:$F407)/'RAW DATA'!$E$2)*100),1),1)&amp;"%",IF($D409="TOTAL:",SUM($F$4:$F408),IF(SUMIF('RAW DATA'!M:M,'RAW DATA'!B409,'RAW DATA'!H:H)=0,"",SUMIF('RAW DATA'!M:M,'RAW DATA'!B409,'RAW DATA'!H:H))))</f>
        <v/>
      </c>
      <c r="G409" s="4" t="str">
        <f>IF($D408="TOTAL:",FIXED(ROUND(((SUM($G$4:$G407)/'RAW DATA'!$E$2)*100),1),1)&amp;"%",IF($D409="TOTAL:",SUM($G$4:$G408),IF(SUMIF('RAW DATA'!M:M,'RAW DATA'!B409,'RAW DATA'!I:I)=0,"",SUMIF('RAW DATA'!M:M,'RAW DATA'!B409,'RAW DATA'!I:I))))</f>
        <v/>
      </c>
      <c r="H409" s="4" t="str">
        <f>IF(SUM(SUMIF('RAW DATA'!M:M,'RAW DATA'!B409,'RAW DATA'!J:J),SUMIF('RAW DATA'!N:N,'RAW DATA'!B409,'RAW DATA'!J:J),SUMIF('RAW DATA'!O:O,'RAW DATA'!B409,'RAW DATA'!J:J),SUMIF('RAW DATA'!P:P,'RAW DATA'!B409,'RAW DATA'!J:J))=0, "", SUM(SUMIF('RAW DATA'!M:M,'RAW DATA'!B409,'RAW DATA'!J:J),SUMIF('RAW DATA'!N:N,'RAW DATA'!B409,'RAW DATA'!J:J),SUMIF('RAW DATA'!O:O,'RAW DATA'!B409,'RAW DATA'!J:J),SUMIF('RAW DATA'!P:P,'RAW DATA'!B409,'RAW DATA'!J:J)))</f>
        <v/>
      </c>
      <c r="I409" s="4" t="str">
        <f>IF(SUMIF('RAW DATA'!M:M,'RAW DATA'!B409, 'RAW DATA'!K:K)=0, "", SUMIF('RAW DATA'!M:M,'RAW DATA'!B409, 'RAW DATA'!K:K))</f>
        <v/>
      </c>
      <c r="J409" s="29" t="str">
        <f>IF('RAW DATA'!B409&lt;&gt;"",IF(OR('RAW DATA'!H409=1,'RAW DATA'!H409=2),1,IF(ISNUMBER(FIND("Medic",'RAW DATA'!E409)),1,"")),"")</f>
        <v/>
      </c>
      <c r="K409" s="29" t="str">
        <f>IF(AND('RAW DATA'!$B409&lt;&gt;"",'RAW DATA'!L409=1),1,"")</f>
        <v/>
      </c>
      <c r="L409" s="24" t="str">
        <f t="shared" si="13"/>
        <v/>
      </c>
    </row>
    <row r="410" spans="2:12" x14ac:dyDescent="0.25">
      <c r="B410" s="1" t="str">
        <f>IF('RAW DATA'!$C412&lt;&gt;"",'RAW DATA'!$C412,"")</f>
        <v/>
      </c>
      <c r="C410" s="1" t="str">
        <f>IF('RAW DATA'!$D412&lt;&gt;"",'RAW DATA'!$D412,"")</f>
        <v/>
      </c>
      <c r="D410" s="1" t="str">
        <f>IF(AND($B409&lt;&gt;"", $B410=""), "TOTAL:", IF($D409="TOTAL:","VESSEL TARGET "&amp;'RAW DATA'!$E$2&amp;":",IF('RAW DATA'!$E410&lt;&gt;"",'RAW DATA'!$E410,"")))</f>
        <v/>
      </c>
      <c r="E410" s="29" t="str">
        <f t="shared" si="12"/>
        <v/>
      </c>
      <c r="F410" s="4" t="str">
        <f>IF($D409="TOTAL:",FIXED(ROUND(((SUM($F$4:$F408)/'RAW DATA'!$E$2)*100),1),1)&amp;"%",IF($D410="TOTAL:",SUM($F$4:$F409),IF(SUMIF('RAW DATA'!M:M,'RAW DATA'!B410,'RAW DATA'!H:H)=0,"",SUMIF('RAW DATA'!M:M,'RAW DATA'!B410,'RAW DATA'!H:H))))</f>
        <v/>
      </c>
      <c r="G410" s="4" t="str">
        <f>IF($D409="TOTAL:",FIXED(ROUND(((SUM($G$4:$G408)/'RAW DATA'!$E$2)*100),1),1)&amp;"%",IF($D410="TOTAL:",SUM($G$4:$G409),IF(SUMIF('RAW DATA'!M:M,'RAW DATA'!B410,'RAW DATA'!I:I)=0,"",SUMIF('RAW DATA'!M:M,'RAW DATA'!B410,'RAW DATA'!I:I))))</f>
        <v/>
      </c>
      <c r="H410" s="4" t="str">
        <f>IF(SUM(SUMIF('RAW DATA'!M:M,'RAW DATA'!B410,'RAW DATA'!J:J),SUMIF('RAW DATA'!N:N,'RAW DATA'!B410,'RAW DATA'!J:J),SUMIF('RAW DATA'!O:O,'RAW DATA'!B410,'RAW DATA'!J:J),SUMIF('RAW DATA'!P:P,'RAW DATA'!B410,'RAW DATA'!J:J))=0, "", SUM(SUMIF('RAW DATA'!M:M,'RAW DATA'!B410,'RAW DATA'!J:J),SUMIF('RAW DATA'!N:N,'RAW DATA'!B410,'RAW DATA'!J:J),SUMIF('RAW DATA'!O:O,'RAW DATA'!B410,'RAW DATA'!J:J),SUMIF('RAW DATA'!P:P,'RAW DATA'!B410,'RAW DATA'!J:J)))</f>
        <v/>
      </c>
      <c r="I410" s="4" t="str">
        <f>IF(SUMIF('RAW DATA'!M:M,'RAW DATA'!B410, 'RAW DATA'!K:K)=0, "", SUMIF('RAW DATA'!M:M,'RAW DATA'!B410, 'RAW DATA'!K:K))</f>
        <v/>
      </c>
      <c r="J410" s="29" t="str">
        <f>IF('RAW DATA'!B410&lt;&gt;"",IF(OR('RAW DATA'!H410=1,'RAW DATA'!H410=2),1,IF(ISNUMBER(FIND("Medic",'RAW DATA'!E410)),1,"")),"")</f>
        <v/>
      </c>
      <c r="K410" s="29" t="str">
        <f>IF(AND('RAW DATA'!$B410&lt;&gt;"",'RAW DATA'!L410=1),1,"")</f>
        <v/>
      </c>
      <c r="L410" s="24" t="str">
        <f t="shared" si="13"/>
        <v/>
      </c>
    </row>
    <row r="411" spans="2:12" x14ac:dyDescent="0.25">
      <c r="B411" s="1" t="str">
        <f>IF('RAW DATA'!$C413&lt;&gt;"",'RAW DATA'!$C413,"")</f>
        <v/>
      </c>
      <c r="C411" s="1" t="str">
        <f>IF('RAW DATA'!$D413&lt;&gt;"",'RAW DATA'!$D413,"")</f>
        <v/>
      </c>
      <c r="D411" s="1" t="str">
        <f>IF(AND($B410&lt;&gt;"", $B411=""), "TOTAL:", IF($D410="TOTAL:","VESSEL TARGET "&amp;'RAW DATA'!$E$2&amp;":",IF('RAW DATA'!$E411&lt;&gt;"",'RAW DATA'!$E411,"")))</f>
        <v/>
      </c>
      <c r="E411" s="29" t="str">
        <f t="shared" si="12"/>
        <v/>
      </c>
      <c r="F411" s="4" t="str">
        <f>IF($D410="TOTAL:",FIXED(ROUND(((SUM($F$4:$F409)/'RAW DATA'!$E$2)*100),1),1)&amp;"%",IF($D411="TOTAL:",SUM($F$4:$F410),IF(SUMIF('RAW DATA'!M:M,'RAW DATA'!B411,'RAW DATA'!H:H)=0,"",SUMIF('RAW DATA'!M:M,'RAW DATA'!B411,'RAW DATA'!H:H))))</f>
        <v/>
      </c>
      <c r="G411" s="4" t="str">
        <f>IF($D410="TOTAL:",FIXED(ROUND(((SUM($G$4:$G409)/'RAW DATA'!$E$2)*100),1),1)&amp;"%",IF($D411="TOTAL:",SUM($G$4:$G410),IF(SUMIF('RAW DATA'!M:M,'RAW DATA'!B411,'RAW DATA'!I:I)=0,"",SUMIF('RAW DATA'!M:M,'RAW DATA'!B411,'RAW DATA'!I:I))))</f>
        <v/>
      </c>
      <c r="H411" s="4" t="str">
        <f>IF(SUM(SUMIF('RAW DATA'!M:M,'RAW DATA'!B411,'RAW DATA'!J:J),SUMIF('RAW DATA'!N:N,'RAW DATA'!B411,'RAW DATA'!J:J),SUMIF('RAW DATA'!O:O,'RAW DATA'!B411,'RAW DATA'!J:J),SUMIF('RAW DATA'!P:P,'RAW DATA'!B411,'RAW DATA'!J:J))=0, "", SUM(SUMIF('RAW DATA'!M:M,'RAW DATA'!B411,'RAW DATA'!J:J),SUMIF('RAW DATA'!N:N,'RAW DATA'!B411,'RAW DATA'!J:J),SUMIF('RAW DATA'!O:O,'RAW DATA'!B411,'RAW DATA'!J:J),SUMIF('RAW DATA'!P:P,'RAW DATA'!B411,'RAW DATA'!J:J)))</f>
        <v/>
      </c>
      <c r="I411" s="4" t="str">
        <f>IF(SUMIF('RAW DATA'!M:M,'RAW DATA'!B411, 'RAW DATA'!K:K)=0, "", SUMIF('RAW DATA'!M:M,'RAW DATA'!B411, 'RAW DATA'!K:K))</f>
        <v/>
      </c>
      <c r="J411" s="29" t="str">
        <f>IF('RAW DATA'!B411&lt;&gt;"",IF(OR('RAW DATA'!H411=1,'RAW DATA'!H411=2),1,IF(ISNUMBER(FIND("Medic",'RAW DATA'!E411)),1,"")),"")</f>
        <v/>
      </c>
      <c r="K411" s="29" t="str">
        <f>IF(AND('RAW DATA'!$B411&lt;&gt;"",'RAW DATA'!L411=1),1,"")</f>
        <v/>
      </c>
      <c r="L411" s="24" t="str">
        <f t="shared" si="13"/>
        <v/>
      </c>
    </row>
    <row r="412" spans="2:12" x14ac:dyDescent="0.25">
      <c r="B412" s="1" t="str">
        <f>IF('RAW DATA'!$C414&lt;&gt;"",'RAW DATA'!$C414,"")</f>
        <v/>
      </c>
      <c r="C412" s="1" t="str">
        <f>IF('RAW DATA'!$D414&lt;&gt;"",'RAW DATA'!$D414,"")</f>
        <v/>
      </c>
      <c r="D412" s="1" t="str">
        <f>IF(AND($B411&lt;&gt;"", $B412=""), "TOTAL:", IF($D411="TOTAL:","VESSEL TARGET "&amp;'RAW DATA'!$E$2&amp;":",IF('RAW DATA'!$E412&lt;&gt;"",'RAW DATA'!$E412,"")))</f>
        <v/>
      </c>
      <c r="E412" s="29" t="str">
        <f t="shared" si="12"/>
        <v/>
      </c>
      <c r="F412" s="4" t="str">
        <f>IF($D411="TOTAL:",FIXED(ROUND(((SUM($F$4:$F410)/'RAW DATA'!$E$2)*100),1),1)&amp;"%",IF($D412="TOTAL:",SUM($F$4:$F411),IF(SUMIF('RAW DATA'!M:M,'RAW DATA'!B412,'RAW DATA'!H:H)=0,"",SUMIF('RAW DATA'!M:M,'RAW DATA'!B412,'RAW DATA'!H:H))))</f>
        <v/>
      </c>
      <c r="G412" s="4" t="str">
        <f>IF($D411="TOTAL:",FIXED(ROUND(((SUM($G$4:$G410)/'RAW DATA'!$E$2)*100),1),1)&amp;"%",IF($D412="TOTAL:",SUM($G$4:$G411),IF(SUMIF('RAW DATA'!M:M,'RAW DATA'!B412,'RAW DATA'!I:I)=0,"",SUMIF('RAW DATA'!M:M,'RAW DATA'!B412,'RAW DATA'!I:I))))</f>
        <v/>
      </c>
      <c r="H412" s="4" t="str">
        <f>IF(SUM(SUMIF('RAW DATA'!M:M,'RAW DATA'!B412,'RAW DATA'!J:J),SUMIF('RAW DATA'!N:N,'RAW DATA'!B412,'RAW DATA'!J:J),SUMIF('RAW DATA'!O:O,'RAW DATA'!B412,'RAW DATA'!J:J),SUMIF('RAW DATA'!P:P,'RAW DATA'!B412,'RAW DATA'!J:J))=0, "", SUM(SUMIF('RAW DATA'!M:M,'RAW DATA'!B412,'RAW DATA'!J:J),SUMIF('RAW DATA'!N:N,'RAW DATA'!B412,'RAW DATA'!J:J),SUMIF('RAW DATA'!O:O,'RAW DATA'!B412,'RAW DATA'!J:J),SUMIF('RAW DATA'!P:P,'RAW DATA'!B412,'RAW DATA'!J:J)))</f>
        <v/>
      </c>
      <c r="I412" s="4" t="str">
        <f>IF(SUMIF('RAW DATA'!M:M,'RAW DATA'!B412, 'RAW DATA'!K:K)=0, "", SUMIF('RAW DATA'!M:M,'RAW DATA'!B412, 'RAW DATA'!K:K))</f>
        <v/>
      </c>
      <c r="J412" s="29" t="str">
        <f>IF('RAW DATA'!B412&lt;&gt;"",IF(OR('RAW DATA'!H412=1,'RAW DATA'!H412=2),1,IF(ISNUMBER(FIND("Medic",'RAW DATA'!E412)),1,"")),"")</f>
        <v/>
      </c>
      <c r="K412" s="29" t="str">
        <f>IF(AND('RAW DATA'!$B412&lt;&gt;"",'RAW DATA'!L412=1),1,"")</f>
        <v/>
      </c>
      <c r="L412" s="24" t="str">
        <f t="shared" si="13"/>
        <v/>
      </c>
    </row>
    <row r="413" spans="2:12" x14ac:dyDescent="0.25">
      <c r="B413" s="1" t="str">
        <f>IF('RAW DATA'!$C415&lt;&gt;"",'RAW DATA'!$C415,"")</f>
        <v/>
      </c>
      <c r="C413" s="1" t="str">
        <f>IF('RAW DATA'!$D415&lt;&gt;"",'RAW DATA'!$D415,"")</f>
        <v/>
      </c>
      <c r="D413" s="1" t="str">
        <f>IF(AND($B412&lt;&gt;"", $B413=""), "TOTAL:", IF($D412="TOTAL:","VESSEL TARGET "&amp;'RAW DATA'!$E$2&amp;":",IF('RAW DATA'!$E413&lt;&gt;"",'RAW DATA'!$E413,"")))</f>
        <v/>
      </c>
      <c r="E413" s="29" t="str">
        <f t="shared" si="12"/>
        <v/>
      </c>
      <c r="F413" s="4" t="str">
        <f>IF($D412="TOTAL:",FIXED(ROUND(((SUM($F$4:$F411)/'RAW DATA'!$E$2)*100),1),1)&amp;"%",IF($D413="TOTAL:",SUM($F$4:$F412),IF(SUMIF('RAW DATA'!M:M,'RAW DATA'!B413,'RAW DATA'!H:H)=0,"",SUMIF('RAW DATA'!M:M,'RAW DATA'!B413,'RAW DATA'!H:H))))</f>
        <v/>
      </c>
      <c r="G413" s="4" t="str">
        <f>IF($D412="TOTAL:",FIXED(ROUND(((SUM($G$4:$G411)/'RAW DATA'!$E$2)*100),1),1)&amp;"%",IF($D413="TOTAL:",SUM($G$4:$G412),IF(SUMIF('RAW DATA'!M:M,'RAW DATA'!B413,'RAW DATA'!I:I)=0,"",SUMIF('RAW DATA'!M:M,'RAW DATA'!B413,'RAW DATA'!I:I))))</f>
        <v/>
      </c>
      <c r="H413" s="4" t="str">
        <f>IF(SUM(SUMIF('RAW DATA'!M:M,'RAW DATA'!B413,'RAW DATA'!J:J),SUMIF('RAW DATA'!N:N,'RAW DATA'!B413,'RAW DATA'!J:J),SUMIF('RAW DATA'!O:O,'RAW DATA'!B413,'RAW DATA'!J:J),SUMIF('RAW DATA'!P:P,'RAW DATA'!B413,'RAW DATA'!J:J))=0, "", SUM(SUMIF('RAW DATA'!M:M,'RAW DATA'!B413,'RAW DATA'!J:J),SUMIF('RAW DATA'!N:N,'RAW DATA'!B413,'RAW DATA'!J:J),SUMIF('RAW DATA'!O:O,'RAW DATA'!B413,'RAW DATA'!J:J),SUMIF('RAW DATA'!P:P,'RAW DATA'!B413,'RAW DATA'!J:J)))</f>
        <v/>
      </c>
      <c r="I413" s="4" t="str">
        <f>IF(SUMIF('RAW DATA'!M:M,'RAW DATA'!B413, 'RAW DATA'!K:K)=0, "", SUMIF('RAW DATA'!M:M,'RAW DATA'!B413, 'RAW DATA'!K:K))</f>
        <v/>
      </c>
      <c r="J413" s="29" t="str">
        <f>IF('RAW DATA'!B413&lt;&gt;"",IF(OR('RAW DATA'!H413=1,'RAW DATA'!H413=2),1,IF(ISNUMBER(FIND("Medic",'RAW DATA'!E413)),1,"")),"")</f>
        <v/>
      </c>
      <c r="K413" s="29" t="str">
        <f>IF(AND('RAW DATA'!$B413&lt;&gt;"",'RAW DATA'!L413=1),1,"")</f>
        <v/>
      </c>
      <c r="L413" s="24" t="str">
        <f t="shared" si="13"/>
        <v/>
      </c>
    </row>
    <row r="414" spans="2:12" x14ac:dyDescent="0.25">
      <c r="B414" s="1" t="str">
        <f>IF('RAW DATA'!$C416&lt;&gt;"",'RAW DATA'!$C416,"")</f>
        <v/>
      </c>
      <c r="C414" s="1" t="str">
        <f>IF('RAW DATA'!$D416&lt;&gt;"",'RAW DATA'!$D416,"")</f>
        <v/>
      </c>
      <c r="D414" s="1" t="str">
        <f>IF(AND($B413&lt;&gt;"", $B414=""), "TOTAL:", IF($D413="TOTAL:","VESSEL TARGET "&amp;'RAW DATA'!$E$2&amp;":",IF('RAW DATA'!$E414&lt;&gt;"",'RAW DATA'!$E414,"")))</f>
        <v/>
      </c>
      <c r="E414" s="29" t="str">
        <f t="shared" si="12"/>
        <v/>
      </c>
      <c r="F414" s="4" t="str">
        <f>IF($D413="TOTAL:",FIXED(ROUND(((SUM($F$4:$F412)/'RAW DATA'!$E$2)*100),1),1)&amp;"%",IF($D414="TOTAL:",SUM($F$4:$F413),IF(SUMIF('RAW DATA'!M:M,'RAW DATA'!B414,'RAW DATA'!H:H)=0,"",SUMIF('RAW DATA'!M:M,'RAW DATA'!B414,'RAW DATA'!H:H))))</f>
        <v/>
      </c>
      <c r="G414" s="4" t="str">
        <f>IF($D413="TOTAL:",FIXED(ROUND(((SUM($G$4:$G412)/'RAW DATA'!$E$2)*100),1),1)&amp;"%",IF($D414="TOTAL:",SUM($G$4:$G413),IF(SUMIF('RAW DATA'!M:M,'RAW DATA'!B414,'RAW DATA'!I:I)=0,"",SUMIF('RAW DATA'!M:M,'RAW DATA'!B414,'RAW DATA'!I:I))))</f>
        <v/>
      </c>
      <c r="H414" s="4" t="str">
        <f>IF(SUM(SUMIF('RAW DATA'!M:M,'RAW DATA'!B414,'RAW DATA'!J:J),SUMIF('RAW DATA'!N:N,'RAW DATA'!B414,'RAW DATA'!J:J),SUMIF('RAW DATA'!O:O,'RAW DATA'!B414,'RAW DATA'!J:J),SUMIF('RAW DATA'!P:P,'RAW DATA'!B414,'RAW DATA'!J:J))=0, "", SUM(SUMIF('RAW DATA'!M:M,'RAW DATA'!B414,'RAW DATA'!J:J),SUMIF('RAW DATA'!N:N,'RAW DATA'!B414,'RAW DATA'!J:J),SUMIF('RAW DATA'!O:O,'RAW DATA'!B414,'RAW DATA'!J:J),SUMIF('RAW DATA'!P:P,'RAW DATA'!B414,'RAW DATA'!J:J)))</f>
        <v/>
      </c>
      <c r="I414" s="4" t="str">
        <f>IF(SUMIF('RAW DATA'!M:M,'RAW DATA'!B414, 'RAW DATA'!K:K)=0, "", SUMIF('RAW DATA'!M:M,'RAW DATA'!B414, 'RAW DATA'!K:K))</f>
        <v/>
      </c>
      <c r="J414" s="29" t="str">
        <f>IF('RAW DATA'!B414&lt;&gt;"",IF(OR('RAW DATA'!H414=1,'RAW DATA'!H414=2),1,IF(ISNUMBER(FIND("Medic",'RAW DATA'!E414)),1,"")),"")</f>
        <v/>
      </c>
      <c r="K414" s="29" t="str">
        <f>IF(AND('RAW DATA'!$B414&lt;&gt;"",'RAW DATA'!L414=1),1,"")</f>
        <v/>
      </c>
      <c r="L414" s="24" t="str">
        <f t="shared" si="13"/>
        <v/>
      </c>
    </row>
    <row r="415" spans="2:12" x14ac:dyDescent="0.25">
      <c r="B415" s="1" t="str">
        <f>IF('RAW DATA'!$C417&lt;&gt;"",'RAW DATA'!$C417,"")</f>
        <v/>
      </c>
      <c r="C415" s="1" t="str">
        <f>IF('RAW DATA'!$D417&lt;&gt;"",'RAW DATA'!$D417,"")</f>
        <v/>
      </c>
      <c r="D415" s="1" t="str">
        <f>IF(AND($B414&lt;&gt;"", $B415=""), "TOTAL:", IF($D414="TOTAL:","VESSEL TARGET "&amp;'RAW DATA'!$E$2&amp;":",IF('RAW DATA'!$E415&lt;&gt;"",'RAW DATA'!$E415,"")))</f>
        <v/>
      </c>
      <c r="E415" s="29" t="str">
        <f t="shared" si="12"/>
        <v/>
      </c>
      <c r="F415" s="4" t="str">
        <f>IF($D414="TOTAL:",FIXED(ROUND(((SUM($F$4:$F413)/'RAW DATA'!$E$2)*100),1),1)&amp;"%",IF($D415="TOTAL:",SUM($F$4:$F414),IF(SUMIF('RAW DATA'!M:M,'RAW DATA'!B415,'RAW DATA'!H:H)=0,"",SUMIF('RAW DATA'!M:M,'RAW DATA'!B415,'RAW DATA'!H:H))))</f>
        <v/>
      </c>
      <c r="G415" s="4" t="str">
        <f>IF($D414="TOTAL:",FIXED(ROUND(((SUM($G$4:$G413)/'RAW DATA'!$E$2)*100),1),1)&amp;"%",IF($D415="TOTAL:",SUM($G$4:$G414),IF(SUMIF('RAW DATA'!M:M,'RAW DATA'!B415,'RAW DATA'!I:I)=0,"",SUMIF('RAW DATA'!M:M,'RAW DATA'!B415,'RAW DATA'!I:I))))</f>
        <v/>
      </c>
      <c r="H415" s="4" t="str">
        <f>IF(SUM(SUMIF('RAW DATA'!M:M,'RAW DATA'!B415,'RAW DATA'!J:J),SUMIF('RAW DATA'!N:N,'RAW DATA'!B415,'RAW DATA'!J:J),SUMIF('RAW DATA'!O:O,'RAW DATA'!B415,'RAW DATA'!J:J),SUMIF('RAW DATA'!P:P,'RAW DATA'!B415,'RAW DATA'!J:J))=0, "", SUM(SUMIF('RAW DATA'!M:M,'RAW DATA'!B415,'RAW DATA'!J:J),SUMIF('RAW DATA'!N:N,'RAW DATA'!B415,'RAW DATA'!J:J),SUMIF('RAW DATA'!O:O,'RAW DATA'!B415,'RAW DATA'!J:J),SUMIF('RAW DATA'!P:P,'RAW DATA'!B415,'RAW DATA'!J:J)))</f>
        <v/>
      </c>
      <c r="I415" s="4" t="str">
        <f>IF(SUMIF('RAW DATA'!M:M,'RAW DATA'!B415, 'RAW DATA'!K:K)=0, "", SUMIF('RAW DATA'!M:M,'RAW DATA'!B415, 'RAW DATA'!K:K))</f>
        <v/>
      </c>
      <c r="J415" s="29" t="str">
        <f>IF('RAW DATA'!B415&lt;&gt;"",IF(OR('RAW DATA'!H415=1,'RAW DATA'!H415=2),1,IF(ISNUMBER(FIND("Medic",'RAW DATA'!E415)),1,"")),"")</f>
        <v/>
      </c>
      <c r="K415" s="29" t="str">
        <f>IF(AND('RAW DATA'!$B415&lt;&gt;"",'RAW DATA'!L415=1),1,"")</f>
        <v/>
      </c>
      <c r="L415" s="24" t="str">
        <f t="shared" si="13"/>
        <v/>
      </c>
    </row>
    <row r="416" spans="2:12" x14ac:dyDescent="0.25">
      <c r="B416" s="1" t="str">
        <f>IF('RAW DATA'!$C418&lt;&gt;"",'RAW DATA'!$C418,"")</f>
        <v/>
      </c>
      <c r="C416" s="1" t="str">
        <f>IF('RAW DATA'!$D418&lt;&gt;"",'RAW DATA'!$D418,"")</f>
        <v/>
      </c>
      <c r="D416" s="1" t="str">
        <f>IF(AND($B415&lt;&gt;"", $B416=""), "TOTAL:", IF($D415="TOTAL:","VESSEL TARGET "&amp;'RAW DATA'!$E$2&amp;":",IF('RAW DATA'!$E416&lt;&gt;"",'RAW DATA'!$E416,"")))</f>
        <v/>
      </c>
      <c r="E416" s="29" t="str">
        <f t="shared" si="12"/>
        <v/>
      </c>
      <c r="F416" s="4" t="str">
        <f>IF($D415="TOTAL:",FIXED(ROUND(((SUM($F$4:$F414)/'RAW DATA'!$E$2)*100),1),1)&amp;"%",IF($D416="TOTAL:",SUM($F$4:$F415),IF(SUMIF('RAW DATA'!M:M,'RAW DATA'!B416,'RAW DATA'!H:H)=0,"",SUMIF('RAW DATA'!M:M,'RAW DATA'!B416,'RAW DATA'!H:H))))</f>
        <v/>
      </c>
      <c r="G416" s="4" t="str">
        <f>IF($D415="TOTAL:",FIXED(ROUND(((SUM($G$4:$G414)/'RAW DATA'!$E$2)*100),1),1)&amp;"%",IF($D416="TOTAL:",SUM($G$4:$G415),IF(SUMIF('RAW DATA'!M:M,'RAW DATA'!B416,'RAW DATA'!I:I)=0,"",SUMIF('RAW DATA'!M:M,'RAW DATA'!B416,'RAW DATA'!I:I))))</f>
        <v/>
      </c>
      <c r="H416" s="4" t="str">
        <f>IF(SUM(SUMIF('RAW DATA'!M:M,'RAW DATA'!B416,'RAW DATA'!J:J),SUMIF('RAW DATA'!N:N,'RAW DATA'!B416,'RAW DATA'!J:J),SUMIF('RAW DATA'!O:O,'RAW DATA'!B416,'RAW DATA'!J:J),SUMIF('RAW DATA'!P:P,'RAW DATA'!B416,'RAW DATA'!J:J))=0, "", SUM(SUMIF('RAW DATA'!M:M,'RAW DATA'!B416,'RAW DATA'!J:J),SUMIF('RAW DATA'!N:N,'RAW DATA'!B416,'RAW DATA'!J:J),SUMIF('RAW DATA'!O:O,'RAW DATA'!B416,'RAW DATA'!J:J),SUMIF('RAW DATA'!P:P,'RAW DATA'!B416,'RAW DATA'!J:J)))</f>
        <v/>
      </c>
      <c r="I416" s="4" t="str">
        <f>IF(SUMIF('RAW DATA'!M:M,'RAW DATA'!B416, 'RAW DATA'!K:K)=0, "", SUMIF('RAW DATA'!M:M,'RAW DATA'!B416, 'RAW DATA'!K:K))</f>
        <v/>
      </c>
      <c r="J416" s="29" t="str">
        <f>IF('RAW DATA'!B416&lt;&gt;"",IF(OR('RAW DATA'!H416=1,'RAW DATA'!H416=2),1,IF(ISNUMBER(FIND("Medic",'RAW DATA'!E416)),1,"")),"")</f>
        <v/>
      </c>
      <c r="K416" s="29" t="str">
        <f>IF(AND('RAW DATA'!$B416&lt;&gt;"",'RAW DATA'!L416=1),1,"")</f>
        <v/>
      </c>
      <c r="L416" s="24" t="str">
        <f t="shared" si="13"/>
        <v/>
      </c>
    </row>
    <row r="417" spans="2:12" x14ac:dyDescent="0.25">
      <c r="B417" s="1" t="str">
        <f>IF('RAW DATA'!$C419&lt;&gt;"",'RAW DATA'!$C419,"")</f>
        <v/>
      </c>
      <c r="C417" s="1" t="str">
        <f>IF('RAW DATA'!$D419&lt;&gt;"",'RAW DATA'!$D419,"")</f>
        <v/>
      </c>
      <c r="D417" s="1" t="str">
        <f>IF(AND($B416&lt;&gt;"", $B417=""), "TOTAL:", IF($D416="TOTAL:","VESSEL TARGET "&amp;'RAW DATA'!$E$2&amp;":",IF('RAW DATA'!$E417&lt;&gt;"",'RAW DATA'!$E417,"")))</f>
        <v/>
      </c>
      <c r="E417" s="29" t="str">
        <f t="shared" si="12"/>
        <v/>
      </c>
      <c r="F417" s="4" t="str">
        <f>IF($D416="TOTAL:",FIXED(ROUND(((SUM($F$4:$F415)/'RAW DATA'!$E$2)*100),1),1)&amp;"%",IF($D417="TOTAL:",SUM($F$4:$F416),IF(SUMIF('RAW DATA'!M:M,'RAW DATA'!B417,'RAW DATA'!H:H)=0,"",SUMIF('RAW DATA'!M:M,'RAW DATA'!B417,'RAW DATA'!H:H))))</f>
        <v/>
      </c>
      <c r="G417" s="4" t="str">
        <f>IF($D416="TOTAL:",FIXED(ROUND(((SUM($G$4:$G415)/'RAW DATA'!$E$2)*100),1),1)&amp;"%",IF($D417="TOTAL:",SUM($G$4:$G416),IF(SUMIF('RAW DATA'!M:M,'RAW DATA'!B417,'RAW DATA'!I:I)=0,"",SUMIF('RAW DATA'!M:M,'RAW DATA'!B417,'RAW DATA'!I:I))))</f>
        <v/>
      </c>
      <c r="H417" s="4" t="str">
        <f>IF(SUM(SUMIF('RAW DATA'!M:M,'RAW DATA'!B417,'RAW DATA'!J:J),SUMIF('RAW DATA'!N:N,'RAW DATA'!B417,'RAW DATA'!J:J),SUMIF('RAW DATA'!O:O,'RAW DATA'!B417,'RAW DATA'!J:J),SUMIF('RAW DATA'!P:P,'RAW DATA'!B417,'RAW DATA'!J:J))=0, "", SUM(SUMIF('RAW DATA'!M:M,'RAW DATA'!B417,'RAW DATA'!J:J),SUMIF('RAW DATA'!N:N,'RAW DATA'!B417,'RAW DATA'!J:J),SUMIF('RAW DATA'!O:O,'RAW DATA'!B417,'RAW DATA'!J:J),SUMIF('RAW DATA'!P:P,'RAW DATA'!B417,'RAW DATA'!J:J)))</f>
        <v/>
      </c>
      <c r="I417" s="4" t="str">
        <f>IF(SUMIF('RAW DATA'!M:M,'RAW DATA'!B417, 'RAW DATA'!K:K)=0, "", SUMIF('RAW DATA'!M:M,'RAW DATA'!B417, 'RAW DATA'!K:K))</f>
        <v/>
      </c>
      <c r="J417" s="29" t="str">
        <f>IF('RAW DATA'!B417&lt;&gt;"",IF(OR('RAW DATA'!H417=1,'RAW DATA'!H417=2),1,IF(ISNUMBER(FIND("Medic",'RAW DATA'!E417)),1,"")),"")</f>
        <v/>
      </c>
      <c r="K417" s="29" t="str">
        <f>IF(AND('RAW DATA'!$B417&lt;&gt;"",'RAW DATA'!L417=1),1,"")</f>
        <v/>
      </c>
      <c r="L417" s="24" t="str">
        <f t="shared" si="13"/>
        <v/>
      </c>
    </row>
    <row r="418" spans="2:12" x14ac:dyDescent="0.25">
      <c r="B418" s="1" t="str">
        <f>IF('RAW DATA'!$C420&lt;&gt;"",'RAW DATA'!$C420,"")</f>
        <v/>
      </c>
      <c r="C418" s="1" t="str">
        <f>IF('RAW DATA'!$D420&lt;&gt;"",'RAW DATA'!$D420,"")</f>
        <v/>
      </c>
      <c r="D418" s="1" t="str">
        <f>IF(AND($B417&lt;&gt;"", $B418=""), "TOTAL:", IF($D417="TOTAL:","VESSEL TARGET "&amp;'RAW DATA'!$E$2&amp;":",IF('RAW DATA'!$E418&lt;&gt;"",'RAW DATA'!$E418,"")))</f>
        <v/>
      </c>
      <c r="E418" s="29" t="str">
        <f t="shared" si="12"/>
        <v/>
      </c>
      <c r="F418" s="4" t="str">
        <f>IF($D417="TOTAL:",FIXED(ROUND(((SUM($F$4:$F416)/'RAW DATA'!$E$2)*100),1),1)&amp;"%",IF($D418="TOTAL:",SUM($F$4:$F417),IF(SUMIF('RAW DATA'!M:M,'RAW DATA'!B418,'RAW DATA'!H:H)=0,"",SUMIF('RAW DATA'!M:M,'RAW DATA'!B418,'RAW DATA'!H:H))))</f>
        <v/>
      </c>
      <c r="G418" s="4" t="str">
        <f>IF($D417="TOTAL:",FIXED(ROUND(((SUM($G$4:$G416)/'RAW DATA'!$E$2)*100),1),1)&amp;"%",IF($D418="TOTAL:",SUM($G$4:$G417),IF(SUMIF('RAW DATA'!M:M,'RAW DATA'!B418,'RAW DATA'!I:I)=0,"",SUMIF('RAW DATA'!M:M,'RAW DATA'!B418,'RAW DATA'!I:I))))</f>
        <v/>
      </c>
      <c r="H418" s="4" t="str">
        <f>IF(SUM(SUMIF('RAW DATA'!M:M,'RAW DATA'!B418,'RAW DATA'!J:J),SUMIF('RAW DATA'!N:N,'RAW DATA'!B418,'RAW DATA'!J:J),SUMIF('RAW DATA'!O:O,'RAW DATA'!B418,'RAW DATA'!J:J),SUMIF('RAW DATA'!P:P,'RAW DATA'!B418,'RAW DATA'!J:J))=0, "", SUM(SUMIF('RAW DATA'!M:M,'RAW DATA'!B418,'RAW DATA'!J:J),SUMIF('RAW DATA'!N:N,'RAW DATA'!B418,'RAW DATA'!J:J),SUMIF('RAW DATA'!O:O,'RAW DATA'!B418,'RAW DATA'!J:J),SUMIF('RAW DATA'!P:P,'RAW DATA'!B418,'RAW DATA'!J:J)))</f>
        <v/>
      </c>
      <c r="I418" s="4" t="str">
        <f>IF(SUMIF('RAW DATA'!M:M,'RAW DATA'!B418, 'RAW DATA'!K:K)=0, "", SUMIF('RAW DATA'!M:M,'RAW DATA'!B418, 'RAW DATA'!K:K))</f>
        <v/>
      </c>
      <c r="J418" s="29" t="str">
        <f>IF('RAW DATA'!B418&lt;&gt;"",IF(OR('RAW DATA'!H418=1,'RAW DATA'!H418=2),1,IF(ISNUMBER(FIND("Medic",'RAW DATA'!E418)),1,"")),"")</f>
        <v/>
      </c>
      <c r="K418" s="29" t="str">
        <f>IF(AND('RAW DATA'!$B418&lt;&gt;"",'RAW DATA'!L418=1),1,"")</f>
        <v/>
      </c>
      <c r="L418" s="24" t="str">
        <f t="shared" si="13"/>
        <v/>
      </c>
    </row>
    <row r="419" spans="2:12" x14ac:dyDescent="0.25">
      <c r="B419" s="1" t="str">
        <f>IF('RAW DATA'!$C421&lt;&gt;"",'RAW DATA'!$C421,"")</f>
        <v/>
      </c>
      <c r="C419" s="1" t="str">
        <f>IF('RAW DATA'!$D421&lt;&gt;"",'RAW DATA'!$D421,"")</f>
        <v/>
      </c>
      <c r="D419" s="1" t="str">
        <f>IF(AND($B418&lt;&gt;"", $B419=""), "TOTAL:", IF($D418="TOTAL:","VESSEL TARGET "&amp;'RAW DATA'!$E$2&amp;":",IF('RAW DATA'!$E419&lt;&gt;"",'RAW DATA'!$E419,"")))</f>
        <v/>
      </c>
      <c r="E419" s="29" t="str">
        <f t="shared" si="12"/>
        <v/>
      </c>
      <c r="F419" s="4" t="str">
        <f>IF($D418="TOTAL:",FIXED(ROUND(((SUM($F$4:$F417)/'RAW DATA'!$E$2)*100),1),1)&amp;"%",IF($D419="TOTAL:",SUM($F$4:$F418),IF(SUMIF('RAW DATA'!M:M,'RAW DATA'!B419,'RAW DATA'!H:H)=0,"",SUMIF('RAW DATA'!M:M,'RAW DATA'!B419,'RAW DATA'!H:H))))</f>
        <v/>
      </c>
      <c r="G419" s="4" t="str">
        <f>IF($D418="TOTAL:",FIXED(ROUND(((SUM($G$4:$G417)/'RAW DATA'!$E$2)*100),1),1)&amp;"%",IF($D419="TOTAL:",SUM($G$4:$G418),IF(SUMIF('RAW DATA'!M:M,'RAW DATA'!B419,'RAW DATA'!I:I)=0,"",SUMIF('RAW DATA'!M:M,'RAW DATA'!B419,'RAW DATA'!I:I))))</f>
        <v/>
      </c>
      <c r="H419" s="4" t="str">
        <f>IF(SUM(SUMIF('RAW DATA'!M:M,'RAW DATA'!B419,'RAW DATA'!J:J),SUMIF('RAW DATA'!N:N,'RAW DATA'!B419,'RAW DATA'!J:J),SUMIF('RAW DATA'!O:O,'RAW DATA'!B419,'RAW DATA'!J:J),SUMIF('RAW DATA'!P:P,'RAW DATA'!B419,'RAW DATA'!J:J))=0, "", SUM(SUMIF('RAW DATA'!M:M,'RAW DATA'!B419,'RAW DATA'!J:J),SUMIF('RAW DATA'!N:N,'RAW DATA'!B419,'RAW DATA'!J:J),SUMIF('RAW DATA'!O:O,'RAW DATA'!B419,'RAW DATA'!J:J),SUMIF('RAW DATA'!P:P,'RAW DATA'!B419,'RAW DATA'!J:J)))</f>
        <v/>
      </c>
      <c r="I419" s="4" t="str">
        <f>IF(SUMIF('RAW DATA'!M:M,'RAW DATA'!B419, 'RAW DATA'!K:K)=0, "", SUMIF('RAW DATA'!M:M,'RAW DATA'!B419, 'RAW DATA'!K:K))</f>
        <v/>
      </c>
      <c r="J419" s="29" t="str">
        <f>IF('RAW DATA'!B419&lt;&gt;"",IF(OR('RAW DATA'!H419=1,'RAW DATA'!H419=2),1,IF(ISNUMBER(FIND("Medic",'RAW DATA'!E419)),1,"")),"")</f>
        <v/>
      </c>
      <c r="K419" s="29" t="str">
        <f>IF(AND('RAW DATA'!$B419&lt;&gt;"",'RAW DATA'!L419=1),1,"")</f>
        <v/>
      </c>
      <c r="L419" s="24" t="str">
        <f t="shared" si="13"/>
        <v/>
      </c>
    </row>
    <row r="420" spans="2:12" x14ac:dyDescent="0.25">
      <c r="B420" s="1" t="str">
        <f>IF('RAW DATA'!$C422&lt;&gt;"",'RAW DATA'!$C422,"")</f>
        <v/>
      </c>
      <c r="C420" s="1" t="str">
        <f>IF('RAW DATA'!$D422&lt;&gt;"",'RAW DATA'!$D422,"")</f>
        <v/>
      </c>
      <c r="D420" s="1" t="str">
        <f>IF(AND($B419&lt;&gt;"", $B420=""), "TOTAL:", IF($D419="TOTAL:","VESSEL TARGET "&amp;'RAW DATA'!$E$2&amp;":",IF('RAW DATA'!$E420&lt;&gt;"",'RAW DATA'!$E420,"")))</f>
        <v/>
      </c>
      <c r="E420" s="29" t="str">
        <f t="shared" si="12"/>
        <v/>
      </c>
      <c r="F420" s="4" t="str">
        <f>IF($D419="TOTAL:",FIXED(ROUND(((SUM($F$4:$F418)/'RAW DATA'!$E$2)*100),1),1)&amp;"%",IF($D420="TOTAL:",SUM($F$4:$F419),IF(SUMIF('RAW DATA'!M:M,'RAW DATA'!B420,'RAW DATA'!H:H)=0,"",SUMIF('RAW DATA'!M:M,'RAW DATA'!B420,'RAW DATA'!H:H))))</f>
        <v/>
      </c>
      <c r="G420" s="4" t="str">
        <f>IF($D419="TOTAL:",FIXED(ROUND(((SUM($G$4:$G418)/'RAW DATA'!$E$2)*100),1),1)&amp;"%",IF($D420="TOTAL:",SUM($G$4:$G419),IF(SUMIF('RAW DATA'!M:M,'RAW DATA'!B420,'RAW DATA'!I:I)=0,"",SUMIF('RAW DATA'!M:M,'RAW DATA'!B420,'RAW DATA'!I:I))))</f>
        <v/>
      </c>
      <c r="H420" s="4" t="str">
        <f>IF(SUM(SUMIF('RAW DATA'!M:M,'RAW DATA'!B420,'RAW DATA'!J:J),SUMIF('RAW DATA'!N:N,'RAW DATA'!B420,'RAW DATA'!J:J),SUMIF('RAW DATA'!O:O,'RAW DATA'!B420,'RAW DATA'!J:J),SUMIF('RAW DATA'!P:P,'RAW DATA'!B420,'RAW DATA'!J:J))=0, "", SUM(SUMIF('RAW DATA'!M:M,'RAW DATA'!B420,'RAW DATA'!J:J),SUMIF('RAW DATA'!N:N,'RAW DATA'!B420,'RAW DATA'!J:J),SUMIF('RAW DATA'!O:O,'RAW DATA'!B420,'RAW DATA'!J:J),SUMIF('RAW DATA'!P:P,'RAW DATA'!B420,'RAW DATA'!J:J)))</f>
        <v/>
      </c>
      <c r="I420" s="4" t="str">
        <f>IF(SUMIF('RAW DATA'!M:M,'RAW DATA'!B420, 'RAW DATA'!K:K)=0, "", SUMIF('RAW DATA'!M:M,'RAW DATA'!B420, 'RAW DATA'!K:K))</f>
        <v/>
      </c>
      <c r="J420" s="29" t="str">
        <f>IF('RAW DATA'!B420&lt;&gt;"",IF(OR('RAW DATA'!H420=1,'RAW DATA'!H420=2),1,IF(ISNUMBER(FIND("Medic",'RAW DATA'!E420)),1,"")),"")</f>
        <v/>
      </c>
      <c r="K420" s="29" t="str">
        <f>IF(AND('RAW DATA'!$B420&lt;&gt;"",'RAW DATA'!L420=1),1,"")</f>
        <v/>
      </c>
      <c r="L420" s="24" t="str">
        <f t="shared" si="13"/>
        <v/>
      </c>
    </row>
    <row r="421" spans="2:12" x14ac:dyDescent="0.25">
      <c r="B421" s="1" t="str">
        <f>IF('RAW DATA'!$C423&lt;&gt;"",'RAW DATA'!$C423,"")</f>
        <v/>
      </c>
      <c r="C421" s="1" t="str">
        <f>IF('RAW DATA'!$D423&lt;&gt;"",'RAW DATA'!$D423,"")</f>
        <v/>
      </c>
      <c r="D421" s="1" t="str">
        <f>IF(AND($B420&lt;&gt;"", $B421=""), "TOTAL:", IF($D420="TOTAL:","VESSEL TARGET "&amp;'RAW DATA'!$E$2&amp;":",IF('RAW DATA'!$E421&lt;&gt;"",'RAW DATA'!$E421,"")))</f>
        <v/>
      </c>
      <c r="E421" s="29" t="str">
        <f t="shared" si="12"/>
        <v/>
      </c>
      <c r="F421" s="4" t="str">
        <f>IF($D420="TOTAL:",FIXED(ROUND(((SUM($F$4:$F419)/'RAW DATA'!$E$2)*100),1),1)&amp;"%",IF($D421="TOTAL:",SUM($F$4:$F420),IF(SUMIF('RAW DATA'!M:M,'RAW DATA'!B421,'RAW DATA'!H:H)=0,"",SUMIF('RAW DATA'!M:M,'RAW DATA'!B421,'RAW DATA'!H:H))))</f>
        <v/>
      </c>
      <c r="G421" s="4" t="str">
        <f>IF($D420="TOTAL:",FIXED(ROUND(((SUM($G$4:$G419)/'RAW DATA'!$E$2)*100),1),1)&amp;"%",IF($D421="TOTAL:",SUM($G$4:$G420),IF(SUMIF('RAW DATA'!M:M,'RAW DATA'!B421,'RAW DATA'!I:I)=0,"",SUMIF('RAW DATA'!M:M,'RAW DATA'!B421,'RAW DATA'!I:I))))</f>
        <v/>
      </c>
      <c r="H421" s="4" t="str">
        <f>IF(SUM(SUMIF('RAW DATA'!M:M,'RAW DATA'!B421,'RAW DATA'!J:J),SUMIF('RAW DATA'!N:N,'RAW DATA'!B421,'RAW DATA'!J:J),SUMIF('RAW DATA'!O:O,'RAW DATA'!B421,'RAW DATA'!J:J),SUMIF('RAW DATA'!P:P,'RAW DATA'!B421,'RAW DATA'!J:J))=0, "", SUM(SUMIF('RAW DATA'!M:M,'RAW DATA'!B421,'RAW DATA'!J:J),SUMIF('RAW DATA'!N:N,'RAW DATA'!B421,'RAW DATA'!J:J),SUMIF('RAW DATA'!O:O,'RAW DATA'!B421,'RAW DATA'!J:J),SUMIF('RAW DATA'!P:P,'RAW DATA'!B421,'RAW DATA'!J:J)))</f>
        <v/>
      </c>
      <c r="I421" s="4" t="str">
        <f>IF(SUMIF('RAW DATA'!M:M,'RAW DATA'!B421, 'RAW DATA'!K:K)=0, "", SUMIF('RAW DATA'!M:M,'RAW DATA'!B421, 'RAW DATA'!K:K))</f>
        <v/>
      </c>
      <c r="J421" s="29" t="str">
        <f>IF('RAW DATA'!B421&lt;&gt;"",IF(OR('RAW DATA'!H421=1,'RAW DATA'!H421=2),1,IF(ISNUMBER(FIND("Medic",'RAW DATA'!E421)),1,"")),"")</f>
        <v/>
      </c>
      <c r="K421" s="29" t="str">
        <f>IF(AND('RAW DATA'!$B421&lt;&gt;"",'RAW DATA'!L421=1),1,"")</f>
        <v/>
      </c>
      <c r="L421" s="24" t="str">
        <f t="shared" si="13"/>
        <v/>
      </c>
    </row>
    <row r="422" spans="2:12" x14ac:dyDescent="0.25">
      <c r="B422" s="1" t="str">
        <f>IF('RAW DATA'!$C424&lt;&gt;"",'RAW DATA'!$C424,"")</f>
        <v/>
      </c>
      <c r="C422" s="1" t="str">
        <f>IF('RAW DATA'!$D424&lt;&gt;"",'RAW DATA'!$D424,"")</f>
        <v/>
      </c>
      <c r="D422" s="1" t="str">
        <f>IF(AND($B421&lt;&gt;"", $B422=""), "TOTAL:", IF($D421="TOTAL:","VESSEL TARGET "&amp;'RAW DATA'!$E$2&amp;":",IF('RAW DATA'!$E422&lt;&gt;"",'RAW DATA'!$E422,"")))</f>
        <v/>
      </c>
      <c r="E422" s="29" t="str">
        <f t="shared" si="12"/>
        <v/>
      </c>
      <c r="F422" s="4" t="str">
        <f>IF($D421="TOTAL:",FIXED(ROUND(((SUM($F$4:$F420)/'RAW DATA'!$E$2)*100),1),1)&amp;"%",IF($D422="TOTAL:",SUM($F$4:$F421),IF(SUMIF('RAW DATA'!M:M,'RAW DATA'!B422,'RAW DATA'!H:H)=0,"",SUMIF('RAW DATA'!M:M,'RAW DATA'!B422,'RAW DATA'!H:H))))</f>
        <v/>
      </c>
      <c r="G422" s="4" t="str">
        <f>IF($D421="TOTAL:",FIXED(ROUND(((SUM($G$4:$G420)/'RAW DATA'!$E$2)*100),1),1)&amp;"%",IF($D422="TOTAL:",SUM($G$4:$G421),IF(SUMIF('RAW DATA'!M:M,'RAW DATA'!B422,'RAW DATA'!I:I)=0,"",SUMIF('RAW DATA'!M:M,'RAW DATA'!B422,'RAW DATA'!I:I))))</f>
        <v/>
      </c>
      <c r="H422" s="4" t="str">
        <f>IF(SUM(SUMIF('RAW DATA'!M:M,'RAW DATA'!B422,'RAW DATA'!J:J),SUMIF('RAW DATA'!N:N,'RAW DATA'!B422,'RAW DATA'!J:J),SUMIF('RAW DATA'!O:O,'RAW DATA'!B422,'RAW DATA'!J:J),SUMIF('RAW DATA'!P:P,'RAW DATA'!B422,'RAW DATA'!J:J))=0, "", SUM(SUMIF('RAW DATA'!M:M,'RAW DATA'!B422,'RAW DATA'!J:J),SUMIF('RAW DATA'!N:N,'RAW DATA'!B422,'RAW DATA'!J:J),SUMIF('RAW DATA'!O:O,'RAW DATA'!B422,'RAW DATA'!J:J),SUMIF('RAW DATA'!P:P,'RAW DATA'!B422,'RAW DATA'!J:J)))</f>
        <v/>
      </c>
      <c r="I422" s="4" t="str">
        <f>IF(SUMIF('RAW DATA'!M:M,'RAW DATA'!B422, 'RAW DATA'!K:K)=0, "", SUMIF('RAW DATA'!M:M,'RAW DATA'!B422, 'RAW DATA'!K:K))</f>
        <v/>
      </c>
      <c r="J422" s="29" t="str">
        <f>IF('RAW DATA'!B422&lt;&gt;"",IF(OR('RAW DATA'!H422=1,'RAW DATA'!H422=2),1,IF(ISNUMBER(FIND("Medic",'RAW DATA'!E422)),1,"")),"")</f>
        <v/>
      </c>
      <c r="K422" s="29" t="str">
        <f>IF(AND('RAW DATA'!$B422&lt;&gt;"",'RAW DATA'!L422=1),1,"")</f>
        <v/>
      </c>
      <c r="L422" s="24" t="str">
        <f t="shared" si="13"/>
        <v/>
      </c>
    </row>
    <row r="423" spans="2:12" x14ac:dyDescent="0.25">
      <c r="B423" s="1" t="str">
        <f>IF('RAW DATA'!$C425&lt;&gt;"",'RAW DATA'!$C425,"")</f>
        <v/>
      </c>
      <c r="C423" s="1" t="str">
        <f>IF('RAW DATA'!$D425&lt;&gt;"",'RAW DATA'!$D425,"")</f>
        <v/>
      </c>
      <c r="D423" s="1" t="str">
        <f>IF(AND($B422&lt;&gt;"", $B423=""), "TOTAL:", IF($D422="TOTAL:","VESSEL TARGET "&amp;'RAW DATA'!$E$2&amp;":",IF('RAW DATA'!$E423&lt;&gt;"",'RAW DATA'!$E423,"")))</f>
        <v/>
      </c>
      <c r="E423" s="29" t="str">
        <f t="shared" si="12"/>
        <v/>
      </c>
      <c r="F423" s="4" t="str">
        <f>IF($D422="TOTAL:",FIXED(ROUND(((SUM($F$4:$F421)/'RAW DATA'!$E$2)*100),1),1)&amp;"%",IF($D423="TOTAL:",SUM($F$4:$F422),IF(SUMIF('RAW DATA'!M:M,'RAW DATA'!B423,'RAW DATA'!H:H)=0,"",SUMIF('RAW DATA'!M:M,'RAW DATA'!B423,'RAW DATA'!H:H))))</f>
        <v/>
      </c>
      <c r="G423" s="4" t="str">
        <f>IF($D422="TOTAL:",FIXED(ROUND(((SUM($G$4:$G421)/'RAW DATA'!$E$2)*100),1),1)&amp;"%",IF($D423="TOTAL:",SUM($G$4:$G422),IF(SUMIF('RAW DATA'!M:M,'RAW DATA'!B423,'RAW DATA'!I:I)=0,"",SUMIF('RAW DATA'!M:M,'RAW DATA'!B423,'RAW DATA'!I:I))))</f>
        <v/>
      </c>
      <c r="H423" s="4" t="str">
        <f>IF(SUM(SUMIF('RAW DATA'!M:M,'RAW DATA'!B423,'RAW DATA'!J:J),SUMIF('RAW DATA'!N:N,'RAW DATA'!B423,'RAW DATA'!J:J),SUMIF('RAW DATA'!O:O,'RAW DATA'!B423,'RAW DATA'!J:J),SUMIF('RAW DATA'!P:P,'RAW DATA'!B423,'RAW DATA'!J:J))=0, "", SUM(SUMIF('RAW DATA'!M:M,'RAW DATA'!B423,'RAW DATA'!J:J),SUMIF('RAW DATA'!N:N,'RAW DATA'!B423,'RAW DATA'!J:J),SUMIF('RAW DATA'!O:O,'RAW DATA'!B423,'RAW DATA'!J:J),SUMIF('RAW DATA'!P:P,'RAW DATA'!B423,'RAW DATA'!J:J)))</f>
        <v/>
      </c>
      <c r="I423" s="4" t="str">
        <f>IF(SUMIF('RAW DATA'!M:M,'RAW DATA'!B423, 'RAW DATA'!K:K)=0, "", SUMIF('RAW DATA'!M:M,'RAW DATA'!B423, 'RAW DATA'!K:K))</f>
        <v/>
      </c>
      <c r="J423" s="29" t="str">
        <f>IF('RAW DATA'!B423&lt;&gt;"",IF(OR('RAW DATA'!H423=1,'RAW DATA'!H423=2),1,IF(ISNUMBER(FIND("Medic",'RAW DATA'!E423)),1,"")),"")</f>
        <v/>
      </c>
      <c r="K423" s="29" t="str">
        <f>IF(AND('RAW DATA'!$B423&lt;&gt;"",'RAW DATA'!L423=1),1,"")</f>
        <v/>
      </c>
      <c r="L423" s="24" t="str">
        <f t="shared" si="13"/>
        <v/>
      </c>
    </row>
    <row r="424" spans="2:12" x14ac:dyDescent="0.25">
      <c r="B424" s="1" t="str">
        <f>IF('RAW DATA'!$C426&lt;&gt;"",'RAW DATA'!$C426,"")</f>
        <v/>
      </c>
      <c r="C424" s="1" t="str">
        <f>IF('RAW DATA'!$D426&lt;&gt;"",'RAW DATA'!$D426,"")</f>
        <v/>
      </c>
      <c r="D424" s="1" t="str">
        <f>IF(AND($B423&lt;&gt;"", $B424=""), "TOTAL:", IF($D423="TOTAL:","VESSEL TARGET "&amp;'RAW DATA'!$E$2&amp;":",IF('RAW DATA'!$E424&lt;&gt;"",'RAW DATA'!$E424,"")))</f>
        <v/>
      </c>
      <c r="E424" s="29" t="str">
        <f t="shared" si="12"/>
        <v/>
      </c>
      <c r="F424" s="4" t="str">
        <f>IF($D423="TOTAL:",FIXED(ROUND(((SUM($F$4:$F422)/'RAW DATA'!$E$2)*100),1),1)&amp;"%",IF($D424="TOTAL:",SUM($F$4:$F423),IF(SUMIF('RAW DATA'!M:M,'RAW DATA'!B424,'RAW DATA'!H:H)=0,"",SUMIF('RAW DATA'!M:M,'RAW DATA'!B424,'RAW DATA'!H:H))))</f>
        <v/>
      </c>
      <c r="G424" s="4" t="str">
        <f>IF($D423="TOTAL:",FIXED(ROUND(((SUM($G$4:$G422)/'RAW DATA'!$E$2)*100),1),1)&amp;"%",IF($D424="TOTAL:",SUM($G$4:$G423),IF(SUMIF('RAW DATA'!M:M,'RAW DATA'!B424,'RAW DATA'!I:I)=0,"",SUMIF('RAW DATA'!M:M,'RAW DATA'!B424,'RAW DATA'!I:I))))</f>
        <v/>
      </c>
      <c r="H424" s="4" t="str">
        <f>IF(SUM(SUMIF('RAW DATA'!M:M,'RAW DATA'!B424,'RAW DATA'!J:J),SUMIF('RAW DATA'!N:N,'RAW DATA'!B424,'RAW DATA'!J:J),SUMIF('RAW DATA'!O:O,'RAW DATA'!B424,'RAW DATA'!J:J),SUMIF('RAW DATA'!P:P,'RAW DATA'!B424,'RAW DATA'!J:J))=0, "", SUM(SUMIF('RAW DATA'!M:M,'RAW DATA'!B424,'RAW DATA'!J:J),SUMIF('RAW DATA'!N:N,'RAW DATA'!B424,'RAW DATA'!J:J),SUMIF('RAW DATA'!O:O,'RAW DATA'!B424,'RAW DATA'!J:J),SUMIF('RAW DATA'!P:P,'RAW DATA'!B424,'RAW DATA'!J:J)))</f>
        <v/>
      </c>
      <c r="I424" s="4" t="str">
        <f>IF(SUMIF('RAW DATA'!M:M,'RAW DATA'!B424, 'RAW DATA'!K:K)=0, "", SUMIF('RAW DATA'!M:M,'RAW DATA'!B424, 'RAW DATA'!K:K))</f>
        <v/>
      </c>
      <c r="J424" s="29" t="str">
        <f>IF('RAW DATA'!B424&lt;&gt;"",IF(OR('RAW DATA'!H424=1,'RAW DATA'!H424=2),1,IF(ISNUMBER(FIND("Medic",'RAW DATA'!E424)),1,"")),"")</f>
        <v/>
      </c>
      <c r="K424" s="29" t="str">
        <f>IF(AND('RAW DATA'!$B424&lt;&gt;"",'RAW DATA'!L424=1),1,"")</f>
        <v/>
      </c>
      <c r="L424" s="24" t="str">
        <f t="shared" si="13"/>
        <v/>
      </c>
    </row>
    <row r="425" spans="2:12" x14ac:dyDescent="0.25">
      <c r="B425" s="1" t="str">
        <f>IF('RAW DATA'!$C427&lt;&gt;"",'RAW DATA'!$C427,"")</f>
        <v/>
      </c>
      <c r="C425" s="1" t="str">
        <f>IF('RAW DATA'!$D427&lt;&gt;"",'RAW DATA'!$D427,"")</f>
        <v/>
      </c>
      <c r="D425" s="1" t="str">
        <f>IF(AND($B424&lt;&gt;"", $B425=""), "TOTAL:", IF($D424="TOTAL:","VESSEL TARGET "&amp;'RAW DATA'!$E$2&amp;":",IF('RAW DATA'!$E425&lt;&gt;"",'RAW DATA'!$E425,"")))</f>
        <v/>
      </c>
      <c r="E425" s="29" t="str">
        <f t="shared" si="12"/>
        <v/>
      </c>
      <c r="F425" s="4" t="str">
        <f>IF($D424="TOTAL:",FIXED(ROUND(((SUM($F$4:$F423)/'RAW DATA'!$E$2)*100),1),1)&amp;"%",IF($D425="TOTAL:",SUM($F$4:$F424),IF(SUMIF('RAW DATA'!M:M,'RAW DATA'!B425,'RAW DATA'!H:H)=0,"",SUMIF('RAW DATA'!M:M,'RAW DATA'!B425,'RAW DATA'!H:H))))</f>
        <v/>
      </c>
      <c r="G425" s="4" t="str">
        <f>IF($D424="TOTAL:",FIXED(ROUND(((SUM($G$4:$G423)/'RAW DATA'!$E$2)*100),1),1)&amp;"%",IF($D425="TOTAL:",SUM($G$4:$G424),IF(SUMIF('RAW DATA'!M:M,'RAW DATA'!B425,'RAW DATA'!I:I)=0,"",SUMIF('RAW DATA'!M:M,'RAW DATA'!B425,'RAW DATA'!I:I))))</f>
        <v/>
      </c>
      <c r="H425" s="4" t="str">
        <f>IF(SUM(SUMIF('RAW DATA'!M:M,'RAW DATA'!B425,'RAW DATA'!J:J),SUMIF('RAW DATA'!N:N,'RAW DATA'!B425,'RAW DATA'!J:J),SUMIF('RAW DATA'!O:O,'RAW DATA'!B425,'RAW DATA'!J:J),SUMIF('RAW DATA'!P:P,'RAW DATA'!B425,'RAW DATA'!J:J))=0, "", SUM(SUMIF('RAW DATA'!M:M,'RAW DATA'!B425,'RAW DATA'!J:J),SUMIF('RAW DATA'!N:N,'RAW DATA'!B425,'RAW DATA'!J:J),SUMIF('RAW DATA'!O:O,'RAW DATA'!B425,'RAW DATA'!J:J),SUMIF('RAW DATA'!P:P,'RAW DATA'!B425,'RAW DATA'!J:J)))</f>
        <v/>
      </c>
      <c r="I425" s="4" t="str">
        <f>IF(SUMIF('RAW DATA'!M:M,'RAW DATA'!B425, 'RAW DATA'!K:K)=0, "", SUMIF('RAW DATA'!M:M,'RAW DATA'!B425, 'RAW DATA'!K:K))</f>
        <v/>
      </c>
      <c r="J425" s="29" t="str">
        <f>IF('RAW DATA'!B425&lt;&gt;"",IF(OR('RAW DATA'!H425=1,'RAW DATA'!H425=2),1,IF(ISNUMBER(FIND("Medic",'RAW DATA'!E425)),1,"")),"")</f>
        <v/>
      </c>
      <c r="K425" s="29" t="str">
        <f>IF(AND('RAW DATA'!$B425&lt;&gt;"",'RAW DATA'!L425=1),1,"")</f>
        <v/>
      </c>
      <c r="L425" s="24" t="str">
        <f t="shared" si="13"/>
        <v/>
      </c>
    </row>
    <row r="426" spans="2:12" x14ac:dyDescent="0.25">
      <c r="B426" s="1" t="str">
        <f>IF('RAW DATA'!$C428&lt;&gt;"",'RAW DATA'!$C428,"")</f>
        <v/>
      </c>
      <c r="C426" s="1" t="str">
        <f>IF('RAW DATA'!$D428&lt;&gt;"",'RAW DATA'!$D428,"")</f>
        <v/>
      </c>
      <c r="D426" s="1" t="str">
        <f>IF(AND($B425&lt;&gt;"", $B426=""), "TOTAL:", IF($D425="TOTAL:","VESSEL TARGET "&amp;'RAW DATA'!$E$2&amp;":",IF('RAW DATA'!$E426&lt;&gt;"",'RAW DATA'!$E426,"")))</f>
        <v/>
      </c>
      <c r="E426" s="29" t="str">
        <f t="shared" si="12"/>
        <v/>
      </c>
      <c r="F426" s="4" t="str">
        <f>IF($D425="TOTAL:",FIXED(ROUND(((SUM($F$4:$F424)/'RAW DATA'!$E$2)*100),1),1)&amp;"%",IF($D426="TOTAL:",SUM($F$4:$F425),IF(SUMIF('RAW DATA'!M:M,'RAW DATA'!B426,'RAW DATA'!H:H)=0,"",SUMIF('RAW DATA'!M:M,'RAW DATA'!B426,'RAW DATA'!H:H))))</f>
        <v/>
      </c>
      <c r="G426" s="4" t="str">
        <f>IF($D425="TOTAL:",FIXED(ROUND(((SUM($G$4:$G424)/'RAW DATA'!$E$2)*100),1),1)&amp;"%",IF($D426="TOTAL:",SUM($G$4:$G425),IF(SUMIF('RAW DATA'!M:M,'RAW DATA'!B426,'RAW DATA'!I:I)=0,"",SUMIF('RAW DATA'!M:M,'RAW DATA'!B426,'RAW DATA'!I:I))))</f>
        <v/>
      </c>
      <c r="H426" s="4" t="str">
        <f>IF(SUM(SUMIF('RAW DATA'!M:M,'RAW DATA'!B426,'RAW DATA'!J:J),SUMIF('RAW DATA'!N:N,'RAW DATA'!B426,'RAW DATA'!J:J),SUMIF('RAW DATA'!O:O,'RAW DATA'!B426,'RAW DATA'!J:J),SUMIF('RAW DATA'!P:P,'RAW DATA'!B426,'RAW DATA'!J:J))=0, "", SUM(SUMIF('RAW DATA'!M:M,'RAW DATA'!B426,'RAW DATA'!J:J),SUMIF('RAW DATA'!N:N,'RAW DATA'!B426,'RAW DATA'!J:J),SUMIF('RAW DATA'!O:O,'RAW DATA'!B426,'RAW DATA'!J:J),SUMIF('RAW DATA'!P:P,'RAW DATA'!B426,'RAW DATA'!J:J)))</f>
        <v/>
      </c>
      <c r="I426" s="4" t="str">
        <f>IF(SUMIF('RAW DATA'!M:M,'RAW DATA'!B426, 'RAW DATA'!K:K)=0, "", SUMIF('RAW DATA'!M:M,'RAW DATA'!B426, 'RAW DATA'!K:K))</f>
        <v/>
      </c>
      <c r="J426" s="29" t="str">
        <f>IF('RAW DATA'!B426&lt;&gt;"",IF(OR('RAW DATA'!H426=1,'RAW DATA'!H426=2),1,IF(ISNUMBER(FIND("Medic",'RAW DATA'!E426)),1,"")),"")</f>
        <v/>
      </c>
      <c r="K426" s="29" t="str">
        <f>IF(AND('RAW DATA'!$B426&lt;&gt;"",'RAW DATA'!L426=1),1,"")</f>
        <v/>
      </c>
      <c r="L426" s="24" t="str">
        <f t="shared" si="13"/>
        <v/>
      </c>
    </row>
    <row r="427" spans="2:12" x14ac:dyDescent="0.25">
      <c r="B427" s="1" t="str">
        <f>IF('RAW DATA'!$C429&lt;&gt;"",'RAW DATA'!$C429,"")</f>
        <v/>
      </c>
      <c r="C427" s="1" t="str">
        <f>IF('RAW DATA'!$D429&lt;&gt;"",'RAW DATA'!$D429,"")</f>
        <v/>
      </c>
      <c r="D427" s="1" t="str">
        <f>IF(AND($B426&lt;&gt;"", $B427=""), "TOTAL:", IF($D426="TOTAL:","VESSEL TARGET "&amp;'RAW DATA'!$E$2&amp;":",IF('RAW DATA'!$E427&lt;&gt;"",'RAW DATA'!$E427,"")))</f>
        <v/>
      </c>
      <c r="E427" s="29" t="str">
        <f t="shared" si="12"/>
        <v/>
      </c>
      <c r="F427" s="4" t="str">
        <f>IF($D426="TOTAL:",FIXED(ROUND(((SUM($F$4:$F425)/'RAW DATA'!$E$2)*100),1),1)&amp;"%",IF($D427="TOTAL:",SUM($F$4:$F426),IF(SUMIF('RAW DATA'!M:M,'RAW DATA'!B427,'RAW DATA'!H:H)=0,"",SUMIF('RAW DATA'!M:M,'RAW DATA'!B427,'RAW DATA'!H:H))))</f>
        <v/>
      </c>
      <c r="G427" s="4" t="str">
        <f>IF($D426="TOTAL:",FIXED(ROUND(((SUM($G$4:$G425)/'RAW DATA'!$E$2)*100),1),1)&amp;"%",IF($D427="TOTAL:",SUM($G$4:$G426),IF(SUMIF('RAW DATA'!M:M,'RAW DATA'!B427,'RAW DATA'!I:I)=0,"",SUMIF('RAW DATA'!M:M,'RAW DATA'!B427,'RAW DATA'!I:I))))</f>
        <v/>
      </c>
      <c r="H427" s="4" t="str">
        <f>IF(SUM(SUMIF('RAW DATA'!M:M,'RAW DATA'!B427,'RAW DATA'!J:J),SUMIF('RAW DATA'!N:N,'RAW DATA'!B427,'RAW DATA'!J:J),SUMIF('RAW DATA'!O:O,'RAW DATA'!B427,'RAW DATA'!J:J),SUMIF('RAW DATA'!P:P,'RAW DATA'!B427,'RAW DATA'!J:J))=0, "", SUM(SUMIF('RAW DATA'!M:M,'RAW DATA'!B427,'RAW DATA'!J:J),SUMIF('RAW DATA'!N:N,'RAW DATA'!B427,'RAW DATA'!J:J),SUMIF('RAW DATA'!O:O,'RAW DATA'!B427,'RAW DATA'!J:J),SUMIF('RAW DATA'!P:P,'RAW DATA'!B427,'RAW DATA'!J:J)))</f>
        <v/>
      </c>
      <c r="I427" s="4" t="str">
        <f>IF(SUMIF('RAW DATA'!M:M,'RAW DATA'!B427, 'RAW DATA'!K:K)=0, "", SUMIF('RAW DATA'!M:M,'RAW DATA'!B427, 'RAW DATA'!K:K))</f>
        <v/>
      </c>
      <c r="J427" s="29" t="str">
        <f>IF('RAW DATA'!B427&lt;&gt;"",IF(OR('RAW DATA'!H427=1,'RAW DATA'!H427=2),1,IF(ISNUMBER(FIND("Medic",'RAW DATA'!E427)),1,"")),"")</f>
        <v/>
      </c>
      <c r="K427" s="29" t="str">
        <f>IF(AND('RAW DATA'!$B427&lt;&gt;"",'RAW DATA'!L427=1),1,"")</f>
        <v/>
      </c>
      <c r="L427" s="24" t="str">
        <f t="shared" si="13"/>
        <v/>
      </c>
    </row>
    <row r="428" spans="2:12" x14ac:dyDescent="0.25">
      <c r="B428" s="1" t="str">
        <f>IF('RAW DATA'!$C430&lt;&gt;"",'RAW DATA'!$C430,"")</f>
        <v/>
      </c>
      <c r="C428" s="1" t="str">
        <f>IF('RAW DATA'!$D430&lt;&gt;"",'RAW DATA'!$D430,"")</f>
        <v/>
      </c>
      <c r="D428" s="1" t="str">
        <f>IF(AND($B427&lt;&gt;"", $B428=""), "TOTAL:", IF($D427="TOTAL:","VESSEL TARGET "&amp;'RAW DATA'!$E$2&amp;":",IF('RAW DATA'!$E428&lt;&gt;"",'RAW DATA'!$E428,"")))</f>
        <v/>
      </c>
      <c r="E428" s="29" t="str">
        <f t="shared" si="12"/>
        <v/>
      </c>
      <c r="F428" s="4" t="str">
        <f>IF($D427="TOTAL:",FIXED(ROUND(((SUM($F$4:$F426)/'RAW DATA'!$E$2)*100),1),1)&amp;"%",IF($D428="TOTAL:",SUM($F$4:$F427),IF(SUMIF('RAW DATA'!M:M,'RAW DATA'!B428,'RAW DATA'!H:H)=0,"",SUMIF('RAW DATA'!M:M,'RAW DATA'!B428,'RAW DATA'!H:H))))</f>
        <v/>
      </c>
      <c r="G428" s="4" t="str">
        <f>IF($D427="TOTAL:",FIXED(ROUND(((SUM($G$4:$G426)/'RAW DATA'!$E$2)*100),1),1)&amp;"%",IF($D428="TOTAL:",SUM($G$4:$G427),IF(SUMIF('RAW DATA'!M:M,'RAW DATA'!B428,'RAW DATA'!I:I)=0,"",SUMIF('RAW DATA'!M:M,'RAW DATA'!B428,'RAW DATA'!I:I))))</f>
        <v/>
      </c>
      <c r="H428" s="4" t="str">
        <f>IF(SUM(SUMIF('RAW DATA'!M:M,'RAW DATA'!B428,'RAW DATA'!J:J),SUMIF('RAW DATA'!N:N,'RAW DATA'!B428,'RAW DATA'!J:J),SUMIF('RAW DATA'!O:O,'RAW DATA'!B428,'RAW DATA'!J:J),SUMIF('RAW DATA'!P:P,'RAW DATA'!B428,'RAW DATA'!J:J))=0, "", SUM(SUMIF('RAW DATA'!M:M,'RAW DATA'!B428,'RAW DATA'!J:J),SUMIF('RAW DATA'!N:N,'RAW DATA'!B428,'RAW DATA'!J:J),SUMIF('RAW DATA'!O:O,'RAW DATA'!B428,'RAW DATA'!J:J),SUMIF('RAW DATA'!P:P,'RAW DATA'!B428,'RAW DATA'!J:J)))</f>
        <v/>
      </c>
      <c r="I428" s="4" t="str">
        <f>IF(SUMIF('RAW DATA'!M:M,'RAW DATA'!B428, 'RAW DATA'!K:K)=0, "", SUMIF('RAW DATA'!M:M,'RAW DATA'!B428, 'RAW DATA'!K:K))</f>
        <v/>
      </c>
      <c r="J428" s="29" t="str">
        <f>IF('RAW DATA'!B428&lt;&gt;"",IF(OR('RAW DATA'!H428=1,'RAW DATA'!H428=2),1,IF(ISNUMBER(FIND("Medic",'RAW DATA'!E428)),1,"")),"")</f>
        <v/>
      </c>
      <c r="K428" s="29" t="str">
        <f>IF(AND('RAW DATA'!$B428&lt;&gt;"",'RAW DATA'!L428=1),1,"")</f>
        <v/>
      </c>
      <c r="L428" s="24" t="str">
        <f t="shared" si="13"/>
        <v/>
      </c>
    </row>
    <row r="429" spans="2:12" x14ac:dyDescent="0.25">
      <c r="B429" s="1" t="str">
        <f>IF('RAW DATA'!$C431&lt;&gt;"",'RAW DATA'!$C431,"")</f>
        <v/>
      </c>
      <c r="C429" s="1" t="str">
        <f>IF('RAW DATA'!$D431&lt;&gt;"",'RAW DATA'!$D431,"")</f>
        <v/>
      </c>
      <c r="D429" s="1" t="str">
        <f>IF(AND($B428&lt;&gt;"", $B429=""), "TOTAL:", IF($D428="TOTAL:","VESSEL TARGET "&amp;'RAW DATA'!$E$2&amp;":",IF('RAW DATA'!$E429&lt;&gt;"",'RAW DATA'!$E429,"")))</f>
        <v/>
      </c>
      <c r="E429" s="29" t="str">
        <f t="shared" si="12"/>
        <v/>
      </c>
      <c r="F429" s="4" t="str">
        <f>IF($D428="TOTAL:",FIXED(ROUND(((SUM($F$4:$F427)/'RAW DATA'!$E$2)*100),1),1)&amp;"%",IF($D429="TOTAL:",SUM($F$4:$F428),IF(SUMIF('RAW DATA'!M:M,'RAW DATA'!B429,'RAW DATA'!H:H)=0,"",SUMIF('RAW DATA'!M:M,'RAW DATA'!B429,'RAW DATA'!H:H))))</f>
        <v/>
      </c>
      <c r="G429" s="4" t="str">
        <f>IF($D428="TOTAL:",FIXED(ROUND(((SUM($G$4:$G427)/'RAW DATA'!$E$2)*100),1),1)&amp;"%",IF($D429="TOTAL:",SUM($G$4:$G428),IF(SUMIF('RAW DATA'!M:M,'RAW DATA'!B429,'RAW DATA'!I:I)=0,"",SUMIF('RAW DATA'!M:M,'RAW DATA'!B429,'RAW DATA'!I:I))))</f>
        <v/>
      </c>
      <c r="H429" s="4" t="str">
        <f>IF(SUM(SUMIF('RAW DATA'!M:M,'RAW DATA'!B429,'RAW DATA'!J:J),SUMIF('RAW DATA'!N:N,'RAW DATA'!B429,'RAW DATA'!J:J),SUMIF('RAW DATA'!O:O,'RAW DATA'!B429,'RAW DATA'!J:J),SUMIF('RAW DATA'!P:P,'RAW DATA'!B429,'RAW DATA'!J:J))=0, "", SUM(SUMIF('RAW DATA'!M:M,'RAW DATA'!B429,'RAW DATA'!J:J),SUMIF('RAW DATA'!N:N,'RAW DATA'!B429,'RAW DATA'!J:J),SUMIF('RAW DATA'!O:O,'RAW DATA'!B429,'RAW DATA'!J:J),SUMIF('RAW DATA'!P:P,'RAW DATA'!B429,'RAW DATA'!J:J)))</f>
        <v/>
      </c>
      <c r="I429" s="4" t="str">
        <f>IF(SUMIF('RAW DATA'!M:M,'RAW DATA'!B429, 'RAW DATA'!K:K)=0, "", SUMIF('RAW DATA'!M:M,'RAW DATA'!B429, 'RAW DATA'!K:K))</f>
        <v/>
      </c>
      <c r="J429" s="29" t="str">
        <f>IF('RAW DATA'!B429&lt;&gt;"",IF(OR('RAW DATA'!H429=1,'RAW DATA'!H429=2),1,IF(ISNUMBER(FIND("Medic",'RAW DATA'!E429)),1,"")),"")</f>
        <v/>
      </c>
      <c r="K429" s="29" t="str">
        <f>IF(AND('RAW DATA'!$B429&lt;&gt;"",'RAW DATA'!L429=1),1,"")</f>
        <v/>
      </c>
      <c r="L429" s="24" t="str">
        <f t="shared" si="13"/>
        <v/>
      </c>
    </row>
    <row r="430" spans="2:12" x14ac:dyDescent="0.25">
      <c r="B430" s="1" t="str">
        <f>IF('RAW DATA'!$C432&lt;&gt;"",'RAW DATA'!$C432,"")</f>
        <v/>
      </c>
      <c r="C430" s="1" t="str">
        <f>IF('RAW DATA'!$D432&lt;&gt;"",'RAW DATA'!$D432,"")</f>
        <v/>
      </c>
      <c r="D430" s="1" t="str">
        <f>IF(AND($B429&lt;&gt;"", $B430=""), "TOTAL:", IF($D429="TOTAL:","VESSEL TARGET "&amp;'RAW DATA'!$E$2&amp;":",IF('RAW DATA'!$E430&lt;&gt;"",'RAW DATA'!$E430,"")))</f>
        <v/>
      </c>
      <c r="E430" s="29" t="str">
        <f t="shared" si="12"/>
        <v/>
      </c>
      <c r="F430" s="4" t="str">
        <f>IF($D429="TOTAL:",FIXED(ROUND(((SUM($F$4:$F428)/'RAW DATA'!$E$2)*100),1),1)&amp;"%",IF($D430="TOTAL:",SUM($F$4:$F429),IF(SUMIF('RAW DATA'!M:M,'RAW DATA'!B430,'RAW DATA'!H:H)=0,"",SUMIF('RAW DATA'!M:M,'RAW DATA'!B430,'RAW DATA'!H:H))))</f>
        <v/>
      </c>
      <c r="G430" s="4" t="str">
        <f>IF($D429="TOTAL:",FIXED(ROUND(((SUM($G$4:$G428)/'RAW DATA'!$E$2)*100),1),1)&amp;"%",IF($D430="TOTAL:",SUM($G$4:$G429),IF(SUMIF('RAW DATA'!M:M,'RAW DATA'!B430,'RAW DATA'!I:I)=0,"",SUMIF('RAW DATA'!M:M,'RAW DATA'!B430,'RAW DATA'!I:I))))</f>
        <v/>
      </c>
      <c r="H430" s="4" t="str">
        <f>IF(SUM(SUMIF('RAW DATA'!M:M,'RAW DATA'!B430,'RAW DATA'!J:J),SUMIF('RAW DATA'!N:N,'RAW DATA'!B430,'RAW DATA'!J:J),SUMIF('RAW DATA'!O:O,'RAW DATA'!B430,'RAW DATA'!J:J),SUMIF('RAW DATA'!P:P,'RAW DATA'!B430,'RAW DATA'!J:J))=0, "", SUM(SUMIF('RAW DATA'!M:M,'RAW DATA'!B430,'RAW DATA'!J:J),SUMIF('RAW DATA'!N:N,'RAW DATA'!B430,'RAW DATA'!J:J),SUMIF('RAW DATA'!O:O,'RAW DATA'!B430,'RAW DATA'!J:J),SUMIF('RAW DATA'!P:P,'RAW DATA'!B430,'RAW DATA'!J:J)))</f>
        <v/>
      </c>
      <c r="I430" s="4" t="str">
        <f>IF(SUMIF('RAW DATA'!M:M,'RAW DATA'!B430, 'RAW DATA'!K:K)=0, "", SUMIF('RAW DATA'!M:M,'RAW DATA'!B430, 'RAW DATA'!K:K))</f>
        <v/>
      </c>
      <c r="J430" s="29" t="str">
        <f>IF('RAW DATA'!B430&lt;&gt;"",IF(OR('RAW DATA'!H430=1,'RAW DATA'!H430=2),1,IF(ISNUMBER(FIND("Medic",'RAW DATA'!E430)),1,"")),"")</f>
        <v/>
      </c>
      <c r="K430" s="29" t="str">
        <f>IF(AND('RAW DATA'!$B430&lt;&gt;"",'RAW DATA'!L430=1),1,"")</f>
        <v/>
      </c>
      <c r="L430" s="24" t="str">
        <f t="shared" si="13"/>
        <v/>
      </c>
    </row>
    <row r="431" spans="2:12" x14ac:dyDescent="0.25">
      <c r="B431" s="1" t="str">
        <f>IF('RAW DATA'!$C433&lt;&gt;"",'RAW DATA'!$C433,"")</f>
        <v/>
      </c>
      <c r="C431" s="1" t="str">
        <f>IF('RAW DATA'!$D433&lt;&gt;"",'RAW DATA'!$D433,"")</f>
        <v/>
      </c>
      <c r="D431" s="1" t="str">
        <f>IF(AND($B430&lt;&gt;"", $B431=""), "TOTAL:", IF($D430="TOTAL:","VESSEL TARGET "&amp;'RAW DATA'!$E$2&amp;":",IF('RAW DATA'!$E431&lt;&gt;"",'RAW DATA'!$E431,"")))</f>
        <v/>
      </c>
      <c r="E431" s="29" t="str">
        <f t="shared" si="12"/>
        <v/>
      </c>
      <c r="F431" s="4" t="str">
        <f>IF($D430="TOTAL:",FIXED(ROUND(((SUM($F$4:$F429)/'RAW DATA'!$E$2)*100),1),1)&amp;"%",IF($D431="TOTAL:",SUM($F$4:$F430),IF(SUMIF('RAW DATA'!M:M,'RAW DATA'!B431,'RAW DATA'!H:H)=0,"",SUMIF('RAW DATA'!M:M,'RAW DATA'!B431,'RAW DATA'!H:H))))</f>
        <v/>
      </c>
      <c r="G431" s="4" t="str">
        <f>IF($D430="TOTAL:",FIXED(ROUND(((SUM($G$4:$G429)/'RAW DATA'!$E$2)*100),1),1)&amp;"%",IF($D431="TOTAL:",SUM($G$4:$G430),IF(SUMIF('RAW DATA'!M:M,'RAW DATA'!B431,'RAW DATA'!I:I)=0,"",SUMIF('RAW DATA'!M:M,'RAW DATA'!B431,'RAW DATA'!I:I))))</f>
        <v/>
      </c>
      <c r="H431" s="4" t="str">
        <f>IF(SUM(SUMIF('RAW DATA'!M:M,'RAW DATA'!B431,'RAW DATA'!J:J),SUMIF('RAW DATA'!N:N,'RAW DATA'!B431,'RAW DATA'!J:J),SUMIF('RAW DATA'!O:O,'RAW DATA'!B431,'RAW DATA'!J:J),SUMIF('RAW DATA'!P:P,'RAW DATA'!B431,'RAW DATA'!J:J))=0, "", SUM(SUMIF('RAW DATA'!M:M,'RAW DATA'!B431,'RAW DATA'!J:J),SUMIF('RAW DATA'!N:N,'RAW DATA'!B431,'RAW DATA'!J:J),SUMIF('RAW DATA'!O:O,'RAW DATA'!B431,'RAW DATA'!J:J),SUMIF('RAW DATA'!P:P,'RAW DATA'!B431,'RAW DATA'!J:J)))</f>
        <v/>
      </c>
      <c r="I431" s="4" t="str">
        <f>IF(SUMIF('RAW DATA'!M:M,'RAW DATA'!B431, 'RAW DATA'!K:K)=0, "", SUMIF('RAW DATA'!M:M,'RAW DATA'!B431, 'RAW DATA'!K:K))</f>
        <v/>
      </c>
      <c r="J431" s="29" t="str">
        <f>IF('RAW DATA'!B431&lt;&gt;"",IF(OR('RAW DATA'!H431=1,'RAW DATA'!H431=2),1,IF(ISNUMBER(FIND("Medic",'RAW DATA'!E431)),1,"")),"")</f>
        <v/>
      </c>
      <c r="K431" s="29" t="str">
        <f>IF(AND('RAW DATA'!$B431&lt;&gt;"",'RAW DATA'!L431=1),1,"")</f>
        <v/>
      </c>
      <c r="L431" s="24" t="str">
        <f t="shared" si="13"/>
        <v/>
      </c>
    </row>
    <row r="432" spans="2:12" x14ac:dyDescent="0.25">
      <c r="B432" s="1" t="str">
        <f>IF('RAW DATA'!$C434&lt;&gt;"",'RAW DATA'!$C434,"")</f>
        <v/>
      </c>
      <c r="C432" s="1" t="str">
        <f>IF('RAW DATA'!$D434&lt;&gt;"",'RAW DATA'!$D434,"")</f>
        <v/>
      </c>
      <c r="D432" s="1" t="str">
        <f>IF(AND($B431&lt;&gt;"", $B432=""), "TOTAL:", IF($D431="TOTAL:","VESSEL TARGET "&amp;'RAW DATA'!$E$2&amp;":",IF('RAW DATA'!$E432&lt;&gt;"",'RAW DATA'!$E432,"")))</f>
        <v/>
      </c>
      <c r="E432" s="29" t="str">
        <f t="shared" si="12"/>
        <v/>
      </c>
      <c r="F432" s="4" t="str">
        <f>IF($D431="TOTAL:",FIXED(ROUND(((SUM($F$4:$F430)/'RAW DATA'!$E$2)*100),1),1)&amp;"%",IF($D432="TOTAL:",SUM($F$4:$F431),IF(SUMIF('RAW DATA'!M:M,'RAW DATA'!B432,'RAW DATA'!H:H)=0,"",SUMIF('RAW DATA'!M:M,'RAW DATA'!B432,'RAW DATA'!H:H))))</f>
        <v/>
      </c>
      <c r="G432" s="4" t="str">
        <f>IF($D431="TOTAL:",FIXED(ROUND(((SUM($G$4:$G430)/'RAW DATA'!$E$2)*100),1),1)&amp;"%",IF($D432="TOTAL:",SUM($G$4:$G431),IF(SUMIF('RAW DATA'!M:M,'RAW DATA'!B432,'RAW DATA'!I:I)=0,"",SUMIF('RAW DATA'!M:M,'RAW DATA'!B432,'RAW DATA'!I:I))))</f>
        <v/>
      </c>
      <c r="H432" s="4" t="str">
        <f>IF(SUM(SUMIF('RAW DATA'!M:M,'RAW DATA'!B432,'RAW DATA'!J:J),SUMIF('RAW DATA'!N:N,'RAW DATA'!B432,'RAW DATA'!J:J),SUMIF('RAW DATA'!O:O,'RAW DATA'!B432,'RAW DATA'!J:J),SUMIF('RAW DATA'!P:P,'RAW DATA'!B432,'RAW DATA'!J:J))=0, "", SUM(SUMIF('RAW DATA'!M:M,'RAW DATA'!B432,'RAW DATA'!J:J),SUMIF('RAW DATA'!N:N,'RAW DATA'!B432,'RAW DATA'!J:J),SUMIF('RAW DATA'!O:O,'RAW DATA'!B432,'RAW DATA'!J:J),SUMIF('RAW DATA'!P:P,'RAW DATA'!B432,'RAW DATA'!J:J)))</f>
        <v/>
      </c>
      <c r="I432" s="4" t="str">
        <f>IF(SUMIF('RAW DATA'!M:M,'RAW DATA'!B432, 'RAW DATA'!K:K)=0, "", SUMIF('RAW DATA'!M:M,'RAW DATA'!B432, 'RAW DATA'!K:K))</f>
        <v/>
      </c>
      <c r="J432" s="29" t="str">
        <f>IF('RAW DATA'!B432&lt;&gt;"",IF(OR('RAW DATA'!H432=1,'RAW DATA'!H432=2),1,IF(ISNUMBER(FIND("Medic",'RAW DATA'!E432)),1,"")),"")</f>
        <v/>
      </c>
      <c r="K432" s="29" t="str">
        <f>IF(AND('RAW DATA'!$B432&lt;&gt;"",'RAW DATA'!L432=1),1,"")</f>
        <v/>
      </c>
      <c r="L432" s="24" t="str">
        <f t="shared" si="13"/>
        <v/>
      </c>
    </row>
    <row r="433" spans="2:12" x14ac:dyDescent="0.25">
      <c r="B433" s="1" t="str">
        <f>IF('RAW DATA'!$C435&lt;&gt;"",'RAW DATA'!$C435,"")</f>
        <v/>
      </c>
      <c r="C433" s="1" t="str">
        <f>IF('RAW DATA'!$D435&lt;&gt;"",'RAW DATA'!$D435,"")</f>
        <v/>
      </c>
      <c r="D433" s="1" t="str">
        <f>IF(AND($B432&lt;&gt;"", $B433=""), "TOTAL:", IF($D432="TOTAL:","VESSEL TARGET "&amp;'RAW DATA'!$E$2&amp;":",IF('RAW DATA'!$E433&lt;&gt;"",'RAW DATA'!$E433,"")))</f>
        <v/>
      </c>
      <c r="E433" s="29" t="str">
        <f t="shared" si="12"/>
        <v/>
      </c>
      <c r="F433" s="4" t="str">
        <f>IF($D432="TOTAL:",FIXED(ROUND(((SUM($F$4:$F431)/'RAW DATA'!$E$2)*100),1),1)&amp;"%",IF($D433="TOTAL:",SUM($F$4:$F432),IF(SUMIF('RAW DATA'!M:M,'RAW DATA'!B433,'RAW DATA'!H:H)=0,"",SUMIF('RAW DATA'!M:M,'RAW DATA'!B433,'RAW DATA'!H:H))))</f>
        <v/>
      </c>
      <c r="G433" s="4" t="str">
        <f>IF($D432="TOTAL:",FIXED(ROUND(((SUM($G$4:$G431)/'RAW DATA'!$E$2)*100),1),1)&amp;"%",IF($D433="TOTAL:",SUM($G$4:$G432),IF(SUMIF('RAW DATA'!M:M,'RAW DATA'!B433,'RAW DATA'!I:I)=0,"",SUMIF('RAW DATA'!M:M,'RAW DATA'!B433,'RAW DATA'!I:I))))</f>
        <v/>
      </c>
      <c r="H433" s="4" t="str">
        <f>IF(SUM(SUMIF('RAW DATA'!M:M,'RAW DATA'!B433,'RAW DATA'!J:J),SUMIF('RAW DATA'!N:N,'RAW DATA'!B433,'RAW DATA'!J:J),SUMIF('RAW DATA'!O:O,'RAW DATA'!B433,'RAW DATA'!J:J),SUMIF('RAW DATA'!P:P,'RAW DATA'!B433,'RAW DATA'!J:J))=0, "", SUM(SUMIF('RAW DATA'!M:M,'RAW DATA'!B433,'RAW DATA'!J:J),SUMIF('RAW DATA'!N:N,'RAW DATA'!B433,'RAW DATA'!J:J),SUMIF('RAW DATA'!O:O,'RAW DATA'!B433,'RAW DATA'!J:J),SUMIF('RAW DATA'!P:P,'RAW DATA'!B433,'RAW DATA'!J:J)))</f>
        <v/>
      </c>
      <c r="I433" s="4" t="str">
        <f>IF(SUMIF('RAW DATA'!M:M,'RAW DATA'!B433, 'RAW DATA'!K:K)=0, "", SUMIF('RAW DATA'!M:M,'RAW DATA'!B433, 'RAW DATA'!K:K))</f>
        <v/>
      </c>
      <c r="J433" s="29" t="str">
        <f>IF('RAW DATA'!B433&lt;&gt;"",IF(OR('RAW DATA'!H433=1,'RAW DATA'!H433=2),1,IF(ISNUMBER(FIND("Medic",'RAW DATA'!E433)),1,"")),"")</f>
        <v/>
      </c>
      <c r="K433" s="29" t="str">
        <f>IF(AND('RAW DATA'!$B433&lt;&gt;"",'RAW DATA'!L433=1),1,"")</f>
        <v/>
      </c>
      <c r="L433" s="24" t="str">
        <f t="shared" si="13"/>
        <v/>
      </c>
    </row>
    <row r="434" spans="2:12" x14ac:dyDescent="0.25">
      <c r="B434" s="1" t="str">
        <f>IF('RAW DATA'!$C436&lt;&gt;"",'RAW DATA'!$C436,"")</f>
        <v/>
      </c>
      <c r="C434" s="1" t="str">
        <f>IF('RAW DATA'!$D436&lt;&gt;"",'RAW DATA'!$D436,"")</f>
        <v/>
      </c>
      <c r="D434" s="1" t="str">
        <f>IF(AND($B433&lt;&gt;"", $B434=""), "TOTAL:", IF($D433="TOTAL:","VESSEL TARGET "&amp;'RAW DATA'!$E$2&amp;":",IF('RAW DATA'!$E434&lt;&gt;"",'RAW DATA'!$E434,"")))</f>
        <v/>
      </c>
      <c r="E434" s="29" t="str">
        <f t="shared" si="12"/>
        <v/>
      </c>
      <c r="F434" s="4" t="str">
        <f>IF($D433="TOTAL:",FIXED(ROUND(((SUM($F$4:$F432)/'RAW DATA'!$E$2)*100),1),1)&amp;"%",IF($D434="TOTAL:",SUM($F$4:$F433),IF(SUMIF('RAW DATA'!M:M,'RAW DATA'!B434,'RAW DATA'!H:H)=0,"",SUMIF('RAW DATA'!M:M,'RAW DATA'!B434,'RAW DATA'!H:H))))</f>
        <v/>
      </c>
      <c r="G434" s="4" t="str">
        <f>IF($D433="TOTAL:",FIXED(ROUND(((SUM($G$4:$G432)/'RAW DATA'!$E$2)*100),1),1)&amp;"%",IF($D434="TOTAL:",SUM($G$4:$G433),IF(SUMIF('RAW DATA'!M:M,'RAW DATA'!B434,'RAW DATA'!I:I)=0,"",SUMIF('RAW DATA'!M:M,'RAW DATA'!B434,'RAW DATA'!I:I))))</f>
        <v/>
      </c>
      <c r="H434" s="4" t="str">
        <f>IF(SUM(SUMIF('RAW DATA'!M:M,'RAW DATA'!B434,'RAW DATA'!J:J),SUMIF('RAW DATA'!N:N,'RAW DATA'!B434,'RAW DATA'!J:J),SUMIF('RAW DATA'!O:O,'RAW DATA'!B434,'RAW DATA'!J:J),SUMIF('RAW DATA'!P:P,'RAW DATA'!B434,'RAW DATA'!J:J))=0, "", SUM(SUMIF('RAW DATA'!M:M,'RAW DATA'!B434,'RAW DATA'!J:J),SUMIF('RAW DATA'!N:N,'RAW DATA'!B434,'RAW DATA'!J:J),SUMIF('RAW DATA'!O:O,'RAW DATA'!B434,'RAW DATA'!J:J),SUMIF('RAW DATA'!P:P,'RAW DATA'!B434,'RAW DATA'!J:J)))</f>
        <v/>
      </c>
      <c r="I434" s="4" t="str">
        <f>IF(SUMIF('RAW DATA'!M:M,'RAW DATA'!B434, 'RAW DATA'!K:K)=0, "", SUMIF('RAW DATA'!M:M,'RAW DATA'!B434, 'RAW DATA'!K:K))</f>
        <v/>
      </c>
      <c r="J434" s="29" t="str">
        <f>IF('RAW DATA'!B434&lt;&gt;"",IF(OR('RAW DATA'!H434=1,'RAW DATA'!H434=2),1,IF(ISNUMBER(FIND("Medic",'RAW DATA'!E434)),1,"")),"")</f>
        <v/>
      </c>
      <c r="K434" s="29" t="str">
        <f>IF(AND('RAW DATA'!$B434&lt;&gt;"",'RAW DATA'!L434=1),1,"")</f>
        <v/>
      </c>
      <c r="L434" s="24" t="str">
        <f t="shared" si="13"/>
        <v/>
      </c>
    </row>
    <row r="435" spans="2:12" x14ac:dyDescent="0.25">
      <c r="B435" s="1" t="str">
        <f>IF('RAW DATA'!$C437&lt;&gt;"",'RAW DATA'!$C437,"")</f>
        <v/>
      </c>
      <c r="C435" s="1" t="str">
        <f>IF('RAW DATA'!$D437&lt;&gt;"",'RAW DATA'!$D437,"")</f>
        <v/>
      </c>
      <c r="D435" s="1" t="str">
        <f>IF(AND($B434&lt;&gt;"", $B435=""), "TOTAL:", IF($D434="TOTAL:","VESSEL TARGET "&amp;'RAW DATA'!$E$2&amp;":",IF('RAW DATA'!$E435&lt;&gt;"",'RAW DATA'!$E435,"")))</f>
        <v/>
      </c>
      <c r="E435" s="29" t="str">
        <f t="shared" si="12"/>
        <v/>
      </c>
      <c r="F435" s="4" t="str">
        <f>IF($D434="TOTAL:",FIXED(ROUND(((SUM($F$4:$F433)/'RAW DATA'!$E$2)*100),1),1)&amp;"%",IF($D435="TOTAL:",SUM($F$4:$F434),IF(SUMIF('RAW DATA'!M:M,'RAW DATA'!B435,'RAW DATA'!H:H)=0,"",SUMIF('RAW DATA'!M:M,'RAW DATA'!B435,'RAW DATA'!H:H))))</f>
        <v/>
      </c>
      <c r="G435" s="4" t="str">
        <f>IF($D434="TOTAL:",FIXED(ROUND(((SUM($G$4:$G433)/'RAW DATA'!$E$2)*100),1),1)&amp;"%",IF($D435="TOTAL:",SUM($G$4:$G434),IF(SUMIF('RAW DATA'!M:M,'RAW DATA'!B435,'RAW DATA'!I:I)=0,"",SUMIF('RAW DATA'!M:M,'RAW DATA'!B435,'RAW DATA'!I:I))))</f>
        <v/>
      </c>
      <c r="H435" s="4" t="str">
        <f>IF(SUM(SUMIF('RAW DATA'!M:M,'RAW DATA'!B435,'RAW DATA'!J:J),SUMIF('RAW DATA'!N:N,'RAW DATA'!B435,'RAW DATA'!J:J),SUMIF('RAW DATA'!O:O,'RAW DATA'!B435,'RAW DATA'!J:J),SUMIF('RAW DATA'!P:P,'RAW DATA'!B435,'RAW DATA'!J:J))=0, "", SUM(SUMIF('RAW DATA'!M:M,'RAW DATA'!B435,'RAW DATA'!J:J),SUMIF('RAW DATA'!N:N,'RAW DATA'!B435,'RAW DATA'!J:J),SUMIF('RAW DATA'!O:O,'RAW DATA'!B435,'RAW DATA'!J:J),SUMIF('RAW DATA'!P:P,'RAW DATA'!B435,'RAW DATA'!J:J)))</f>
        <v/>
      </c>
      <c r="I435" s="4" t="str">
        <f>IF(SUMIF('RAW DATA'!M:M,'RAW DATA'!B435, 'RAW DATA'!K:K)=0, "", SUMIF('RAW DATA'!M:M,'RAW DATA'!B435, 'RAW DATA'!K:K))</f>
        <v/>
      </c>
      <c r="J435" s="29" t="str">
        <f>IF('RAW DATA'!B435&lt;&gt;"",IF(OR('RAW DATA'!H435=1,'RAW DATA'!H435=2),1,IF(ISNUMBER(FIND("Medic",'RAW DATA'!E435)),1,"")),"")</f>
        <v/>
      </c>
      <c r="K435" s="29" t="str">
        <f>IF(AND('RAW DATA'!$B435&lt;&gt;"",'RAW DATA'!L435=1),1,"")</f>
        <v/>
      </c>
      <c r="L435" s="24" t="str">
        <f t="shared" si="13"/>
        <v/>
      </c>
    </row>
    <row r="436" spans="2:12" x14ac:dyDescent="0.25">
      <c r="B436" s="1" t="str">
        <f>IF('RAW DATA'!$C438&lt;&gt;"",'RAW DATA'!$C438,"")</f>
        <v/>
      </c>
      <c r="C436" s="1" t="str">
        <f>IF('RAW DATA'!$D438&lt;&gt;"",'RAW DATA'!$D438,"")</f>
        <v/>
      </c>
      <c r="D436" s="1" t="str">
        <f>IF(AND($B435&lt;&gt;"", $B436=""), "TOTAL:", IF($D435="TOTAL:","VESSEL TARGET "&amp;'RAW DATA'!$E$2&amp;":",IF('RAW DATA'!$E436&lt;&gt;"",'RAW DATA'!$E436,"")))</f>
        <v/>
      </c>
      <c r="E436" s="29" t="str">
        <f t="shared" si="12"/>
        <v/>
      </c>
      <c r="F436" s="4" t="str">
        <f>IF($D435="TOTAL:",FIXED(ROUND(((SUM($F$4:$F434)/'RAW DATA'!$E$2)*100),1),1)&amp;"%",IF($D436="TOTAL:",SUM($F$4:$F435),IF(SUMIF('RAW DATA'!M:M,'RAW DATA'!B436,'RAW DATA'!H:H)=0,"",SUMIF('RAW DATA'!M:M,'RAW DATA'!B436,'RAW DATA'!H:H))))</f>
        <v/>
      </c>
      <c r="G436" s="4" t="str">
        <f>IF($D435="TOTAL:",FIXED(ROUND(((SUM($G$4:$G434)/'RAW DATA'!$E$2)*100),1),1)&amp;"%",IF($D436="TOTAL:",SUM($G$4:$G435),IF(SUMIF('RAW DATA'!M:M,'RAW DATA'!B436,'RAW DATA'!I:I)=0,"",SUMIF('RAW DATA'!M:M,'RAW DATA'!B436,'RAW DATA'!I:I))))</f>
        <v/>
      </c>
      <c r="H436" s="4" t="str">
        <f>IF(SUM(SUMIF('RAW DATA'!M:M,'RAW DATA'!B436,'RAW DATA'!J:J),SUMIF('RAW DATA'!N:N,'RAW DATA'!B436,'RAW DATA'!J:J),SUMIF('RAW DATA'!O:O,'RAW DATA'!B436,'RAW DATA'!J:J),SUMIF('RAW DATA'!P:P,'RAW DATA'!B436,'RAW DATA'!J:J))=0, "", SUM(SUMIF('RAW DATA'!M:M,'RAW DATA'!B436,'RAW DATA'!J:J),SUMIF('RAW DATA'!N:N,'RAW DATA'!B436,'RAW DATA'!J:J),SUMIF('RAW DATA'!O:O,'RAW DATA'!B436,'RAW DATA'!J:J),SUMIF('RAW DATA'!P:P,'RAW DATA'!B436,'RAW DATA'!J:J)))</f>
        <v/>
      </c>
      <c r="I436" s="4" t="str">
        <f>IF(SUMIF('RAW DATA'!M:M,'RAW DATA'!B436, 'RAW DATA'!K:K)=0, "", SUMIF('RAW DATA'!M:M,'RAW DATA'!B436, 'RAW DATA'!K:K))</f>
        <v/>
      </c>
      <c r="J436" s="29" t="str">
        <f>IF('RAW DATA'!B436&lt;&gt;"",IF(OR('RAW DATA'!H436=1,'RAW DATA'!H436=2),1,IF(ISNUMBER(FIND("Medic",'RAW DATA'!E436)),1,"")),"")</f>
        <v/>
      </c>
      <c r="K436" s="29" t="str">
        <f>IF(AND('RAW DATA'!$B436&lt;&gt;"",'RAW DATA'!L436=1),1,"")</f>
        <v/>
      </c>
      <c r="L436" s="24" t="str">
        <f t="shared" si="13"/>
        <v/>
      </c>
    </row>
    <row r="437" spans="2:12" x14ac:dyDescent="0.25">
      <c r="B437" s="1" t="str">
        <f>IF('RAW DATA'!$C439&lt;&gt;"",'RAW DATA'!$C439,"")</f>
        <v/>
      </c>
      <c r="C437" s="1" t="str">
        <f>IF('RAW DATA'!$D439&lt;&gt;"",'RAW DATA'!$D439,"")</f>
        <v/>
      </c>
      <c r="D437" s="1" t="str">
        <f>IF(AND($B436&lt;&gt;"", $B437=""), "TOTAL:", IF($D436="TOTAL:","VESSEL TARGET "&amp;'RAW DATA'!$E$2&amp;":",IF('RAW DATA'!$E437&lt;&gt;"",'RAW DATA'!$E437,"")))</f>
        <v/>
      </c>
      <c r="E437" s="29" t="str">
        <f t="shared" si="12"/>
        <v/>
      </c>
      <c r="F437" s="4" t="str">
        <f>IF($D436="TOTAL:",FIXED(ROUND(((SUM($F$4:$F435)/'RAW DATA'!$E$2)*100),1),1)&amp;"%",IF($D437="TOTAL:",SUM($F$4:$F436),IF(SUMIF('RAW DATA'!M:M,'RAW DATA'!B437,'RAW DATA'!H:H)=0,"",SUMIF('RAW DATA'!M:M,'RAW DATA'!B437,'RAW DATA'!H:H))))</f>
        <v/>
      </c>
      <c r="G437" s="4" t="str">
        <f>IF($D436="TOTAL:",FIXED(ROUND(((SUM($G$4:$G435)/'RAW DATA'!$E$2)*100),1),1)&amp;"%",IF($D437="TOTAL:",SUM($G$4:$G436),IF(SUMIF('RAW DATA'!M:M,'RAW DATA'!B437,'RAW DATA'!I:I)=0,"",SUMIF('RAW DATA'!M:M,'RAW DATA'!B437,'RAW DATA'!I:I))))</f>
        <v/>
      </c>
      <c r="H437" s="4" t="str">
        <f>IF(SUM(SUMIF('RAW DATA'!M:M,'RAW DATA'!B437,'RAW DATA'!J:J),SUMIF('RAW DATA'!N:N,'RAW DATA'!B437,'RAW DATA'!J:J),SUMIF('RAW DATA'!O:O,'RAW DATA'!B437,'RAW DATA'!J:J),SUMIF('RAW DATA'!P:P,'RAW DATA'!B437,'RAW DATA'!J:J))=0, "", SUM(SUMIF('RAW DATA'!M:M,'RAW DATA'!B437,'RAW DATA'!J:J),SUMIF('RAW DATA'!N:N,'RAW DATA'!B437,'RAW DATA'!J:J),SUMIF('RAW DATA'!O:O,'RAW DATA'!B437,'RAW DATA'!J:J),SUMIF('RAW DATA'!P:P,'RAW DATA'!B437,'RAW DATA'!J:J)))</f>
        <v/>
      </c>
      <c r="I437" s="4" t="str">
        <f>IF(SUMIF('RAW DATA'!M:M,'RAW DATA'!B437, 'RAW DATA'!K:K)=0, "", SUMIF('RAW DATA'!M:M,'RAW DATA'!B437, 'RAW DATA'!K:K))</f>
        <v/>
      </c>
      <c r="J437" s="29" t="str">
        <f>IF('RAW DATA'!B437&lt;&gt;"",IF(OR('RAW DATA'!H437=1,'RAW DATA'!H437=2),1,IF(ISNUMBER(FIND("Medic",'RAW DATA'!E437)),1,"")),"")</f>
        <v/>
      </c>
      <c r="K437" s="29" t="str">
        <f>IF(AND('RAW DATA'!$B437&lt;&gt;"",'RAW DATA'!L437=1),1,"")</f>
        <v/>
      </c>
      <c r="L437" s="24" t="str">
        <f t="shared" si="13"/>
        <v/>
      </c>
    </row>
    <row r="438" spans="2:12" x14ac:dyDescent="0.25">
      <c r="B438" s="1" t="str">
        <f>IF('RAW DATA'!$C440&lt;&gt;"",'RAW DATA'!$C440,"")</f>
        <v/>
      </c>
      <c r="C438" s="1" t="str">
        <f>IF('RAW DATA'!$D440&lt;&gt;"",'RAW DATA'!$D440,"")</f>
        <v/>
      </c>
      <c r="D438" s="1" t="str">
        <f>IF(AND($B437&lt;&gt;"", $B438=""), "TOTAL:", IF($D437="TOTAL:","VESSEL TARGET "&amp;'RAW DATA'!$E$2&amp;":",IF('RAW DATA'!$E438&lt;&gt;"",'RAW DATA'!$E438,"")))</f>
        <v/>
      </c>
      <c r="E438" s="29" t="str">
        <f t="shared" si="12"/>
        <v/>
      </c>
      <c r="F438" s="4" t="str">
        <f>IF($D437="TOTAL:",FIXED(ROUND(((SUM($F$4:$F436)/'RAW DATA'!$E$2)*100),1),1)&amp;"%",IF($D438="TOTAL:",SUM($F$4:$F437),IF(SUMIF('RAW DATA'!M:M,'RAW DATA'!B438,'RAW DATA'!H:H)=0,"",SUMIF('RAW DATA'!M:M,'RAW DATA'!B438,'RAW DATA'!H:H))))</f>
        <v/>
      </c>
      <c r="G438" s="4" t="str">
        <f>IF($D437="TOTAL:",FIXED(ROUND(((SUM($G$4:$G436)/'RAW DATA'!$E$2)*100),1),1)&amp;"%",IF($D438="TOTAL:",SUM($G$4:$G437),IF(SUMIF('RAW DATA'!M:M,'RAW DATA'!B438,'RAW DATA'!I:I)=0,"",SUMIF('RAW DATA'!M:M,'RAW DATA'!B438,'RAW DATA'!I:I))))</f>
        <v/>
      </c>
      <c r="H438" s="4" t="str">
        <f>IF(SUM(SUMIF('RAW DATA'!M:M,'RAW DATA'!B438,'RAW DATA'!J:J),SUMIF('RAW DATA'!N:N,'RAW DATA'!B438,'RAW DATA'!J:J),SUMIF('RAW DATA'!O:O,'RAW DATA'!B438,'RAW DATA'!J:J),SUMIF('RAW DATA'!P:P,'RAW DATA'!B438,'RAW DATA'!J:J))=0, "", SUM(SUMIF('RAW DATA'!M:M,'RAW DATA'!B438,'RAW DATA'!J:J),SUMIF('RAW DATA'!N:N,'RAW DATA'!B438,'RAW DATA'!J:J),SUMIF('RAW DATA'!O:O,'RAW DATA'!B438,'RAW DATA'!J:J),SUMIF('RAW DATA'!P:P,'RAW DATA'!B438,'RAW DATA'!J:J)))</f>
        <v/>
      </c>
      <c r="I438" s="4" t="str">
        <f>IF(SUMIF('RAW DATA'!M:M,'RAW DATA'!B438, 'RAW DATA'!K:K)=0, "", SUMIF('RAW DATA'!M:M,'RAW DATA'!B438, 'RAW DATA'!K:K))</f>
        <v/>
      </c>
      <c r="J438" s="29" t="str">
        <f>IF('RAW DATA'!B438&lt;&gt;"",IF(OR('RAW DATA'!H438=1,'RAW DATA'!H438=2),1,IF(ISNUMBER(FIND("Medic",'RAW DATA'!E438)),1,"")),"")</f>
        <v/>
      </c>
      <c r="K438" s="29" t="str">
        <f>IF(AND('RAW DATA'!$B438&lt;&gt;"",'RAW DATA'!L438=1),1,"")</f>
        <v/>
      </c>
      <c r="L438" s="24" t="str">
        <f t="shared" si="13"/>
        <v/>
      </c>
    </row>
    <row r="439" spans="2:12" x14ac:dyDescent="0.25">
      <c r="B439" s="1" t="str">
        <f>IF('RAW DATA'!$C441&lt;&gt;"",'RAW DATA'!$C441,"")</f>
        <v/>
      </c>
      <c r="C439" s="1" t="str">
        <f>IF('RAW DATA'!$D441&lt;&gt;"",'RAW DATA'!$D441,"")</f>
        <v/>
      </c>
      <c r="D439" s="1" t="str">
        <f>IF(AND($B438&lt;&gt;"", $B439=""), "TOTAL:", IF($D438="TOTAL:","VESSEL TARGET "&amp;'RAW DATA'!$E$2&amp;":",IF('RAW DATA'!$E439&lt;&gt;"",'RAW DATA'!$E439,"")))</f>
        <v/>
      </c>
      <c r="E439" s="29" t="str">
        <f t="shared" si="12"/>
        <v/>
      </c>
      <c r="F439" s="4" t="str">
        <f>IF($D438="TOTAL:",FIXED(ROUND(((SUM($F$4:$F437)/'RAW DATA'!$E$2)*100),1),1)&amp;"%",IF($D439="TOTAL:",SUM($F$4:$F438),IF(SUMIF('RAW DATA'!M:M,'RAW DATA'!B439,'RAW DATA'!H:H)=0,"",SUMIF('RAW DATA'!M:M,'RAW DATA'!B439,'RAW DATA'!H:H))))</f>
        <v/>
      </c>
      <c r="G439" s="4" t="str">
        <f>IF($D438="TOTAL:",FIXED(ROUND(((SUM($G$4:$G437)/'RAW DATA'!$E$2)*100),1),1)&amp;"%",IF($D439="TOTAL:",SUM($G$4:$G438),IF(SUMIF('RAW DATA'!M:M,'RAW DATA'!B439,'RAW DATA'!I:I)=0,"",SUMIF('RAW DATA'!M:M,'RAW DATA'!B439,'RAW DATA'!I:I))))</f>
        <v/>
      </c>
      <c r="H439" s="4" t="str">
        <f>IF(SUM(SUMIF('RAW DATA'!M:M,'RAW DATA'!B439,'RAW DATA'!J:J),SUMIF('RAW DATA'!N:N,'RAW DATA'!B439,'RAW DATA'!J:J),SUMIF('RAW DATA'!O:O,'RAW DATA'!B439,'RAW DATA'!J:J),SUMIF('RAW DATA'!P:P,'RAW DATA'!B439,'RAW DATA'!J:J))=0, "", SUM(SUMIF('RAW DATA'!M:M,'RAW DATA'!B439,'RAW DATA'!J:J),SUMIF('RAW DATA'!N:N,'RAW DATA'!B439,'RAW DATA'!J:J),SUMIF('RAW DATA'!O:O,'RAW DATA'!B439,'RAW DATA'!J:J),SUMIF('RAW DATA'!P:P,'RAW DATA'!B439,'RAW DATA'!J:J)))</f>
        <v/>
      </c>
      <c r="I439" s="4" t="str">
        <f>IF(SUMIF('RAW DATA'!M:M,'RAW DATA'!B439, 'RAW DATA'!K:K)=0, "", SUMIF('RAW DATA'!M:M,'RAW DATA'!B439, 'RAW DATA'!K:K))</f>
        <v/>
      </c>
      <c r="J439" s="29" t="str">
        <f>IF('RAW DATA'!B439&lt;&gt;"",IF(OR('RAW DATA'!H439=1,'RAW DATA'!H439=2),1,IF(ISNUMBER(FIND("Medic",'RAW DATA'!E439)),1,"")),"")</f>
        <v/>
      </c>
      <c r="K439" s="29" t="str">
        <f>IF(AND('RAW DATA'!$B439&lt;&gt;"",'RAW DATA'!L439=1),1,"")</f>
        <v/>
      </c>
      <c r="L439" s="24" t="str">
        <f t="shared" si="13"/>
        <v/>
      </c>
    </row>
    <row r="440" spans="2:12" x14ac:dyDescent="0.25">
      <c r="B440" s="1" t="str">
        <f>IF('RAW DATA'!$C442&lt;&gt;"",'RAW DATA'!$C442,"")</f>
        <v/>
      </c>
      <c r="C440" s="1" t="str">
        <f>IF('RAW DATA'!$D442&lt;&gt;"",'RAW DATA'!$D442,"")</f>
        <v/>
      </c>
      <c r="D440" s="1" t="str">
        <f>IF(AND($B439&lt;&gt;"", $B440=""), "TOTAL:", IF($D439="TOTAL:","VESSEL TARGET "&amp;'RAW DATA'!$E$2&amp;":",IF('RAW DATA'!$E440&lt;&gt;"",'RAW DATA'!$E440,"")))</f>
        <v/>
      </c>
      <c r="E440" s="29" t="str">
        <f t="shared" si="12"/>
        <v/>
      </c>
      <c r="F440" s="4" t="str">
        <f>IF($D439="TOTAL:",FIXED(ROUND(((SUM($F$4:$F438)/'RAW DATA'!$E$2)*100),1),1)&amp;"%",IF($D440="TOTAL:",SUM($F$4:$F439),IF(SUMIF('RAW DATA'!M:M,'RAW DATA'!B440,'RAW DATA'!H:H)=0,"",SUMIF('RAW DATA'!M:M,'RAW DATA'!B440,'RAW DATA'!H:H))))</f>
        <v/>
      </c>
      <c r="G440" s="4" t="str">
        <f>IF($D439="TOTAL:",FIXED(ROUND(((SUM($G$4:$G438)/'RAW DATA'!$E$2)*100),1),1)&amp;"%",IF($D440="TOTAL:",SUM($G$4:$G439),IF(SUMIF('RAW DATA'!M:M,'RAW DATA'!B440,'RAW DATA'!I:I)=0,"",SUMIF('RAW DATA'!M:M,'RAW DATA'!B440,'RAW DATA'!I:I))))</f>
        <v/>
      </c>
      <c r="H440" s="4" t="str">
        <f>IF(SUM(SUMIF('RAW DATA'!M:M,'RAW DATA'!B440,'RAW DATA'!J:J),SUMIF('RAW DATA'!N:N,'RAW DATA'!B440,'RAW DATA'!J:J),SUMIF('RAW DATA'!O:O,'RAW DATA'!B440,'RAW DATA'!J:J),SUMIF('RAW DATA'!P:P,'RAW DATA'!B440,'RAW DATA'!J:J))=0, "", SUM(SUMIF('RAW DATA'!M:M,'RAW DATA'!B440,'RAW DATA'!J:J),SUMIF('RAW DATA'!N:N,'RAW DATA'!B440,'RAW DATA'!J:J),SUMIF('RAW DATA'!O:O,'RAW DATA'!B440,'RAW DATA'!J:J),SUMIF('RAW DATA'!P:P,'RAW DATA'!B440,'RAW DATA'!J:J)))</f>
        <v/>
      </c>
      <c r="I440" s="4" t="str">
        <f>IF(SUMIF('RAW DATA'!M:M,'RAW DATA'!B440, 'RAW DATA'!K:K)=0, "", SUMIF('RAW DATA'!M:M,'RAW DATA'!B440, 'RAW DATA'!K:K))</f>
        <v/>
      </c>
      <c r="J440" s="29" t="str">
        <f>IF('RAW DATA'!B440&lt;&gt;"",IF(OR('RAW DATA'!H440=1,'RAW DATA'!H440=2),1,IF(ISNUMBER(FIND("Medic",'RAW DATA'!E440)),1,"")),"")</f>
        <v/>
      </c>
      <c r="K440" s="29" t="str">
        <f>IF(AND('RAW DATA'!$B440&lt;&gt;"",'RAW DATA'!L440=1),1,"")</f>
        <v/>
      </c>
      <c r="L440" s="24" t="str">
        <f t="shared" si="13"/>
        <v/>
      </c>
    </row>
    <row r="441" spans="2:12" x14ac:dyDescent="0.25">
      <c r="B441" s="1" t="str">
        <f>IF('RAW DATA'!$C443&lt;&gt;"",'RAW DATA'!$C443,"")</f>
        <v/>
      </c>
      <c r="C441" s="1" t="str">
        <f>IF('RAW DATA'!$D443&lt;&gt;"",'RAW DATA'!$D443,"")</f>
        <v/>
      </c>
      <c r="D441" s="1" t="str">
        <f>IF(AND($B440&lt;&gt;"", $B441=""), "TOTAL:", IF($D440="TOTAL:","VESSEL TARGET "&amp;'RAW DATA'!$E$2&amp;":",IF('RAW DATA'!$E441&lt;&gt;"",'RAW DATA'!$E441,"")))</f>
        <v/>
      </c>
      <c r="E441" s="29" t="str">
        <f t="shared" si="12"/>
        <v/>
      </c>
      <c r="F441" s="4" t="str">
        <f>IF($D440="TOTAL:",FIXED(ROUND(((SUM($F$4:$F439)/'RAW DATA'!$E$2)*100),1),1)&amp;"%",IF($D441="TOTAL:",SUM($F$4:$F440),IF(SUMIF('RAW DATA'!M:M,'RAW DATA'!B441,'RAW DATA'!H:H)=0,"",SUMIF('RAW DATA'!M:M,'RAW DATA'!B441,'RAW DATA'!H:H))))</f>
        <v/>
      </c>
      <c r="G441" s="4" t="str">
        <f>IF($D440="TOTAL:",FIXED(ROUND(((SUM($G$4:$G439)/'RAW DATA'!$E$2)*100),1),1)&amp;"%",IF($D441="TOTAL:",SUM($G$4:$G440),IF(SUMIF('RAW DATA'!M:M,'RAW DATA'!B441,'RAW DATA'!I:I)=0,"",SUMIF('RAW DATA'!M:M,'RAW DATA'!B441,'RAW DATA'!I:I))))</f>
        <v/>
      </c>
      <c r="H441" s="4" t="str">
        <f>IF(SUM(SUMIF('RAW DATA'!M:M,'RAW DATA'!B441,'RAW DATA'!J:J),SUMIF('RAW DATA'!N:N,'RAW DATA'!B441,'RAW DATA'!J:J),SUMIF('RAW DATA'!O:O,'RAW DATA'!B441,'RAW DATA'!J:J),SUMIF('RAW DATA'!P:P,'RAW DATA'!B441,'RAW DATA'!J:J))=0, "", SUM(SUMIF('RAW DATA'!M:M,'RAW DATA'!B441,'RAW DATA'!J:J),SUMIF('RAW DATA'!N:N,'RAW DATA'!B441,'RAW DATA'!J:J),SUMIF('RAW DATA'!O:O,'RAW DATA'!B441,'RAW DATA'!J:J),SUMIF('RAW DATA'!P:P,'RAW DATA'!B441,'RAW DATA'!J:J)))</f>
        <v/>
      </c>
      <c r="I441" s="4" t="str">
        <f>IF(SUMIF('RAW DATA'!M:M,'RAW DATA'!B441, 'RAW DATA'!K:K)=0, "", SUMIF('RAW DATA'!M:M,'RAW DATA'!B441, 'RAW DATA'!K:K))</f>
        <v/>
      </c>
      <c r="J441" s="29" t="str">
        <f>IF('RAW DATA'!B441&lt;&gt;"",IF(OR('RAW DATA'!H441=1,'RAW DATA'!H441=2),1,IF(ISNUMBER(FIND("Medic",'RAW DATA'!E441)),1,"")),"")</f>
        <v/>
      </c>
      <c r="K441" s="29" t="str">
        <f>IF(AND('RAW DATA'!$B441&lt;&gt;"",'RAW DATA'!L441=1),1,"")</f>
        <v/>
      </c>
      <c r="L441" s="24" t="str">
        <f t="shared" si="13"/>
        <v/>
      </c>
    </row>
    <row r="442" spans="2:12" x14ac:dyDescent="0.25">
      <c r="B442" s="1" t="str">
        <f>IF('RAW DATA'!$C444&lt;&gt;"",'RAW DATA'!$C444,"")</f>
        <v/>
      </c>
      <c r="C442" s="1" t="str">
        <f>IF('RAW DATA'!$D444&lt;&gt;"",'RAW DATA'!$D444,"")</f>
        <v/>
      </c>
      <c r="D442" s="1" t="str">
        <f>IF(AND($B441&lt;&gt;"", $B442=""), "TOTAL:", IF($D441="TOTAL:","VESSEL TARGET "&amp;'RAW DATA'!$E$2&amp;":",IF('RAW DATA'!$E442&lt;&gt;"",'RAW DATA'!$E442,"")))</f>
        <v/>
      </c>
      <c r="E442" s="29" t="str">
        <f t="shared" si="12"/>
        <v/>
      </c>
      <c r="F442" s="4" t="str">
        <f>IF($D441="TOTAL:",FIXED(ROUND(((SUM($F$4:$F440)/'RAW DATA'!$E$2)*100),1),1)&amp;"%",IF($D442="TOTAL:",SUM($F$4:$F441),IF(SUMIF('RAW DATA'!M:M,'RAW DATA'!B442,'RAW DATA'!H:H)=0,"",SUMIF('RAW DATA'!M:M,'RAW DATA'!B442,'RAW DATA'!H:H))))</f>
        <v/>
      </c>
      <c r="G442" s="4" t="str">
        <f>IF($D441="TOTAL:",FIXED(ROUND(((SUM($G$4:$G440)/'RAW DATA'!$E$2)*100),1),1)&amp;"%",IF($D442="TOTAL:",SUM($G$4:$G441),IF(SUMIF('RAW DATA'!M:M,'RAW DATA'!B442,'RAW DATA'!I:I)=0,"",SUMIF('RAW DATA'!M:M,'RAW DATA'!B442,'RAW DATA'!I:I))))</f>
        <v/>
      </c>
      <c r="H442" s="4" t="str">
        <f>IF(SUM(SUMIF('RAW DATA'!M:M,'RAW DATA'!B442,'RAW DATA'!J:J),SUMIF('RAW DATA'!N:N,'RAW DATA'!B442,'RAW DATA'!J:J),SUMIF('RAW DATA'!O:O,'RAW DATA'!B442,'RAW DATA'!J:J),SUMIF('RAW DATA'!P:P,'RAW DATA'!B442,'RAW DATA'!J:J))=0, "", SUM(SUMIF('RAW DATA'!M:M,'RAW DATA'!B442,'RAW DATA'!J:J),SUMIF('RAW DATA'!N:N,'RAW DATA'!B442,'RAW DATA'!J:J),SUMIF('RAW DATA'!O:O,'RAW DATA'!B442,'RAW DATA'!J:J),SUMIF('RAW DATA'!P:P,'RAW DATA'!B442,'RAW DATA'!J:J)))</f>
        <v/>
      </c>
      <c r="I442" s="4" t="str">
        <f>IF(SUMIF('RAW DATA'!M:M,'RAW DATA'!B442, 'RAW DATA'!K:K)=0, "", SUMIF('RAW DATA'!M:M,'RAW DATA'!B442, 'RAW DATA'!K:K))</f>
        <v/>
      </c>
      <c r="J442" s="29" t="str">
        <f>IF('RAW DATA'!B442&lt;&gt;"",IF(OR('RAW DATA'!H442=1,'RAW DATA'!H442=2),1,IF(ISNUMBER(FIND("Medic",'RAW DATA'!E442)),1,"")),"")</f>
        <v/>
      </c>
      <c r="K442" s="29" t="str">
        <f>IF(AND('RAW DATA'!$B442&lt;&gt;"",'RAW DATA'!L442=1),1,"")</f>
        <v/>
      </c>
      <c r="L442" s="24" t="str">
        <f t="shared" si="13"/>
        <v/>
      </c>
    </row>
    <row r="443" spans="2:12" x14ac:dyDescent="0.25">
      <c r="B443" s="1" t="str">
        <f>IF('RAW DATA'!$C445&lt;&gt;"",'RAW DATA'!$C445,"")</f>
        <v/>
      </c>
      <c r="C443" s="1" t="str">
        <f>IF('RAW DATA'!$D445&lt;&gt;"",'RAW DATA'!$D445,"")</f>
        <v/>
      </c>
      <c r="D443" s="1" t="str">
        <f>IF(AND($B442&lt;&gt;"", $B443=""), "TOTAL:", IF($D442="TOTAL:","VESSEL TARGET "&amp;'RAW DATA'!$E$2&amp;":",IF('RAW DATA'!$E443&lt;&gt;"",'RAW DATA'!$E443,"")))</f>
        <v/>
      </c>
      <c r="E443" s="29" t="str">
        <f t="shared" si="12"/>
        <v/>
      </c>
      <c r="F443" s="4" t="str">
        <f>IF($D442="TOTAL:",FIXED(ROUND(((SUM($F$4:$F441)/'RAW DATA'!$E$2)*100),1),1)&amp;"%",IF($D443="TOTAL:",SUM($F$4:$F442),IF(SUMIF('RAW DATA'!M:M,'RAW DATA'!B443,'RAW DATA'!H:H)=0,"",SUMIF('RAW DATA'!M:M,'RAW DATA'!B443,'RAW DATA'!H:H))))</f>
        <v/>
      </c>
      <c r="G443" s="4" t="str">
        <f>IF($D442="TOTAL:",FIXED(ROUND(((SUM($G$4:$G441)/'RAW DATA'!$E$2)*100),1),1)&amp;"%",IF($D443="TOTAL:",SUM($G$4:$G442),IF(SUMIF('RAW DATA'!M:M,'RAW DATA'!B443,'RAW DATA'!I:I)=0,"",SUMIF('RAW DATA'!M:M,'RAW DATA'!B443,'RAW DATA'!I:I))))</f>
        <v/>
      </c>
      <c r="H443" s="4" t="str">
        <f>IF(SUM(SUMIF('RAW DATA'!M:M,'RAW DATA'!B443,'RAW DATA'!J:J),SUMIF('RAW DATA'!N:N,'RAW DATA'!B443,'RAW DATA'!J:J),SUMIF('RAW DATA'!O:O,'RAW DATA'!B443,'RAW DATA'!J:J),SUMIF('RAW DATA'!P:P,'RAW DATA'!B443,'RAW DATA'!J:J))=0, "", SUM(SUMIF('RAW DATA'!M:M,'RAW DATA'!B443,'RAW DATA'!J:J),SUMIF('RAW DATA'!N:N,'RAW DATA'!B443,'RAW DATA'!J:J),SUMIF('RAW DATA'!O:O,'RAW DATA'!B443,'RAW DATA'!J:J),SUMIF('RAW DATA'!P:P,'RAW DATA'!B443,'RAW DATA'!J:J)))</f>
        <v/>
      </c>
      <c r="I443" s="4" t="str">
        <f>IF(SUMIF('RAW DATA'!M:M,'RAW DATA'!B443, 'RAW DATA'!K:K)=0, "", SUMIF('RAW DATA'!M:M,'RAW DATA'!B443, 'RAW DATA'!K:K))</f>
        <v/>
      </c>
      <c r="J443" s="29" t="str">
        <f>IF('RAW DATA'!B443&lt;&gt;"",IF(OR('RAW DATA'!H443=1,'RAW DATA'!H443=2),1,IF(ISNUMBER(FIND("Medic",'RAW DATA'!E443)),1,"")),"")</f>
        <v/>
      </c>
      <c r="K443" s="29" t="str">
        <f>IF(AND('RAW DATA'!$B443&lt;&gt;"",'RAW DATA'!L443=1),1,"")</f>
        <v/>
      </c>
      <c r="L443" s="24" t="str">
        <f t="shared" si="13"/>
        <v/>
      </c>
    </row>
    <row r="444" spans="2:12" x14ac:dyDescent="0.25">
      <c r="B444" s="1" t="str">
        <f>IF('RAW DATA'!$C446&lt;&gt;"",'RAW DATA'!$C446,"")</f>
        <v/>
      </c>
      <c r="C444" s="1" t="str">
        <f>IF('RAW DATA'!$D446&lt;&gt;"",'RAW DATA'!$D446,"")</f>
        <v/>
      </c>
      <c r="D444" s="1" t="str">
        <f>IF(AND($B443&lt;&gt;"", $B444=""), "TOTAL:", IF($D443="TOTAL:","VESSEL TARGET "&amp;'RAW DATA'!$E$2&amp;":",IF('RAW DATA'!$E444&lt;&gt;"",'RAW DATA'!$E444,"")))</f>
        <v/>
      </c>
      <c r="E444" s="29" t="str">
        <f t="shared" si="12"/>
        <v/>
      </c>
      <c r="F444" s="4" t="str">
        <f>IF($D443="TOTAL:",FIXED(ROUND(((SUM($F$4:$F442)/'RAW DATA'!$E$2)*100),1),1)&amp;"%",IF($D444="TOTAL:",SUM($F$4:$F443),IF(SUMIF('RAW DATA'!M:M,'RAW DATA'!B444,'RAW DATA'!H:H)=0,"",SUMIF('RAW DATA'!M:M,'RAW DATA'!B444,'RAW DATA'!H:H))))</f>
        <v/>
      </c>
      <c r="G444" s="4" t="str">
        <f>IF($D443="TOTAL:",FIXED(ROUND(((SUM($G$4:$G442)/'RAW DATA'!$E$2)*100),1),1)&amp;"%",IF($D444="TOTAL:",SUM($G$4:$G443),IF(SUMIF('RAW DATA'!M:M,'RAW DATA'!B444,'RAW DATA'!I:I)=0,"",SUMIF('RAW DATA'!M:M,'RAW DATA'!B444,'RAW DATA'!I:I))))</f>
        <v/>
      </c>
      <c r="H444" s="4" t="str">
        <f>IF(SUM(SUMIF('RAW DATA'!M:M,'RAW DATA'!B444,'RAW DATA'!J:J),SUMIF('RAW DATA'!N:N,'RAW DATA'!B444,'RAW DATA'!J:J),SUMIF('RAW DATA'!O:O,'RAW DATA'!B444,'RAW DATA'!J:J),SUMIF('RAW DATA'!P:P,'RAW DATA'!B444,'RAW DATA'!J:J))=0, "", SUM(SUMIF('RAW DATA'!M:M,'RAW DATA'!B444,'RAW DATA'!J:J),SUMIF('RAW DATA'!N:N,'RAW DATA'!B444,'RAW DATA'!J:J),SUMIF('RAW DATA'!O:O,'RAW DATA'!B444,'RAW DATA'!J:J),SUMIF('RAW DATA'!P:P,'RAW DATA'!B444,'RAW DATA'!J:J)))</f>
        <v/>
      </c>
      <c r="I444" s="4" t="str">
        <f>IF(SUMIF('RAW DATA'!M:M,'RAW DATA'!B444, 'RAW DATA'!K:K)=0, "", SUMIF('RAW DATA'!M:M,'RAW DATA'!B444, 'RAW DATA'!K:K))</f>
        <v/>
      </c>
      <c r="J444" s="29" t="str">
        <f>IF('RAW DATA'!B444&lt;&gt;"",IF(OR('RAW DATA'!H444=1,'RAW DATA'!H444=2),1,IF(ISNUMBER(FIND("Medic",'RAW DATA'!E444)),1,"")),"")</f>
        <v/>
      </c>
      <c r="K444" s="29" t="str">
        <f>IF(AND('RAW DATA'!$B444&lt;&gt;"",'RAW DATA'!L444=1),1,"")</f>
        <v/>
      </c>
      <c r="L444" s="24" t="str">
        <f t="shared" si="13"/>
        <v/>
      </c>
    </row>
    <row r="445" spans="2:12" x14ac:dyDescent="0.25">
      <c r="B445" s="1" t="str">
        <f>IF('RAW DATA'!$C447&lt;&gt;"",'RAW DATA'!$C447,"")</f>
        <v/>
      </c>
      <c r="C445" s="1" t="str">
        <f>IF('RAW DATA'!$D447&lt;&gt;"",'RAW DATA'!$D447,"")</f>
        <v/>
      </c>
      <c r="D445" s="1" t="str">
        <f>IF(AND($B444&lt;&gt;"", $B445=""), "TOTAL:", IF($D444="TOTAL:","VESSEL TARGET "&amp;'RAW DATA'!$E$2&amp;":",IF('RAW DATA'!$E445&lt;&gt;"",'RAW DATA'!$E445,"")))</f>
        <v/>
      </c>
      <c r="E445" s="29" t="str">
        <f t="shared" si="12"/>
        <v/>
      </c>
      <c r="F445" s="4" t="str">
        <f>IF($D444="TOTAL:",FIXED(ROUND(((SUM($F$4:$F443)/'RAW DATA'!$E$2)*100),1),1)&amp;"%",IF($D445="TOTAL:",SUM($F$4:$F444),IF(SUMIF('RAW DATA'!M:M,'RAW DATA'!B445,'RAW DATA'!H:H)=0,"",SUMIF('RAW DATA'!M:M,'RAW DATA'!B445,'RAW DATA'!H:H))))</f>
        <v/>
      </c>
      <c r="G445" s="4" t="str">
        <f>IF($D444="TOTAL:",FIXED(ROUND(((SUM($G$4:$G443)/'RAW DATA'!$E$2)*100),1),1)&amp;"%",IF($D445="TOTAL:",SUM($G$4:$G444),IF(SUMIF('RAW DATA'!M:M,'RAW DATA'!B445,'RAW DATA'!I:I)=0,"",SUMIF('RAW DATA'!M:M,'RAW DATA'!B445,'RAW DATA'!I:I))))</f>
        <v/>
      </c>
      <c r="H445" s="4" t="str">
        <f>IF(SUM(SUMIF('RAW DATA'!M:M,'RAW DATA'!B445,'RAW DATA'!J:J),SUMIF('RAW DATA'!N:N,'RAW DATA'!B445,'RAW DATA'!J:J),SUMIF('RAW DATA'!O:O,'RAW DATA'!B445,'RAW DATA'!J:J),SUMIF('RAW DATA'!P:P,'RAW DATA'!B445,'RAW DATA'!J:J))=0, "", SUM(SUMIF('RAW DATA'!M:M,'RAW DATA'!B445,'RAW DATA'!J:J),SUMIF('RAW DATA'!N:N,'RAW DATA'!B445,'RAW DATA'!J:J),SUMIF('RAW DATA'!O:O,'RAW DATA'!B445,'RAW DATA'!J:J),SUMIF('RAW DATA'!P:P,'RAW DATA'!B445,'RAW DATA'!J:J)))</f>
        <v/>
      </c>
      <c r="I445" s="4" t="str">
        <f>IF(SUMIF('RAW DATA'!M:M,'RAW DATA'!B445, 'RAW DATA'!K:K)=0, "", SUMIF('RAW DATA'!M:M,'RAW DATA'!B445, 'RAW DATA'!K:K))</f>
        <v/>
      </c>
      <c r="J445" s="29" t="str">
        <f>IF('RAW DATA'!B445&lt;&gt;"",IF(OR('RAW DATA'!H445=1,'RAW DATA'!H445=2),1,IF(ISNUMBER(FIND("Medic",'RAW DATA'!E445)),1,"")),"")</f>
        <v/>
      </c>
      <c r="K445" s="29" t="str">
        <f>IF(AND('RAW DATA'!$B445&lt;&gt;"",'RAW DATA'!L445=1),1,"")</f>
        <v/>
      </c>
      <c r="L445" s="24" t="str">
        <f t="shared" si="13"/>
        <v/>
      </c>
    </row>
    <row r="446" spans="2:12" x14ac:dyDescent="0.25">
      <c r="B446" s="1" t="str">
        <f>IF('RAW DATA'!$C448&lt;&gt;"",'RAW DATA'!$C448,"")</f>
        <v/>
      </c>
      <c r="C446" s="1" t="str">
        <f>IF('RAW DATA'!$D448&lt;&gt;"",'RAW DATA'!$D448,"")</f>
        <v/>
      </c>
      <c r="D446" s="1" t="str">
        <f>IF(AND($B445&lt;&gt;"", $B446=""), "TOTAL:", IF($D445="TOTAL:","VESSEL TARGET "&amp;'RAW DATA'!$E$2&amp;":",IF('RAW DATA'!$E446&lt;&gt;"",'RAW DATA'!$E446,"")))</f>
        <v/>
      </c>
      <c r="E446" s="29" t="str">
        <f t="shared" si="12"/>
        <v/>
      </c>
      <c r="F446" s="4" t="str">
        <f>IF($D445="TOTAL:",FIXED(ROUND(((SUM($F$4:$F444)/'RAW DATA'!$E$2)*100),1),1)&amp;"%",IF($D446="TOTAL:",SUM($F$4:$F445),IF(SUMIF('RAW DATA'!M:M,'RAW DATA'!B446,'RAW DATA'!H:H)=0,"",SUMIF('RAW DATA'!M:M,'RAW DATA'!B446,'RAW DATA'!H:H))))</f>
        <v/>
      </c>
      <c r="G446" s="4" t="str">
        <f>IF($D445="TOTAL:",FIXED(ROUND(((SUM($G$4:$G444)/'RAW DATA'!$E$2)*100),1),1)&amp;"%",IF($D446="TOTAL:",SUM($G$4:$G445),IF(SUMIF('RAW DATA'!M:M,'RAW DATA'!B446,'RAW DATA'!I:I)=0,"",SUMIF('RAW DATA'!M:M,'RAW DATA'!B446,'RAW DATA'!I:I))))</f>
        <v/>
      </c>
      <c r="H446" s="4" t="str">
        <f>IF(SUM(SUMIF('RAW DATA'!M:M,'RAW DATA'!B446,'RAW DATA'!J:J),SUMIF('RAW DATA'!N:N,'RAW DATA'!B446,'RAW DATA'!J:J),SUMIF('RAW DATA'!O:O,'RAW DATA'!B446,'RAW DATA'!J:J),SUMIF('RAW DATA'!P:P,'RAW DATA'!B446,'RAW DATA'!J:J))=0, "", SUM(SUMIF('RAW DATA'!M:M,'RAW DATA'!B446,'RAW DATA'!J:J),SUMIF('RAW DATA'!N:N,'RAW DATA'!B446,'RAW DATA'!J:J),SUMIF('RAW DATA'!O:O,'RAW DATA'!B446,'RAW DATA'!J:J),SUMIF('RAW DATA'!P:P,'RAW DATA'!B446,'RAW DATA'!J:J)))</f>
        <v/>
      </c>
      <c r="I446" s="4" t="str">
        <f>IF(SUMIF('RAW DATA'!M:M,'RAW DATA'!B446, 'RAW DATA'!K:K)=0, "", SUMIF('RAW DATA'!M:M,'RAW DATA'!B446, 'RAW DATA'!K:K))</f>
        <v/>
      </c>
      <c r="J446" s="29" t="str">
        <f>IF('RAW DATA'!B446&lt;&gt;"",IF(OR('RAW DATA'!H446=1,'RAW DATA'!H446=2),1,IF(ISNUMBER(FIND("Medic",'RAW DATA'!E446)),1,"")),"")</f>
        <v/>
      </c>
      <c r="K446" s="29" t="str">
        <f>IF(AND('RAW DATA'!$B446&lt;&gt;"",'RAW DATA'!L446=1),1,"")</f>
        <v/>
      </c>
      <c r="L446" s="24" t="str">
        <f t="shared" si="13"/>
        <v/>
      </c>
    </row>
    <row r="447" spans="2:12" x14ac:dyDescent="0.25">
      <c r="B447" s="1" t="str">
        <f>IF('RAW DATA'!$C449&lt;&gt;"",'RAW DATA'!$C449,"")</f>
        <v/>
      </c>
      <c r="C447" s="1" t="str">
        <f>IF('RAW DATA'!$D449&lt;&gt;"",'RAW DATA'!$D449,"")</f>
        <v/>
      </c>
      <c r="D447" s="1" t="str">
        <f>IF(AND($B446&lt;&gt;"", $B447=""), "TOTAL:", IF($D446="TOTAL:","VESSEL TARGET "&amp;'RAW DATA'!$E$2&amp;":",IF('RAW DATA'!$E447&lt;&gt;"",'RAW DATA'!$E447,"")))</f>
        <v/>
      </c>
      <c r="E447" s="29" t="str">
        <f t="shared" si="12"/>
        <v/>
      </c>
      <c r="F447" s="4" t="str">
        <f>IF($D446="TOTAL:",FIXED(ROUND(((SUM($F$4:$F445)/'RAW DATA'!$E$2)*100),1),1)&amp;"%",IF($D447="TOTAL:",SUM($F$4:$F446),IF(SUMIF('RAW DATA'!M:M,'RAW DATA'!B447,'RAW DATA'!H:H)=0,"",SUMIF('RAW DATA'!M:M,'RAW DATA'!B447,'RAW DATA'!H:H))))</f>
        <v/>
      </c>
      <c r="G447" s="4" t="str">
        <f>IF($D446="TOTAL:",FIXED(ROUND(((SUM($G$4:$G445)/'RAW DATA'!$E$2)*100),1),1)&amp;"%",IF($D447="TOTAL:",SUM($G$4:$G446),IF(SUMIF('RAW DATA'!M:M,'RAW DATA'!B447,'RAW DATA'!I:I)=0,"",SUMIF('RAW DATA'!M:M,'RAW DATA'!B447,'RAW DATA'!I:I))))</f>
        <v/>
      </c>
      <c r="H447" s="4" t="str">
        <f>IF(SUM(SUMIF('RAW DATA'!M:M,'RAW DATA'!B447,'RAW DATA'!J:J),SUMIF('RAW DATA'!N:N,'RAW DATA'!B447,'RAW DATA'!J:J),SUMIF('RAW DATA'!O:O,'RAW DATA'!B447,'RAW DATA'!J:J),SUMIF('RAW DATA'!P:P,'RAW DATA'!B447,'RAW DATA'!J:J))=0, "", SUM(SUMIF('RAW DATA'!M:M,'RAW DATA'!B447,'RAW DATA'!J:J),SUMIF('RAW DATA'!N:N,'RAW DATA'!B447,'RAW DATA'!J:J),SUMIF('RAW DATA'!O:O,'RAW DATA'!B447,'RAW DATA'!J:J),SUMIF('RAW DATA'!P:P,'RAW DATA'!B447,'RAW DATA'!J:J)))</f>
        <v/>
      </c>
      <c r="I447" s="4" t="str">
        <f>IF(SUMIF('RAW DATA'!M:M,'RAW DATA'!B447, 'RAW DATA'!K:K)=0, "", SUMIF('RAW DATA'!M:M,'RAW DATA'!B447, 'RAW DATA'!K:K))</f>
        <v/>
      </c>
      <c r="J447" s="29" t="str">
        <f>IF('RAW DATA'!B447&lt;&gt;"",IF(OR('RAW DATA'!H447=1,'RAW DATA'!H447=2),1,IF(ISNUMBER(FIND("Medic",'RAW DATA'!E447)),1,"")),"")</f>
        <v/>
      </c>
      <c r="K447" s="29" t="str">
        <f>IF(AND('RAW DATA'!$B447&lt;&gt;"",'RAW DATA'!L447=1),1,"")</f>
        <v/>
      </c>
      <c r="L447" s="24" t="str">
        <f t="shared" si="13"/>
        <v/>
      </c>
    </row>
    <row r="448" spans="2:12" x14ac:dyDescent="0.25">
      <c r="B448" s="1" t="str">
        <f>IF('RAW DATA'!$C450&lt;&gt;"",'RAW DATA'!$C450,"")</f>
        <v/>
      </c>
      <c r="C448" s="1" t="str">
        <f>IF('RAW DATA'!$D450&lt;&gt;"",'RAW DATA'!$D450,"")</f>
        <v/>
      </c>
      <c r="D448" s="1" t="str">
        <f>IF(AND($B447&lt;&gt;"", $B448=""), "TOTAL:", IF($D447="TOTAL:","VESSEL TARGET "&amp;'RAW DATA'!$E$2&amp;":",IF('RAW DATA'!$E448&lt;&gt;"",'RAW DATA'!$E448,"")))</f>
        <v/>
      </c>
      <c r="E448" s="29" t="str">
        <f t="shared" si="12"/>
        <v/>
      </c>
      <c r="F448" s="4" t="str">
        <f>IF($D447="TOTAL:",FIXED(ROUND(((SUM($F$4:$F446)/'RAW DATA'!$E$2)*100),1),1)&amp;"%",IF($D448="TOTAL:",SUM($F$4:$F447),IF(SUMIF('RAW DATA'!M:M,'RAW DATA'!B448,'RAW DATA'!H:H)=0,"",SUMIF('RAW DATA'!M:M,'RAW DATA'!B448,'RAW DATA'!H:H))))</f>
        <v/>
      </c>
      <c r="G448" s="4" t="str">
        <f>IF($D447="TOTAL:",FIXED(ROUND(((SUM($G$4:$G446)/'RAW DATA'!$E$2)*100),1),1)&amp;"%",IF($D448="TOTAL:",SUM($G$4:$G447),IF(SUMIF('RAW DATA'!M:M,'RAW DATA'!B448,'RAW DATA'!I:I)=0,"",SUMIF('RAW DATA'!M:M,'RAW DATA'!B448,'RAW DATA'!I:I))))</f>
        <v/>
      </c>
      <c r="H448" s="4" t="str">
        <f>IF(SUM(SUMIF('RAW DATA'!M:M,'RAW DATA'!B448,'RAW DATA'!J:J),SUMIF('RAW DATA'!N:N,'RAW DATA'!B448,'RAW DATA'!J:J),SUMIF('RAW DATA'!O:O,'RAW DATA'!B448,'RAW DATA'!J:J),SUMIF('RAW DATA'!P:P,'RAW DATA'!B448,'RAW DATA'!J:J))=0, "", SUM(SUMIF('RAW DATA'!M:M,'RAW DATA'!B448,'RAW DATA'!J:J),SUMIF('RAW DATA'!N:N,'RAW DATA'!B448,'RAW DATA'!J:J),SUMIF('RAW DATA'!O:O,'RAW DATA'!B448,'RAW DATA'!J:J),SUMIF('RAW DATA'!P:P,'RAW DATA'!B448,'RAW DATA'!J:J)))</f>
        <v/>
      </c>
      <c r="I448" s="4" t="str">
        <f>IF(SUMIF('RAW DATA'!M:M,'RAW DATA'!B448, 'RAW DATA'!K:K)=0, "", SUMIF('RAW DATA'!M:M,'RAW DATA'!B448, 'RAW DATA'!K:K))</f>
        <v/>
      </c>
      <c r="J448" s="29" t="str">
        <f>IF('RAW DATA'!B448&lt;&gt;"",IF(OR('RAW DATA'!H448=1,'RAW DATA'!H448=2),1,IF(ISNUMBER(FIND("Medic",'RAW DATA'!E448)),1,"")),"")</f>
        <v/>
      </c>
      <c r="K448" s="29" t="str">
        <f>IF(AND('RAW DATA'!$B448&lt;&gt;"",'RAW DATA'!L448=1),1,"")</f>
        <v/>
      </c>
      <c r="L448" s="24" t="str">
        <f t="shared" si="13"/>
        <v/>
      </c>
    </row>
    <row r="449" spans="2:12" x14ac:dyDescent="0.25">
      <c r="B449" s="1" t="str">
        <f>IF('RAW DATA'!$C451&lt;&gt;"",'RAW DATA'!$C451,"")</f>
        <v/>
      </c>
      <c r="C449" s="1" t="str">
        <f>IF('RAW DATA'!$D451&lt;&gt;"",'RAW DATA'!$D451,"")</f>
        <v/>
      </c>
      <c r="D449" s="1" t="str">
        <f>IF(AND($B448&lt;&gt;"", $B449=""), "TOTAL:", IF($D448="TOTAL:","VESSEL TARGET "&amp;'RAW DATA'!$E$2&amp;":",IF('RAW DATA'!$E449&lt;&gt;"",'RAW DATA'!$E449,"")))</f>
        <v/>
      </c>
      <c r="E449" s="29" t="str">
        <f t="shared" si="12"/>
        <v/>
      </c>
      <c r="F449" s="4" t="str">
        <f>IF($D448="TOTAL:",FIXED(ROUND(((SUM($F$4:$F447)/'RAW DATA'!$E$2)*100),1),1)&amp;"%",IF($D449="TOTAL:",SUM($F$4:$F448),IF(SUMIF('RAW DATA'!M:M,'RAW DATA'!B449,'RAW DATA'!H:H)=0,"",SUMIF('RAW DATA'!M:M,'RAW DATA'!B449,'RAW DATA'!H:H))))</f>
        <v/>
      </c>
      <c r="G449" s="4" t="str">
        <f>IF($D448="TOTAL:",FIXED(ROUND(((SUM($G$4:$G447)/'RAW DATA'!$E$2)*100),1),1)&amp;"%",IF($D449="TOTAL:",SUM($G$4:$G448),IF(SUMIF('RAW DATA'!M:M,'RAW DATA'!B449,'RAW DATA'!I:I)=0,"",SUMIF('RAW DATA'!M:M,'RAW DATA'!B449,'RAW DATA'!I:I))))</f>
        <v/>
      </c>
      <c r="H449" s="4" t="str">
        <f>IF(SUM(SUMIF('RAW DATA'!M:M,'RAW DATA'!B449,'RAW DATA'!J:J),SUMIF('RAW DATA'!N:N,'RAW DATA'!B449,'RAW DATA'!J:J),SUMIF('RAW DATA'!O:O,'RAW DATA'!B449,'RAW DATA'!J:J),SUMIF('RAW DATA'!P:P,'RAW DATA'!B449,'RAW DATA'!J:J))=0, "", SUM(SUMIF('RAW DATA'!M:M,'RAW DATA'!B449,'RAW DATA'!J:J),SUMIF('RAW DATA'!N:N,'RAW DATA'!B449,'RAW DATA'!J:J),SUMIF('RAW DATA'!O:O,'RAW DATA'!B449,'RAW DATA'!J:J),SUMIF('RAW DATA'!P:P,'RAW DATA'!B449,'RAW DATA'!J:J)))</f>
        <v/>
      </c>
      <c r="I449" s="4" t="str">
        <f>IF(SUMIF('RAW DATA'!M:M,'RAW DATA'!B449, 'RAW DATA'!K:K)=0, "", SUMIF('RAW DATA'!M:M,'RAW DATA'!B449, 'RAW DATA'!K:K))</f>
        <v/>
      </c>
      <c r="J449" s="29" t="str">
        <f>IF('RAW DATA'!B449&lt;&gt;"",IF(OR('RAW DATA'!H449=1,'RAW DATA'!H449=2),1,IF(ISNUMBER(FIND("Medic",'RAW DATA'!E449)),1,"")),"")</f>
        <v/>
      </c>
      <c r="K449" s="29" t="str">
        <f>IF(AND('RAW DATA'!$B449&lt;&gt;"",'RAW DATA'!L449=1),1,"")</f>
        <v/>
      </c>
      <c r="L449" s="24" t="str">
        <f t="shared" si="13"/>
        <v/>
      </c>
    </row>
    <row r="450" spans="2:12" x14ac:dyDescent="0.25">
      <c r="B450" s="1" t="str">
        <f>IF('RAW DATA'!$C452&lt;&gt;"",'RAW DATA'!$C452,"")</f>
        <v/>
      </c>
      <c r="C450" s="1" t="str">
        <f>IF('RAW DATA'!$D452&lt;&gt;"",'RAW DATA'!$D452,"")</f>
        <v/>
      </c>
      <c r="D450" s="1" t="str">
        <f>IF(AND($B449&lt;&gt;"", $B450=""), "TOTAL:", IF($D449="TOTAL:","VESSEL TARGET "&amp;'RAW DATA'!$E$2&amp;":",IF('RAW DATA'!$E450&lt;&gt;"",'RAW DATA'!$E450,"")))</f>
        <v/>
      </c>
      <c r="E450" s="29" t="str">
        <f t="shared" si="12"/>
        <v/>
      </c>
      <c r="F450" s="4" t="str">
        <f>IF($D449="TOTAL:",FIXED(ROUND(((SUM($F$4:$F448)/'RAW DATA'!$E$2)*100),1),1)&amp;"%",IF($D450="TOTAL:",SUM($F$4:$F449),IF(SUMIF('RAW DATA'!M:M,'RAW DATA'!B450,'RAW DATA'!H:H)=0,"",SUMIF('RAW DATA'!M:M,'RAW DATA'!B450,'RAW DATA'!H:H))))</f>
        <v/>
      </c>
      <c r="G450" s="4" t="str">
        <f>IF($D449="TOTAL:",FIXED(ROUND(((SUM($G$4:$G448)/'RAW DATA'!$E$2)*100),1),1)&amp;"%",IF($D450="TOTAL:",SUM($G$4:$G449),IF(SUMIF('RAW DATA'!M:M,'RAW DATA'!B450,'RAW DATA'!I:I)=0,"",SUMIF('RAW DATA'!M:M,'RAW DATA'!B450,'RAW DATA'!I:I))))</f>
        <v/>
      </c>
      <c r="H450" s="4" t="str">
        <f>IF(SUM(SUMIF('RAW DATA'!M:M,'RAW DATA'!B450,'RAW DATA'!J:J),SUMIF('RAW DATA'!N:N,'RAW DATA'!B450,'RAW DATA'!J:J),SUMIF('RAW DATA'!O:O,'RAW DATA'!B450,'RAW DATA'!J:J),SUMIF('RAW DATA'!P:P,'RAW DATA'!B450,'RAW DATA'!J:J))=0, "", SUM(SUMIF('RAW DATA'!M:M,'RAW DATA'!B450,'RAW DATA'!J:J),SUMIF('RAW DATA'!N:N,'RAW DATA'!B450,'RAW DATA'!J:J),SUMIF('RAW DATA'!O:O,'RAW DATA'!B450,'RAW DATA'!J:J),SUMIF('RAW DATA'!P:P,'RAW DATA'!B450,'RAW DATA'!J:J)))</f>
        <v/>
      </c>
      <c r="I450" s="4" t="str">
        <f>IF(SUMIF('RAW DATA'!M:M,'RAW DATA'!B450, 'RAW DATA'!K:K)=0, "", SUMIF('RAW DATA'!M:M,'RAW DATA'!B450, 'RAW DATA'!K:K))</f>
        <v/>
      </c>
      <c r="J450" s="29" t="str">
        <f>IF('RAW DATA'!B450&lt;&gt;"",IF(OR('RAW DATA'!H450=1,'RAW DATA'!H450=2),1,IF(ISNUMBER(FIND("Medic",'RAW DATA'!E450)),1,"")),"")</f>
        <v/>
      </c>
      <c r="K450" s="29" t="str">
        <f>IF(AND('RAW DATA'!$B450&lt;&gt;"",'RAW DATA'!L450=1),1,"")</f>
        <v/>
      </c>
      <c r="L450" s="24" t="str">
        <f t="shared" si="13"/>
        <v/>
      </c>
    </row>
    <row r="451" spans="2:12" x14ac:dyDescent="0.25">
      <c r="B451" s="1" t="str">
        <f>IF('RAW DATA'!$C453&lt;&gt;"",'RAW DATA'!$C453,"")</f>
        <v/>
      </c>
      <c r="C451" s="1" t="str">
        <f>IF('RAW DATA'!$D453&lt;&gt;"",'RAW DATA'!$D453,"")</f>
        <v/>
      </c>
      <c r="D451" s="1" t="str">
        <f>IF(AND($B450&lt;&gt;"", $B451=""), "TOTAL:", IF($D450="TOTAL:","VESSEL TARGET "&amp;'RAW DATA'!$E$2&amp;":",IF('RAW DATA'!$E451&lt;&gt;"",'RAW DATA'!$E451,"")))</f>
        <v/>
      </c>
      <c r="E451" s="29" t="str">
        <f t="shared" si="12"/>
        <v/>
      </c>
      <c r="F451" s="4" t="str">
        <f>IF($D450="TOTAL:",FIXED(ROUND(((SUM($F$4:$F449)/'RAW DATA'!$E$2)*100),1),1)&amp;"%",IF($D451="TOTAL:",SUM($F$4:$F450),IF(SUMIF('RAW DATA'!M:M,'RAW DATA'!B451,'RAW DATA'!H:H)=0,"",SUMIF('RAW DATA'!M:M,'RAW DATA'!B451,'RAW DATA'!H:H))))</f>
        <v/>
      </c>
      <c r="G451" s="4" t="str">
        <f>IF($D450="TOTAL:",FIXED(ROUND(((SUM($G$4:$G449)/'RAW DATA'!$E$2)*100),1),1)&amp;"%",IF($D451="TOTAL:",SUM($G$4:$G450),IF(SUMIF('RAW DATA'!M:M,'RAW DATA'!B451,'RAW DATA'!I:I)=0,"",SUMIF('RAW DATA'!M:M,'RAW DATA'!B451,'RAW DATA'!I:I))))</f>
        <v/>
      </c>
      <c r="H451" s="4" t="str">
        <f>IF(SUM(SUMIF('RAW DATA'!M:M,'RAW DATA'!B451,'RAW DATA'!J:J),SUMIF('RAW DATA'!N:N,'RAW DATA'!B451,'RAW DATA'!J:J),SUMIF('RAW DATA'!O:O,'RAW DATA'!B451,'RAW DATA'!J:J),SUMIF('RAW DATA'!P:P,'RAW DATA'!B451,'RAW DATA'!J:J))=0, "", SUM(SUMIF('RAW DATA'!M:M,'RAW DATA'!B451,'RAW DATA'!J:J),SUMIF('RAW DATA'!N:N,'RAW DATA'!B451,'RAW DATA'!J:J),SUMIF('RAW DATA'!O:O,'RAW DATA'!B451,'RAW DATA'!J:J),SUMIF('RAW DATA'!P:P,'RAW DATA'!B451,'RAW DATA'!J:J)))</f>
        <v/>
      </c>
      <c r="I451" s="4" t="str">
        <f>IF(SUMIF('RAW DATA'!M:M,'RAW DATA'!B451, 'RAW DATA'!K:K)=0, "", SUMIF('RAW DATA'!M:M,'RAW DATA'!B451, 'RAW DATA'!K:K))</f>
        <v/>
      </c>
      <c r="J451" s="29" t="str">
        <f>IF('RAW DATA'!B451&lt;&gt;"",IF(OR('RAW DATA'!H451=1,'RAW DATA'!H451=2),1,IF(ISNUMBER(FIND("Medic",'RAW DATA'!E451)),1,"")),"")</f>
        <v/>
      </c>
      <c r="K451" s="29" t="str">
        <f>IF(AND('RAW DATA'!$B451&lt;&gt;"",'RAW DATA'!L451=1),1,"")</f>
        <v/>
      </c>
      <c r="L451" s="24" t="str">
        <f t="shared" si="13"/>
        <v/>
      </c>
    </row>
    <row r="452" spans="2:12" x14ac:dyDescent="0.25">
      <c r="B452" s="1" t="str">
        <f>IF('RAW DATA'!$C454&lt;&gt;"",'RAW DATA'!$C454,"")</f>
        <v/>
      </c>
      <c r="C452" s="1" t="str">
        <f>IF('RAW DATA'!$D454&lt;&gt;"",'RAW DATA'!$D454,"")</f>
        <v/>
      </c>
      <c r="D452" s="1" t="str">
        <f>IF(AND($B451&lt;&gt;"", $B452=""), "TOTAL:", IF($D451="TOTAL:","VESSEL TARGET "&amp;'RAW DATA'!$E$2&amp;":",IF('RAW DATA'!$E452&lt;&gt;"",'RAW DATA'!$E452,"")))</f>
        <v/>
      </c>
      <c r="E452" s="29" t="str">
        <f t="shared" si="12"/>
        <v/>
      </c>
      <c r="F452" s="4" t="str">
        <f>IF($D451="TOTAL:",FIXED(ROUND(((SUM($F$4:$F450)/'RAW DATA'!$E$2)*100),1),1)&amp;"%",IF($D452="TOTAL:",SUM($F$4:$F451),IF(SUMIF('RAW DATA'!M:M,'RAW DATA'!B452,'RAW DATA'!H:H)=0,"",SUMIF('RAW DATA'!M:M,'RAW DATA'!B452,'RAW DATA'!H:H))))</f>
        <v/>
      </c>
      <c r="G452" s="4" t="str">
        <f>IF($D451="TOTAL:",FIXED(ROUND(((SUM($G$4:$G450)/'RAW DATA'!$E$2)*100),1),1)&amp;"%",IF($D452="TOTAL:",SUM($G$4:$G451),IF(SUMIF('RAW DATA'!M:M,'RAW DATA'!B452,'RAW DATA'!I:I)=0,"",SUMIF('RAW DATA'!M:M,'RAW DATA'!B452,'RAW DATA'!I:I))))</f>
        <v/>
      </c>
      <c r="H452" s="4" t="str">
        <f>IF(SUM(SUMIF('RAW DATA'!M:M,'RAW DATA'!B452,'RAW DATA'!J:J),SUMIF('RAW DATA'!N:N,'RAW DATA'!B452,'RAW DATA'!J:J),SUMIF('RAW DATA'!O:O,'RAW DATA'!B452,'RAW DATA'!J:J),SUMIF('RAW DATA'!P:P,'RAW DATA'!B452,'RAW DATA'!J:J))=0, "", SUM(SUMIF('RAW DATA'!M:M,'RAW DATA'!B452,'RAW DATA'!J:J),SUMIF('RAW DATA'!N:N,'RAW DATA'!B452,'RAW DATA'!J:J),SUMIF('RAW DATA'!O:O,'RAW DATA'!B452,'RAW DATA'!J:J),SUMIF('RAW DATA'!P:P,'RAW DATA'!B452,'RAW DATA'!J:J)))</f>
        <v/>
      </c>
      <c r="I452" s="4" t="str">
        <f>IF(SUMIF('RAW DATA'!M:M,'RAW DATA'!B452, 'RAW DATA'!K:K)=0, "", SUMIF('RAW DATA'!M:M,'RAW DATA'!B452, 'RAW DATA'!K:K))</f>
        <v/>
      </c>
      <c r="J452" s="29" t="str">
        <f>IF('RAW DATA'!B452&lt;&gt;"",IF(OR('RAW DATA'!H452=1,'RAW DATA'!H452=2),1,IF(ISNUMBER(FIND("Medic",'RAW DATA'!E452)),1,"")),"")</f>
        <v/>
      </c>
      <c r="K452" s="29" t="str">
        <f>IF(AND('RAW DATA'!$B452&lt;&gt;"",'RAW DATA'!L452=1),1,"")</f>
        <v/>
      </c>
      <c r="L452" s="24" t="str">
        <f t="shared" si="13"/>
        <v/>
      </c>
    </row>
    <row r="453" spans="2:12" x14ac:dyDescent="0.25">
      <c r="B453" s="1" t="str">
        <f>IF('RAW DATA'!$C455&lt;&gt;"",'RAW DATA'!$C455,"")</f>
        <v/>
      </c>
      <c r="C453" s="1" t="str">
        <f>IF('RAW DATA'!$D455&lt;&gt;"",'RAW DATA'!$D455,"")</f>
        <v/>
      </c>
      <c r="D453" s="1" t="str">
        <f>IF(AND($B452&lt;&gt;"", $B453=""), "TOTAL:", IF($D452="TOTAL:","VESSEL TARGET "&amp;'RAW DATA'!$E$2&amp;":",IF('RAW DATA'!$E453&lt;&gt;"",'RAW DATA'!$E453,"")))</f>
        <v/>
      </c>
      <c r="E453" s="29" t="str">
        <f t="shared" ref="E453:E516" si="14">IF(B453&lt;&gt;"",IF(SUM(FLOOR(SUM(F453)/3,1)*10,FLOOR(SUM(G453)/3,1)*10, IF(SUM(H453)&gt;=1,5,0), IF(SUM(I453)&gt;=2,5,0), IF(SUM(J453)&gt;=1,5,0), IF(SUM(K453)&gt;=1,15,0))&gt;0, SUM(FLOOR(SUM(F453)/3,1)*10,FLOOR(SUM(G453)/3,1)*10, IF(SUM(H453)&gt;=1,5,0), IF(SUM(I453)&gt;=2,5,0), IF(SUM(J453)&gt;=1,5,0), IF(SUM(K453)&gt;=1,15,0)),""),"")</f>
        <v/>
      </c>
      <c r="F453" s="4" t="str">
        <f>IF($D452="TOTAL:",FIXED(ROUND(((SUM($F$4:$F451)/'RAW DATA'!$E$2)*100),1),1)&amp;"%",IF($D453="TOTAL:",SUM($F$4:$F452),IF(SUMIF('RAW DATA'!M:M,'RAW DATA'!B453,'RAW DATA'!H:H)=0,"",SUMIF('RAW DATA'!M:M,'RAW DATA'!B453,'RAW DATA'!H:H))))</f>
        <v/>
      </c>
      <c r="G453" s="4" t="str">
        <f>IF($D452="TOTAL:",FIXED(ROUND(((SUM($G$4:$G451)/'RAW DATA'!$E$2)*100),1),1)&amp;"%",IF($D453="TOTAL:",SUM($G$4:$G452),IF(SUMIF('RAW DATA'!M:M,'RAW DATA'!B453,'RAW DATA'!I:I)=0,"",SUMIF('RAW DATA'!M:M,'RAW DATA'!B453,'RAW DATA'!I:I))))</f>
        <v/>
      </c>
      <c r="H453" s="4" t="str">
        <f>IF(SUM(SUMIF('RAW DATA'!M:M,'RAW DATA'!B453,'RAW DATA'!J:J),SUMIF('RAW DATA'!N:N,'RAW DATA'!B453,'RAW DATA'!J:J),SUMIF('RAW DATA'!O:O,'RAW DATA'!B453,'RAW DATA'!J:J),SUMIF('RAW DATA'!P:P,'RAW DATA'!B453,'RAW DATA'!J:J))=0, "", SUM(SUMIF('RAW DATA'!M:M,'RAW DATA'!B453,'RAW DATA'!J:J),SUMIF('RAW DATA'!N:N,'RAW DATA'!B453,'RAW DATA'!J:J),SUMIF('RAW DATA'!O:O,'RAW DATA'!B453,'RAW DATA'!J:J),SUMIF('RAW DATA'!P:P,'RAW DATA'!B453,'RAW DATA'!J:J)))</f>
        <v/>
      </c>
      <c r="I453" s="4" t="str">
        <f>IF(SUMIF('RAW DATA'!M:M,'RAW DATA'!B453, 'RAW DATA'!K:K)=0, "", SUMIF('RAW DATA'!M:M,'RAW DATA'!B453, 'RAW DATA'!K:K))</f>
        <v/>
      </c>
      <c r="J453" s="29" t="str">
        <f>IF('RAW DATA'!B453&lt;&gt;"",IF(OR('RAW DATA'!H453=1,'RAW DATA'!H453=2),1,IF(ISNUMBER(FIND("Medic",'RAW DATA'!E453)),1,"")),"")</f>
        <v/>
      </c>
      <c r="K453" s="29" t="str">
        <f>IF(AND('RAW DATA'!$B453&lt;&gt;"",'RAW DATA'!L453=1),1,"")</f>
        <v/>
      </c>
      <c r="L453" s="24" t="str">
        <f t="shared" ref="L453:L516" si="15">IF(OR($B453="", $F453="",$G453=""),"",IF(AND($F453&gt;=2,$G453&gt;=2),1,""))</f>
        <v/>
      </c>
    </row>
    <row r="454" spans="2:12" x14ac:dyDescent="0.25">
      <c r="B454" s="1" t="str">
        <f>IF('RAW DATA'!$C456&lt;&gt;"",'RAW DATA'!$C456,"")</f>
        <v/>
      </c>
      <c r="C454" s="1" t="str">
        <f>IF('RAW DATA'!$D456&lt;&gt;"",'RAW DATA'!$D456,"")</f>
        <v/>
      </c>
      <c r="D454" s="1" t="str">
        <f>IF(AND($B453&lt;&gt;"", $B454=""), "TOTAL:", IF($D453="TOTAL:","VESSEL TARGET "&amp;'RAW DATA'!$E$2&amp;":",IF('RAW DATA'!$E454&lt;&gt;"",'RAW DATA'!$E454,"")))</f>
        <v/>
      </c>
      <c r="E454" s="29" t="str">
        <f t="shared" si="14"/>
        <v/>
      </c>
      <c r="F454" s="4" t="str">
        <f>IF($D453="TOTAL:",FIXED(ROUND(((SUM($F$4:$F452)/'RAW DATA'!$E$2)*100),1),1)&amp;"%",IF($D454="TOTAL:",SUM($F$4:$F453),IF(SUMIF('RAW DATA'!M:M,'RAW DATA'!B454,'RAW DATA'!H:H)=0,"",SUMIF('RAW DATA'!M:M,'RAW DATA'!B454,'RAW DATA'!H:H))))</f>
        <v/>
      </c>
      <c r="G454" s="4" t="str">
        <f>IF($D453="TOTAL:",FIXED(ROUND(((SUM($G$4:$G452)/'RAW DATA'!$E$2)*100),1),1)&amp;"%",IF($D454="TOTAL:",SUM($G$4:$G453),IF(SUMIF('RAW DATA'!M:M,'RAW DATA'!B454,'RAW DATA'!I:I)=0,"",SUMIF('RAW DATA'!M:M,'RAW DATA'!B454,'RAW DATA'!I:I))))</f>
        <v/>
      </c>
      <c r="H454" s="4" t="str">
        <f>IF(SUM(SUMIF('RAW DATA'!M:M,'RAW DATA'!B454,'RAW DATA'!J:J),SUMIF('RAW DATA'!N:N,'RAW DATA'!B454,'RAW DATA'!J:J),SUMIF('RAW DATA'!O:O,'RAW DATA'!B454,'RAW DATA'!J:J),SUMIF('RAW DATA'!P:P,'RAW DATA'!B454,'RAW DATA'!J:J))=0, "", SUM(SUMIF('RAW DATA'!M:M,'RAW DATA'!B454,'RAW DATA'!J:J),SUMIF('RAW DATA'!N:N,'RAW DATA'!B454,'RAW DATA'!J:J),SUMIF('RAW DATA'!O:O,'RAW DATA'!B454,'RAW DATA'!J:J),SUMIF('RAW DATA'!P:P,'RAW DATA'!B454,'RAW DATA'!J:J)))</f>
        <v/>
      </c>
      <c r="I454" s="4" t="str">
        <f>IF(SUMIF('RAW DATA'!M:M,'RAW DATA'!B454, 'RAW DATA'!K:K)=0, "", SUMIF('RAW DATA'!M:M,'RAW DATA'!B454, 'RAW DATA'!K:K))</f>
        <v/>
      </c>
      <c r="J454" s="29" t="str">
        <f>IF('RAW DATA'!B454&lt;&gt;"",IF(OR('RAW DATA'!H454=1,'RAW DATA'!H454=2),1,IF(ISNUMBER(FIND("Medic",'RAW DATA'!E454)),1,"")),"")</f>
        <v/>
      </c>
      <c r="K454" s="29" t="str">
        <f>IF(AND('RAW DATA'!$B454&lt;&gt;"",'RAW DATA'!L454=1),1,"")</f>
        <v/>
      </c>
      <c r="L454" s="24" t="str">
        <f t="shared" si="15"/>
        <v/>
      </c>
    </row>
    <row r="455" spans="2:12" x14ac:dyDescent="0.25">
      <c r="B455" s="1" t="str">
        <f>IF('RAW DATA'!$C457&lt;&gt;"",'RAW DATA'!$C457,"")</f>
        <v/>
      </c>
      <c r="C455" s="1" t="str">
        <f>IF('RAW DATA'!$D457&lt;&gt;"",'RAW DATA'!$D457,"")</f>
        <v/>
      </c>
      <c r="D455" s="1" t="str">
        <f>IF(AND($B454&lt;&gt;"", $B455=""), "TOTAL:", IF($D454="TOTAL:","VESSEL TARGET "&amp;'RAW DATA'!$E$2&amp;":",IF('RAW DATA'!$E455&lt;&gt;"",'RAW DATA'!$E455,"")))</f>
        <v/>
      </c>
      <c r="E455" s="29" t="str">
        <f t="shared" si="14"/>
        <v/>
      </c>
      <c r="F455" s="4" t="str">
        <f>IF($D454="TOTAL:",FIXED(ROUND(((SUM($F$4:$F453)/'RAW DATA'!$E$2)*100),1),1)&amp;"%",IF($D455="TOTAL:",SUM($F$4:$F454),IF(SUMIF('RAW DATA'!M:M,'RAW DATA'!B455,'RAW DATA'!H:H)=0,"",SUMIF('RAW DATA'!M:M,'RAW DATA'!B455,'RAW DATA'!H:H))))</f>
        <v/>
      </c>
      <c r="G455" s="4" t="str">
        <f>IF($D454="TOTAL:",FIXED(ROUND(((SUM($G$4:$G453)/'RAW DATA'!$E$2)*100),1),1)&amp;"%",IF($D455="TOTAL:",SUM($G$4:$G454),IF(SUMIF('RAW DATA'!M:M,'RAW DATA'!B455,'RAW DATA'!I:I)=0,"",SUMIF('RAW DATA'!M:M,'RAW DATA'!B455,'RAW DATA'!I:I))))</f>
        <v/>
      </c>
      <c r="H455" s="4" t="str">
        <f>IF(SUM(SUMIF('RAW DATA'!M:M,'RAW DATA'!B455,'RAW DATA'!J:J),SUMIF('RAW DATA'!N:N,'RAW DATA'!B455,'RAW DATA'!J:J),SUMIF('RAW DATA'!O:O,'RAW DATA'!B455,'RAW DATA'!J:J),SUMIF('RAW DATA'!P:P,'RAW DATA'!B455,'RAW DATA'!J:J))=0, "", SUM(SUMIF('RAW DATA'!M:M,'RAW DATA'!B455,'RAW DATA'!J:J),SUMIF('RAW DATA'!N:N,'RAW DATA'!B455,'RAW DATA'!J:J),SUMIF('RAW DATA'!O:O,'RAW DATA'!B455,'RAW DATA'!J:J),SUMIF('RAW DATA'!P:P,'RAW DATA'!B455,'RAW DATA'!J:J)))</f>
        <v/>
      </c>
      <c r="I455" s="4" t="str">
        <f>IF(SUMIF('RAW DATA'!M:M,'RAW DATA'!B455, 'RAW DATA'!K:K)=0, "", SUMIF('RAW DATA'!M:M,'RAW DATA'!B455, 'RAW DATA'!K:K))</f>
        <v/>
      </c>
      <c r="J455" s="29" t="str">
        <f>IF('RAW DATA'!B455&lt;&gt;"",IF(OR('RAW DATA'!H455=1,'RAW DATA'!H455=2),1,IF(ISNUMBER(FIND("Medic",'RAW DATA'!E455)),1,"")),"")</f>
        <v/>
      </c>
      <c r="K455" s="29" t="str">
        <f>IF(AND('RAW DATA'!$B455&lt;&gt;"",'RAW DATA'!L455=1),1,"")</f>
        <v/>
      </c>
      <c r="L455" s="24" t="str">
        <f t="shared" si="15"/>
        <v/>
      </c>
    </row>
    <row r="456" spans="2:12" x14ac:dyDescent="0.25">
      <c r="B456" s="1" t="str">
        <f>IF('RAW DATA'!$C458&lt;&gt;"",'RAW DATA'!$C458,"")</f>
        <v/>
      </c>
      <c r="C456" s="1" t="str">
        <f>IF('RAW DATA'!$D458&lt;&gt;"",'RAW DATA'!$D458,"")</f>
        <v/>
      </c>
      <c r="D456" s="1" t="str">
        <f>IF(AND($B455&lt;&gt;"", $B456=""), "TOTAL:", IF($D455="TOTAL:","VESSEL TARGET "&amp;'RAW DATA'!$E$2&amp;":",IF('RAW DATA'!$E456&lt;&gt;"",'RAW DATA'!$E456,"")))</f>
        <v/>
      </c>
      <c r="E456" s="29" t="str">
        <f t="shared" si="14"/>
        <v/>
      </c>
      <c r="F456" s="4" t="str">
        <f>IF($D455="TOTAL:",FIXED(ROUND(((SUM($F$4:$F454)/'RAW DATA'!$E$2)*100),1),1)&amp;"%",IF($D456="TOTAL:",SUM($F$4:$F455),IF(SUMIF('RAW DATA'!M:M,'RAW DATA'!B456,'RAW DATA'!H:H)=0,"",SUMIF('RAW DATA'!M:M,'RAW DATA'!B456,'RAW DATA'!H:H))))</f>
        <v/>
      </c>
      <c r="G456" s="4" t="str">
        <f>IF($D455="TOTAL:",FIXED(ROUND(((SUM($G$4:$G454)/'RAW DATA'!$E$2)*100),1),1)&amp;"%",IF($D456="TOTAL:",SUM($G$4:$G455),IF(SUMIF('RAW DATA'!M:M,'RAW DATA'!B456,'RAW DATA'!I:I)=0,"",SUMIF('RAW DATA'!M:M,'RAW DATA'!B456,'RAW DATA'!I:I))))</f>
        <v/>
      </c>
      <c r="H456" s="4" t="str">
        <f>IF(SUM(SUMIF('RAW DATA'!M:M,'RAW DATA'!B456,'RAW DATA'!J:J),SUMIF('RAW DATA'!N:N,'RAW DATA'!B456,'RAW DATA'!J:J),SUMIF('RAW DATA'!O:O,'RAW DATA'!B456,'RAW DATA'!J:J),SUMIF('RAW DATA'!P:P,'RAW DATA'!B456,'RAW DATA'!J:J))=0, "", SUM(SUMIF('RAW DATA'!M:M,'RAW DATA'!B456,'RAW DATA'!J:J),SUMIF('RAW DATA'!N:N,'RAW DATA'!B456,'RAW DATA'!J:J),SUMIF('RAW DATA'!O:O,'RAW DATA'!B456,'RAW DATA'!J:J),SUMIF('RAW DATA'!P:P,'RAW DATA'!B456,'RAW DATA'!J:J)))</f>
        <v/>
      </c>
      <c r="I456" s="4" t="str">
        <f>IF(SUMIF('RAW DATA'!M:M,'RAW DATA'!B456, 'RAW DATA'!K:K)=0, "", SUMIF('RAW DATA'!M:M,'RAW DATA'!B456, 'RAW DATA'!K:K))</f>
        <v/>
      </c>
      <c r="J456" s="29" t="str">
        <f>IF('RAW DATA'!B456&lt;&gt;"",IF(OR('RAW DATA'!H456=1,'RAW DATA'!H456=2),1,IF(ISNUMBER(FIND("Medic",'RAW DATA'!E456)),1,"")),"")</f>
        <v/>
      </c>
      <c r="K456" s="29" t="str">
        <f>IF(AND('RAW DATA'!$B456&lt;&gt;"",'RAW DATA'!L456=1),1,"")</f>
        <v/>
      </c>
      <c r="L456" s="24" t="str">
        <f t="shared" si="15"/>
        <v/>
      </c>
    </row>
    <row r="457" spans="2:12" x14ac:dyDescent="0.25">
      <c r="B457" s="1" t="str">
        <f>IF('RAW DATA'!$C459&lt;&gt;"",'RAW DATA'!$C459,"")</f>
        <v/>
      </c>
      <c r="C457" s="1" t="str">
        <f>IF('RAW DATA'!$D459&lt;&gt;"",'RAW DATA'!$D459,"")</f>
        <v/>
      </c>
      <c r="D457" s="1" t="str">
        <f>IF(AND($B456&lt;&gt;"", $B457=""), "TOTAL:", IF($D456="TOTAL:","VESSEL TARGET "&amp;'RAW DATA'!$E$2&amp;":",IF('RAW DATA'!$E457&lt;&gt;"",'RAW DATA'!$E457,"")))</f>
        <v/>
      </c>
      <c r="E457" s="29" t="str">
        <f t="shared" si="14"/>
        <v/>
      </c>
      <c r="F457" s="4" t="str">
        <f>IF($D456="TOTAL:",FIXED(ROUND(((SUM($F$4:$F455)/'RAW DATA'!$E$2)*100),1),1)&amp;"%",IF($D457="TOTAL:",SUM($F$4:$F456),IF(SUMIF('RAW DATA'!M:M,'RAW DATA'!B457,'RAW DATA'!H:H)=0,"",SUMIF('RAW DATA'!M:M,'RAW DATA'!B457,'RAW DATA'!H:H))))</f>
        <v/>
      </c>
      <c r="G457" s="4" t="str">
        <f>IF($D456="TOTAL:",FIXED(ROUND(((SUM($G$4:$G455)/'RAW DATA'!$E$2)*100),1),1)&amp;"%",IF($D457="TOTAL:",SUM($G$4:$G456),IF(SUMIF('RAW DATA'!M:M,'RAW DATA'!B457,'RAW DATA'!I:I)=0,"",SUMIF('RAW DATA'!M:M,'RAW DATA'!B457,'RAW DATA'!I:I))))</f>
        <v/>
      </c>
      <c r="H457" s="4" t="str">
        <f>IF(SUM(SUMIF('RAW DATA'!M:M,'RAW DATA'!B457,'RAW DATA'!J:J),SUMIF('RAW DATA'!N:N,'RAW DATA'!B457,'RAW DATA'!J:J),SUMIF('RAW DATA'!O:O,'RAW DATA'!B457,'RAW DATA'!J:J),SUMIF('RAW DATA'!P:P,'RAW DATA'!B457,'RAW DATA'!J:J))=0, "", SUM(SUMIF('RAW DATA'!M:M,'RAW DATA'!B457,'RAW DATA'!J:J),SUMIF('RAW DATA'!N:N,'RAW DATA'!B457,'RAW DATA'!J:J),SUMIF('RAW DATA'!O:O,'RAW DATA'!B457,'RAW DATA'!J:J),SUMIF('RAW DATA'!P:P,'RAW DATA'!B457,'RAW DATA'!J:J)))</f>
        <v/>
      </c>
      <c r="I457" s="4" t="str">
        <f>IF(SUMIF('RAW DATA'!M:M,'RAW DATA'!B457, 'RAW DATA'!K:K)=0, "", SUMIF('RAW DATA'!M:M,'RAW DATA'!B457, 'RAW DATA'!K:K))</f>
        <v/>
      </c>
      <c r="J457" s="29" t="str">
        <f>IF('RAW DATA'!B457&lt;&gt;"",IF(OR('RAW DATA'!H457=1,'RAW DATA'!H457=2),1,IF(ISNUMBER(FIND("Medic",'RAW DATA'!E457)),1,"")),"")</f>
        <v/>
      </c>
      <c r="K457" s="29" t="str">
        <f>IF(AND('RAW DATA'!$B457&lt;&gt;"",'RAW DATA'!L457=1),1,"")</f>
        <v/>
      </c>
      <c r="L457" s="24" t="str">
        <f t="shared" si="15"/>
        <v/>
      </c>
    </row>
    <row r="458" spans="2:12" x14ac:dyDescent="0.25">
      <c r="B458" s="1" t="str">
        <f>IF('RAW DATA'!$C460&lt;&gt;"",'RAW DATA'!$C460,"")</f>
        <v/>
      </c>
      <c r="C458" s="1" t="str">
        <f>IF('RAW DATA'!$D460&lt;&gt;"",'RAW DATA'!$D460,"")</f>
        <v/>
      </c>
      <c r="D458" s="1" t="str">
        <f>IF(AND($B457&lt;&gt;"", $B458=""), "TOTAL:", IF($D457="TOTAL:","VESSEL TARGET "&amp;'RAW DATA'!$E$2&amp;":",IF('RAW DATA'!$E458&lt;&gt;"",'RAW DATA'!$E458,"")))</f>
        <v/>
      </c>
      <c r="E458" s="29" t="str">
        <f t="shared" si="14"/>
        <v/>
      </c>
      <c r="F458" s="4" t="str">
        <f>IF($D457="TOTAL:",FIXED(ROUND(((SUM($F$4:$F456)/'RAW DATA'!$E$2)*100),1),1)&amp;"%",IF($D458="TOTAL:",SUM($F$4:$F457),IF(SUMIF('RAW DATA'!M:M,'RAW DATA'!B458,'RAW DATA'!H:H)=0,"",SUMIF('RAW DATA'!M:M,'RAW DATA'!B458,'RAW DATA'!H:H))))</f>
        <v/>
      </c>
      <c r="G458" s="4" t="str">
        <f>IF($D457="TOTAL:",FIXED(ROUND(((SUM($G$4:$G456)/'RAW DATA'!$E$2)*100),1),1)&amp;"%",IF($D458="TOTAL:",SUM($G$4:$G457),IF(SUMIF('RAW DATA'!M:M,'RAW DATA'!B458,'RAW DATA'!I:I)=0,"",SUMIF('RAW DATA'!M:M,'RAW DATA'!B458,'RAW DATA'!I:I))))</f>
        <v/>
      </c>
      <c r="H458" s="4" t="str">
        <f>IF(SUM(SUMIF('RAW DATA'!M:M,'RAW DATA'!B458,'RAW DATA'!J:J),SUMIF('RAW DATA'!N:N,'RAW DATA'!B458,'RAW DATA'!J:J),SUMIF('RAW DATA'!O:O,'RAW DATA'!B458,'RAW DATA'!J:J),SUMIF('RAW DATA'!P:P,'RAW DATA'!B458,'RAW DATA'!J:J))=0, "", SUM(SUMIF('RAW DATA'!M:M,'RAW DATA'!B458,'RAW DATA'!J:J),SUMIF('RAW DATA'!N:N,'RAW DATA'!B458,'RAW DATA'!J:J),SUMIF('RAW DATA'!O:O,'RAW DATA'!B458,'RAW DATA'!J:J),SUMIF('RAW DATA'!P:P,'RAW DATA'!B458,'RAW DATA'!J:J)))</f>
        <v/>
      </c>
      <c r="I458" s="4" t="str">
        <f>IF(SUMIF('RAW DATA'!M:M,'RAW DATA'!B458, 'RAW DATA'!K:K)=0, "", SUMIF('RAW DATA'!M:M,'RAW DATA'!B458, 'RAW DATA'!K:K))</f>
        <v/>
      </c>
      <c r="J458" s="29" t="str">
        <f>IF('RAW DATA'!B458&lt;&gt;"",IF(OR('RAW DATA'!H458=1,'RAW DATA'!H458=2),1,IF(ISNUMBER(FIND("Medic",'RAW DATA'!E458)),1,"")),"")</f>
        <v/>
      </c>
      <c r="K458" s="29" t="str">
        <f>IF(AND('RAW DATA'!$B458&lt;&gt;"",'RAW DATA'!L458=1),1,"")</f>
        <v/>
      </c>
      <c r="L458" s="24" t="str">
        <f t="shared" si="15"/>
        <v/>
      </c>
    </row>
    <row r="459" spans="2:12" x14ac:dyDescent="0.25">
      <c r="B459" s="1" t="str">
        <f>IF('RAW DATA'!$C461&lt;&gt;"",'RAW DATA'!$C461,"")</f>
        <v/>
      </c>
      <c r="C459" s="1" t="str">
        <f>IF('RAW DATA'!$D461&lt;&gt;"",'RAW DATA'!$D461,"")</f>
        <v/>
      </c>
      <c r="D459" s="1" t="str">
        <f>IF(AND($B458&lt;&gt;"", $B459=""), "TOTAL:", IF($D458="TOTAL:","VESSEL TARGET "&amp;'RAW DATA'!$E$2&amp;":",IF('RAW DATA'!$E459&lt;&gt;"",'RAW DATA'!$E459,"")))</f>
        <v/>
      </c>
      <c r="E459" s="29" t="str">
        <f t="shared" si="14"/>
        <v/>
      </c>
      <c r="F459" s="4" t="str">
        <f>IF($D458="TOTAL:",FIXED(ROUND(((SUM($F$4:$F457)/'RAW DATA'!$E$2)*100),1),1)&amp;"%",IF($D459="TOTAL:",SUM($F$4:$F458),IF(SUMIF('RAW DATA'!M:M,'RAW DATA'!B459,'RAW DATA'!H:H)=0,"",SUMIF('RAW DATA'!M:M,'RAW DATA'!B459,'RAW DATA'!H:H))))</f>
        <v/>
      </c>
      <c r="G459" s="4" t="str">
        <f>IF($D458="TOTAL:",FIXED(ROUND(((SUM($G$4:$G457)/'RAW DATA'!$E$2)*100),1),1)&amp;"%",IF($D459="TOTAL:",SUM($G$4:$G458),IF(SUMIF('RAW DATA'!M:M,'RAW DATA'!B459,'RAW DATA'!I:I)=0,"",SUMIF('RAW DATA'!M:M,'RAW DATA'!B459,'RAW DATA'!I:I))))</f>
        <v/>
      </c>
      <c r="H459" s="4" t="str">
        <f>IF(SUM(SUMIF('RAW DATA'!M:M,'RAW DATA'!B459,'RAW DATA'!J:J),SUMIF('RAW DATA'!N:N,'RAW DATA'!B459,'RAW DATA'!J:J),SUMIF('RAW DATA'!O:O,'RAW DATA'!B459,'RAW DATA'!J:J),SUMIF('RAW DATA'!P:P,'RAW DATA'!B459,'RAW DATA'!J:J))=0, "", SUM(SUMIF('RAW DATA'!M:M,'RAW DATA'!B459,'RAW DATA'!J:J),SUMIF('RAW DATA'!N:N,'RAW DATA'!B459,'RAW DATA'!J:J),SUMIF('RAW DATA'!O:O,'RAW DATA'!B459,'RAW DATA'!J:J),SUMIF('RAW DATA'!P:P,'RAW DATA'!B459,'RAW DATA'!J:J)))</f>
        <v/>
      </c>
      <c r="I459" s="4" t="str">
        <f>IF(SUMIF('RAW DATA'!M:M,'RAW DATA'!B459, 'RAW DATA'!K:K)=0, "", SUMIF('RAW DATA'!M:M,'RAW DATA'!B459, 'RAW DATA'!K:K))</f>
        <v/>
      </c>
      <c r="J459" s="29" t="str">
        <f>IF('RAW DATA'!B459&lt;&gt;"",IF(OR('RAW DATA'!H459=1,'RAW DATA'!H459=2),1,IF(ISNUMBER(FIND("Medic",'RAW DATA'!E459)),1,"")),"")</f>
        <v/>
      </c>
      <c r="K459" s="29" t="str">
        <f>IF(AND('RAW DATA'!$B459&lt;&gt;"",'RAW DATA'!L459=1),1,"")</f>
        <v/>
      </c>
      <c r="L459" s="24" t="str">
        <f t="shared" si="15"/>
        <v/>
      </c>
    </row>
    <row r="460" spans="2:12" x14ac:dyDescent="0.25">
      <c r="B460" s="1" t="str">
        <f>IF('RAW DATA'!$C462&lt;&gt;"",'RAW DATA'!$C462,"")</f>
        <v/>
      </c>
      <c r="C460" s="1" t="str">
        <f>IF('RAW DATA'!$D462&lt;&gt;"",'RAW DATA'!$D462,"")</f>
        <v/>
      </c>
      <c r="D460" s="1" t="str">
        <f>IF(AND($B459&lt;&gt;"", $B460=""), "TOTAL:", IF($D459="TOTAL:","VESSEL TARGET "&amp;'RAW DATA'!$E$2&amp;":",IF('RAW DATA'!$E460&lt;&gt;"",'RAW DATA'!$E460,"")))</f>
        <v/>
      </c>
      <c r="E460" s="29" t="str">
        <f t="shared" si="14"/>
        <v/>
      </c>
      <c r="F460" s="4" t="str">
        <f>IF($D459="TOTAL:",FIXED(ROUND(((SUM($F$4:$F458)/'RAW DATA'!$E$2)*100),1),1)&amp;"%",IF($D460="TOTAL:",SUM($F$4:$F459),IF(SUMIF('RAW DATA'!M:M,'RAW DATA'!B460,'RAW DATA'!H:H)=0,"",SUMIF('RAW DATA'!M:M,'RAW DATA'!B460,'RAW DATA'!H:H))))</f>
        <v/>
      </c>
      <c r="G460" s="4" t="str">
        <f>IF($D459="TOTAL:",FIXED(ROUND(((SUM($G$4:$G458)/'RAW DATA'!$E$2)*100),1),1)&amp;"%",IF($D460="TOTAL:",SUM($G$4:$G459),IF(SUMIF('RAW DATA'!M:M,'RAW DATA'!B460,'RAW DATA'!I:I)=0,"",SUMIF('RAW DATA'!M:M,'RAW DATA'!B460,'RAW DATA'!I:I))))</f>
        <v/>
      </c>
      <c r="H460" s="4" t="str">
        <f>IF(SUM(SUMIF('RAW DATA'!M:M,'RAW DATA'!B460,'RAW DATA'!J:J),SUMIF('RAW DATA'!N:N,'RAW DATA'!B460,'RAW DATA'!J:J),SUMIF('RAW DATA'!O:O,'RAW DATA'!B460,'RAW DATA'!J:J),SUMIF('RAW DATA'!P:P,'RAW DATA'!B460,'RAW DATA'!J:J))=0, "", SUM(SUMIF('RAW DATA'!M:M,'RAW DATA'!B460,'RAW DATA'!J:J),SUMIF('RAW DATA'!N:N,'RAW DATA'!B460,'RAW DATA'!J:J),SUMIF('RAW DATA'!O:O,'RAW DATA'!B460,'RAW DATA'!J:J),SUMIF('RAW DATA'!P:P,'RAW DATA'!B460,'RAW DATA'!J:J)))</f>
        <v/>
      </c>
      <c r="I460" s="4" t="str">
        <f>IF(SUMIF('RAW DATA'!M:M,'RAW DATA'!B460, 'RAW DATA'!K:K)=0, "", SUMIF('RAW DATA'!M:M,'RAW DATA'!B460, 'RAW DATA'!K:K))</f>
        <v/>
      </c>
      <c r="J460" s="29" t="str">
        <f>IF('RAW DATA'!B460&lt;&gt;"",IF(OR('RAW DATA'!H460=1,'RAW DATA'!H460=2),1,IF(ISNUMBER(FIND("Medic",'RAW DATA'!E460)),1,"")),"")</f>
        <v/>
      </c>
      <c r="K460" s="29" t="str">
        <f>IF(AND('RAW DATA'!$B460&lt;&gt;"",'RAW DATA'!L460=1),1,"")</f>
        <v/>
      </c>
      <c r="L460" s="24" t="str">
        <f t="shared" si="15"/>
        <v/>
      </c>
    </row>
    <row r="461" spans="2:12" x14ac:dyDescent="0.25">
      <c r="B461" s="1" t="str">
        <f>IF('RAW DATA'!$C463&lt;&gt;"",'RAW DATA'!$C463,"")</f>
        <v/>
      </c>
      <c r="C461" s="1" t="str">
        <f>IF('RAW DATA'!$D463&lt;&gt;"",'RAW DATA'!$D463,"")</f>
        <v/>
      </c>
      <c r="D461" s="1" t="str">
        <f>IF(AND($B460&lt;&gt;"", $B461=""), "TOTAL:", IF($D460="TOTAL:","VESSEL TARGET "&amp;'RAW DATA'!$E$2&amp;":",IF('RAW DATA'!$E461&lt;&gt;"",'RAW DATA'!$E461,"")))</f>
        <v/>
      </c>
      <c r="E461" s="29" t="str">
        <f t="shared" si="14"/>
        <v/>
      </c>
      <c r="F461" s="4" t="str">
        <f>IF($D460="TOTAL:",FIXED(ROUND(((SUM($F$4:$F459)/'RAW DATA'!$E$2)*100),1),1)&amp;"%",IF($D461="TOTAL:",SUM($F$4:$F460),IF(SUMIF('RAW DATA'!M:M,'RAW DATA'!B461,'RAW DATA'!H:H)=0,"",SUMIF('RAW DATA'!M:M,'RAW DATA'!B461,'RAW DATA'!H:H))))</f>
        <v/>
      </c>
      <c r="G461" s="4" t="str">
        <f>IF($D460="TOTAL:",FIXED(ROUND(((SUM($G$4:$G459)/'RAW DATA'!$E$2)*100),1),1)&amp;"%",IF($D461="TOTAL:",SUM($G$4:$G460),IF(SUMIF('RAW DATA'!M:M,'RAW DATA'!B461,'RAW DATA'!I:I)=0,"",SUMIF('RAW DATA'!M:M,'RAW DATA'!B461,'RAW DATA'!I:I))))</f>
        <v/>
      </c>
      <c r="H461" s="4" t="str">
        <f>IF(SUM(SUMIF('RAW DATA'!M:M,'RAW DATA'!B461,'RAW DATA'!J:J),SUMIF('RAW DATA'!N:N,'RAW DATA'!B461,'RAW DATA'!J:J),SUMIF('RAW DATA'!O:O,'RAW DATA'!B461,'RAW DATA'!J:J),SUMIF('RAW DATA'!P:P,'RAW DATA'!B461,'RAW DATA'!J:J))=0, "", SUM(SUMIF('RAW DATA'!M:M,'RAW DATA'!B461,'RAW DATA'!J:J),SUMIF('RAW DATA'!N:N,'RAW DATA'!B461,'RAW DATA'!J:J),SUMIF('RAW DATA'!O:O,'RAW DATA'!B461,'RAW DATA'!J:J),SUMIF('RAW DATA'!P:P,'RAW DATA'!B461,'RAW DATA'!J:J)))</f>
        <v/>
      </c>
      <c r="I461" s="4" t="str">
        <f>IF(SUMIF('RAW DATA'!M:M,'RAW DATA'!B461, 'RAW DATA'!K:K)=0, "", SUMIF('RAW DATA'!M:M,'RAW DATA'!B461, 'RAW DATA'!K:K))</f>
        <v/>
      </c>
      <c r="J461" s="29" t="str">
        <f>IF('RAW DATA'!B461&lt;&gt;"",IF(OR('RAW DATA'!H461=1,'RAW DATA'!H461=2),1,IF(ISNUMBER(FIND("Medic",'RAW DATA'!E461)),1,"")),"")</f>
        <v/>
      </c>
      <c r="K461" s="29" t="str">
        <f>IF(AND('RAW DATA'!$B461&lt;&gt;"",'RAW DATA'!L461=1),1,"")</f>
        <v/>
      </c>
      <c r="L461" s="24" t="str">
        <f t="shared" si="15"/>
        <v/>
      </c>
    </row>
    <row r="462" spans="2:12" x14ac:dyDescent="0.25">
      <c r="B462" s="1" t="str">
        <f>IF('RAW DATA'!$C464&lt;&gt;"",'RAW DATA'!$C464,"")</f>
        <v/>
      </c>
      <c r="C462" s="1" t="str">
        <f>IF('RAW DATA'!$D464&lt;&gt;"",'RAW DATA'!$D464,"")</f>
        <v/>
      </c>
      <c r="D462" s="1" t="str">
        <f>IF(AND($B461&lt;&gt;"", $B462=""), "TOTAL:", IF($D461="TOTAL:","VESSEL TARGET "&amp;'RAW DATA'!$E$2&amp;":",IF('RAW DATA'!$E462&lt;&gt;"",'RAW DATA'!$E462,"")))</f>
        <v/>
      </c>
      <c r="E462" s="29" t="str">
        <f t="shared" si="14"/>
        <v/>
      </c>
      <c r="F462" s="4" t="str">
        <f>IF($D461="TOTAL:",FIXED(ROUND(((SUM($F$4:$F460)/'RAW DATA'!$E$2)*100),1),1)&amp;"%",IF($D462="TOTAL:",SUM($F$4:$F461),IF(SUMIF('RAW DATA'!M:M,'RAW DATA'!B462,'RAW DATA'!H:H)=0,"",SUMIF('RAW DATA'!M:M,'RAW DATA'!B462,'RAW DATA'!H:H))))</f>
        <v/>
      </c>
      <c r="G462" s="4" t="str">
        <f>IF($D461="TOTAL:",FIXED(ROUND(((SUM($G$4:$G460)/'RAW DATA'!$E$2)*100),1),1)&amp;"%",IF($D462="TOTAL:",SUM($G$4:$G461),IF(SUMIF('RAW DATA'!M:M,'RAW DATA'!B462,'RAW DATA'!I:I)=0,"",SUMIF('RAW DATA'!M:M,'RAW DATA'!B462,'RAW DATA'!I:I))))</f>
        <v/>
      </c>
      <c r="H462" s="4" t="str">
        <f>IF(SUM(SUMIF('RAW DATA'!M:M,'RAW DATA'!B462,'RAW DATA'!J:J),SUMIF('RAW DATA'!N:N,'RAW DATA'!B462,'RAW DATA'!J:J),SUMIF('RAW DATA'!O:O,'RAW DATA'!B462,'RAW DATA'!J:J),SUMIF('RAW DATA'!P:P,'RAW DATA'!B462,'RAW DATA'!J:J))=0, "", SUM(SUMIF('RAW DATA'!M:M,'RAW DATA'!B462,'RAW DATA'!J:J),SUMIF('RAW DATA'!N:N,'RAW DATA'!B462,'RAW DATA'!J:J),SUMIF('RAW DATA'!O:O,'RAW DATA'!B462,'RAW DATA'!J:J),SUMIF('RAW DATA'!P:P,'RAW DATA'!B462,'RAW DATA'!J:J)))</f>
        <v/>
      </c>
      <c r="I462" s="4" t="str">
        <f>IF(SUMIF('RAW DATA'!M:M,'RAW DATA'!B462, 'RAW DATA'!K:K)=0, "", SUMIF('RAW DATA'!M:M,'RAW DATA'!B462, 'RAW DATA'!K:K))</f>
        <v/>
      </c>
      <c r="J462" s="29" t="str">
        <f>IF('RAW DATA'!B462&lt;&gt;"",IF(OR('RAW DATA'!H462=1,'RAW DATA'!H462=2),1,IF(ISNUMBER(FIND("Medic",'RAW DATA'!E462)),1,"")),"")</f>
        <v/>
      </c>
      <c r="K462" s="29" t="str">
        <f>IF(AND('RAW DATA'!$B462&lt;&gt;"",'RAW DATA'!L462=1),1,"")</f>
        <v/>
      </c>
      <c r="L462" s="24" t="str">
        <f t="shared" si="15"/>
        <v/>
      </c>
    </row>
    <row r="463" spans="2:12" x14ac:dyDescent="0.25">
      <c r="B463" s="1" t="str">
        <f>IF('RAW DATA'!$C465&lt;&gt;"",'RAW DATA'!$C465,"")</f>
        <v/>
      </c>
      <c r="C463" s="1" t="str">
        <f>IF('RAW DATA'!$D465&lt;&gt;"",'RAW DATA'!$D465,"")</f>
        <v/>
      </c>
      <c r="D463" s="1" t="str">
        <f>IF(AND($B462&lt;&gt;"", $B463=""), "TOTAL:", IF($D462="TOTAL:","VESSEL TARGET "&amp;'RAW DATA'!$E$2&amp;":",IF('RAW DATA'!$E463&lt;&gt;"",'RAW DATA'!$E463,"")))</f>
        <v/>
      </c>
      <c r="E463" s="29" t="str">
        <f t="shared" si="14"/>
        <v/>
      </c>
      <c r="F463" s="4" t="str">
        <f>IF($D462="TOTAL:",FIXED(ROUND(((SUM($F$4:$F461)/'RAW DATA'!$E$2)*100),1),1)&amp;"%",IF($D463="TOTAL:",SUM($F$4:$F462),IF(SUMIF('RAW DATA'!M:M,'RAW DATA'!B463,'RAW DATA'!H:H)=0,"",SUMIF('RAW DATA'!M:M,'RAW DATA'!B463,'RAW DATA'!H:H))))</f>
        <v/>
      </c>
      <c r="G463" s="4" t="str">
        <f>IF($D462="TOTAL:",FIXED(ROUND(((SUM($G$4:$G461)/'RAW DATA'!$E$2)*100),1),1)&amp;"%",IF($D463="TOTAL:",SUM($G$4:$G462),IF(SUMIF('RAW DATA'!M:M,'RAW DATA'!B463,'RAW DATA'!I:I)=0,"",SUMIF('RAW DATA'!M:M,'RAW DATA'!B463,'RAW DATA'!I:I))))</f>
        <v/>
      </c>
      <c r="H463" s="4" t="str">
        <f>IF(SUM(SUMIF('RAW DATA'!M:M,'RAW DATA'!B463,'RAW DATA'!J:J),SUMIF('RAW DATA'!N:N,'RAW DATA'!B463,'RAW DATA'!J:J),SUMIF('RAW DATA'!O:O,'RAW DATA'!B463,'RAW DATA'!J:J),SUMIF('RAW DATA'!P:P,'RAW DATA'!B463,'RAW DATA'!J:J))=0, "", SUM(SUMIF('RAW DATA'!M:M,'RAW DATA'!B463,'RAW DATA'!J:J),SUMIF('RAW DATA'!N:N,'RAW DATA'!B463,'RAW DATA'!J:J),SUMIF('RAW DATA'!O:O,'RAW DATA'!B463,'RAW DATA'!J:J),SUMIF('RAW DATA'!P:P,'RAW DATA'!B463,'RAW DATA'!J:J)))</f>
        <v/>
      </c>
      <c r="I463" s="4" t="str">
        <f>IF(SUMIF('RAW DATA'!M:M,'RAW DATA'!B463, 'RAW DATA'!K:K)=0, "", SUMIF('RAW DATA'!M:M,'RAW DATA'!B463, 'RAW DATA'!K:K))</f>
        <v/>
      </c>
      <c r="J463" s="29" t="str">
        <f>IF('RAW DATA'!B463&lt;&gt;"",IF(OR('RAW DATA'!H463=1,'RAW DATA'!H463=2),1,IF(ISNUMBER(FIND("Medic",'RAW DATA'!E463)),1,"")),"")</f>
        <v/>
      </c>
      <c r="K463" s="29" t="str">
        <f>IF(AND('RAW DATA'!$B463&lt;&gt;"",'RAW DATA'!L463=1),1,"")</f>
        <v/>
      </c>
      <c r="L463" s="24" t="str">
        <f t="shared" si="15"/>
        <v/>
      </c>
    </row>
    <row r="464" spans="2:12" x14ac:dyDescent="0.25">
      <c r="B464" s="1" t="str">
        <f>IF('RAW DATA'!$C466&lt;&gt;"",'RAW DATA'!$C466,"")</f>
        <v/>
      </c>
      <c r="C464" s="1" t="str">
        <f>IF('RAW DATA'!$D466&lt;&gt;"",'RAW DATA'!$D466,"")</f>
        <v/>
      </c>
      <c r="D464" s="1" t="str">
        <f>IF(AND($B463&lt;&gt;"", $B464=""), "TOTAL:", IF($D463="TOTAL:","VESSEL TARGET "&amp;'RAW DATA'!$E$2&amp;":",IF('RAW DATA'!$E464&lt;&gt;"",'RAW DATA'!$E464,"")))</f>
        <v/>
      </c>
      <c r="E464" s="29" t="str">
        <f t="shared" si="14"/>
        <v/>
      </c>
      <c r="F464" s="4" t="str">
        <f>IF($D463="TOTAL:",FIXED(ROUND(((SUM($F$4:$F462)/'RAW DATA'!$E$2)*100),1),1)&amp;"%",IF($D464="TOTAL:",SUM($F$4:$F463),IF(SUMIF('RAW DATA'!M:M,'RAW DATA'!B464,'RAW DATA'!H:H)=0,"",SUMIF('RAW DATA'!M:M,'RAW DATA'!B464,'RAW DATA'!H:H))))</f>
        <v/>
      </c>
      <c r="G464" s="4" t="str">
        <f>IF($D463="TOTAL:",FIXED(ROUND(((SUM($G$4:$G462)/'RAW DATA'!$E$2)*100),1),1)&amp;"%",IF($D464="TOTAL:",SUM($G$4:$G463),IF(SUMIF('RAW DATA'!M:M,'RAW DATA'!B464,'RAW DATA'!I:I)=0,"",SUMIF('RAW DATA'!M:M,'RAW DATA'!B464,'RAW DATA'!I:I))))</f>
        <v/>
      </c>
      <c r="H464" s="4" t="str">
        <f>IF(SUM(SUMIF('RAW DATA'!M:M,'RAW DATA'!B464,'RAW DATA'!J:J),SUMIF('RAW DATA'!N:N,'RAW DATA'!B464,'RAW DATA'!J:J),SUMIF('RAW DATA'!O:O,'RAW DATA'!B464,'RAW DATA'!J:J),SUMIF('RAW DATA'!P:P,'RAW DATA'!B464,'RAW DATA'!J:J))=0, "", SUM(SUMIF('RAW DATA'!M:M,'RAW DATA'!B464,'RAW DATA'!J:J),SUMIF('RAW DATA'!N:N,'RAW DATA'!B464,'RAW DATA'!J:J),SUMIF('RAW DATA'!O:O,'RAW DATA'!B464,'RAW DATA'!J:J),SUMIF('RAW DATA'!P:P,'RAW DATA'!B464,'RAW DATA'!J:J)))</f>
        <v/>
      </c>
      <c r="I464" s="4" t="str">
        <f>IF(SUMIF('RAW DATA'!M:M,'RAW DATA'!B464, 'RAW DATA'!K:K)=0, "", SUMIF('RAW DATA'!M:M,'RAW DATA'!B464, 'RAW DATA'!K:K))</f>
        <v/>
      </c>
      <c r="J464" s="29" t="str">
        <f>IF('RAW DATA'!B464&lt;&gt;"",IF(OR('RAW DATA'!H464=1,'RAW DATA'!H464=2),1,IF(ISNUMBER(FIND("Medic",'RAW DATA'!E464)),1,"")),"")</f>
        <v/>
      </c>
      <c r="K464" s="29" t="str">
        <f>IF(AND('RAW DATA'!$B464&lt;&gt;"",'RAW DATA'!L464=1),1,"")</f>
        <v/>
      </c>
      <c r="L464" s="24" t="str">
        <f t="shared" si="15"/>
        <v/>
      </c>
    </row>
    <row r="465" spans="2:12" x14ac:dyDescent="0.25">
      <c r="B465" s="1" t="str">
        <f>IF('RAW DATA'!$C467&lt;&gt;"",'RAW DATA'!$C467,"")</f>
        <v/>
      </c>
      <c r="C465" s="1" t="str">
        <f>IF('RAW DATA'!$D467&lt;&gt;"",'RAW DATA'!$D467,"")</f>
        <v/>
      </c>
      <c r="D465" s="1" t="str">
        <f>IF(AND($B464&lt;&gt;"", $B465=""), "TOTAL:", IF($D464="TOTAL:","VESSEL TARGET "&amp;'RAW DATA'!$E$2&amp;":",IF('RAW DATA'!$E465&lt;&gt;"",'RAW DATA'!$E465,"")))</f>
        <v/>
      </c>
      <c r="E465" s="29" t="str">
        <f t="shared" si="14"/>
        <v/>
      </c>
      <c r="F465" s="4" t="str">
        <f>IF($D464="TOTAL:",FIXED(ROUND(((SUM($F$4:$F463)/'RAW DATA'!$E$2)*100),1),1)&amp;"%",IF($D465="TOTAL:",SUM($F$4:$F464),IF(SUMIF('RAW DATA'!M:M,'RAW DATA'!B465,'RAW DATA'!H:H)=0,"",SUMIF('RAW DATA'!M:M,'RAW DATA'!B465,'RAW DATA'!H:H))))</f>
        <v/>
      </c>
      <c r="G465" s="4" t="str">
        <f>IF($D464="TOTAL:",FIXED(ROUND(((SUM($G$4:$G463)/'RAW DATA'!$E$2)*100),1),1)&amp;"%",IF($D465="TOTAL:",SUM($G$4:$G464),IF(SUMIF('RAW DATA'!M:M,'RAW DATA'!B465,'RAW DATA'!I:I)=0,"",SUMIF('RAW DATA'!M:M,'RAW DATA'!B465,'RAW DATA'!I:I))))</f>
        <v/>
      </c>
      <c r="H465" s="4" t="str">
        <f>IF(SUM(SUMIF('RAW DATA'!M:M,'RAW DATA'!B465,'RAW DATA'!J:J),SUMIF('RAW DATA'!N:N,'RAW DATA'!B465,'RAW DATA'!J:J),SUMIF('RAW DATA'!O:O,'RAW DATA'!B465,'RAW DATA'!J:J),SUMIF('RAW DATA'!P:P,'RAW DATA'!B465,'RAW DATA'!J:J))=0, "", SUM(SUMIF('RAW DATA'!M:M,'RAW DATA'!B465,'RAW DATA'!J:J),SUMIF('RAW DATA'!N:N,'RAW DATA'!B465,'RAW DATA'!J:J),SUMIF('RAW DATA'!O:O,'RAW DATA'!B465,'RAW DATA'!J:J),SUMIF('RAW DATA'!P:P,'RAW DATA'!B465,'RAW DATA'!J:J)))</f>
        <v/>
      </c>
      <c r="I465" s="4" t="str">
        <f>IF(SUMIF('RAW DATA'!M:M,'RAW DATA'!B465, 'RAW DATA'!K:K)=0, "", SUMIF('RAW DATA'!M:M,'RAW DATA'!B465, 'RAW DATA'!K:K))</f>
        <v/>
      </c>
      <c r="J465" s="29" t="str">
        <f>IF('RAW DATA'!B465&lt;&gt;"",IF(OR('RAW DATA'!H465=1,'RAW DATA'!H465=2),1,IF(ISNUMBER(FIND("Medic",'RAW DATA'!E465)),1,"")),"")</f>
        <v/>
      </c>
      <c r="K465" s="29" t="str">
        <f>IF(AND('RAW DATA'!$B465&lt;&gt;"",'RAW DATA'!L465=1),1,"")</f>
        <v/>
      </c>
      <c r="L465" s="24" t="str">
        <f t="shared" si="15"/>
        <v/>
      </c>
    </row>
    <row r="466" spans="2:12" x14ac:dyDescent="0.25">
      <c r="B466" s="1" t="str">
        <f>IF('RAW DATA'!$C468&lt;&gt;"",'RAW DATA'!$C468,"")</f>
        <v/>
      </c>
      <c r="C466" s="1" t="str">
        <f>IF('RAW DATA'!$D468&lt;&gt;"",'RAW DATA'!$D468,"")</f>
        <v/>
      </c>
      <c r="D466" s="1" t="str">
        <f>IF(AND($B465&lt;&gt;"", $B466=""), "TOTAL:", IF($D465="TOTAL:","VESSEL TARGET "&amp;'RAW DATA'!$E$2&amp;":",IF('RAW DATA'!$E466&lt;&gt;"",'RAW DATA'!$E466,"")))</f>
        <v/>
      </c>
      <c r="E466" s="29" t="str">
        <f t="shared" si="14"/>
        <v/>
      </c>
      <c r="F466" s="4" t="str">
        <f>IF($D465="TOTAL:",FIXED(ROUND(((SUM($F$4:$F464)/'RAW DATA'!$E$2)*100),1),1)&amp;"%",IF($D466="TOTAL:",SUM($F$4:$F465),IF(SUMIF('RAW DATA'!M:M,'RAW DATA'!B466,'RAW DATA'!H:H)=0,"",SUMIF('RAW DATA'!M:M,'RAW DATA'!B466,'RAW DATA'!H:H))))</f>
        <v/>
      </c>
      <c r="G466" s="4" t="str">
        <f>IF($D465="TOTAL:",FIXED(ROUND(((SUM($G$4:$G464)/'RAW DATA'!$E$2)*100),1),1)&amp;"%",IF($D466="TOTAL:",SUM($G$4:$G465),IF(SUMIF('RAW DATA'!M:M,'RAW DATA'!B466,'RAW DATA'!I:I)=0,"",SUMIF('RAW DATA'!M:M,'RAW DATA'!B466,'RAW DATA'!I:I))))</f>
        <v/>
      </c>
      <c r="H466" s="4" t="str">
        <f>IF(SUM(SUMIF('RAW DATA'!M:M,'RAW DATA'!B466,'RAW DATA'!J:J),SUMIF('RAW DATA'!N:N,'RAW DATA'!B466,'RAW DATA'!J:J),SUMIF('RAW DATA'!O:O,'RAW DATA'!B466,'RAW DATA'!J:J),SUMIF('RAW DATA'!P:P,'RAW DATA'!B466,'RAW DATA'!J:J))=0, "", SUM(SUMIF('RAW DATA'!M:M,'RAW DATA'!B466,'RAW DATA'!J:J),SUMIF('RAW DATA'!N:N,'RAW DATA'!B466,'RAW DATA'!J:J),SUMIF('RAW DATA'!O:O,'RAW DATA'!B466,'RAW DATA'!J:J),SUMIF('RAW DATA'!P:P,'RAW DATA'!B466,'RAW DATA'!J:J)))</f>
        <v/>
      </c>
      <c r="I466" s="4" t="str">
        <f>IF(SUMIF('RAW DATA'!M:M,'RAW DATA'!B466, 'RAW DATA'!K:K)=0, "", SUMIF('RAW DATA'!M:M,'RAW DATA'!B466, 'RAW DATA'!K:K))</f>
        <v/>
      </c>
      <c r="J466" s="29" t="str">
        <f>IF('RAW DATA'!B466&lt;&gt;"",IF(OR('RAW DATA'!H466=1,'RAW DATA'!H466=2),1,IF(ISNUMBER(FIND("Medic",'RAW DATA'!E466)),1,"")),"")</f>
        <v/>
      </c>
      <c r="K466" s="29" t="str">
        <f>IF(AND('RAW DATA'!$B466&lt;&gt;"",'RAW DATA'!L466=1),1,"")</f>
        <v/>
      </c>
      <c r="L466" s="24" t="str">
        <f t="shared" si="15"/>
        <v/>
      </c>
    </row>
    <row r="467" spans="2:12" x14ac:dyDescent="0.25">
      <c r="B467" s="1" t="str">
        <f>IF('RAW DATA'!$C469&lt;&gt;"",'RAW DATA'!$C469,"")</f>
        <v/>
      </c>
      <c r="C467" s="1" t="str">
        <f>IF('RAW DATA'!$D469&lt;&gt;"",'RAW DATA'!$D469,"")</f>
        <v/>
      </c>
      <c r="D467" s="1" t="str">
        <f>IF(AND($B466&lt;&gt;"", $B467=""), "TOTAL:", IF($D466="TOTAL:","VESSEL TARGET "&amp;'RAW DATA'!$E$2&amp;":",IF('RAW DATA'!$E467&lt;&gt;"",'RAW DATA'!$E467,"")))</f>
        <v/>
      </c>
      <c r="E467" s="29" t="str">
        <f t="shared" si="14"/>
        <v/>
      </c>
      <c r="F467" s="4" t="str">
        <f>IF($D466="TOTAL:",FIXED(ROUND(((SUM($F$4:$F465)/'RAW DATA'!$E$2)*100),1),1)&amp;"%",IF($D467="TOTAL:",SUM($F$4:$F466),IF(SUMIF('RAW DATA'!M:M,'RAW DATA'!B467,'RAW DATA'!H:H)=0,"",SUMIF('RAW DATA'!M:M,'RAW DATA'!B467,'RAW DATA'!H:H))))</f>
        <v/>
      </c>
      <c r="G467" s="4" t="str">
        <f>IF($D466="TOTAL:",FIXED(ROUND(((SUM($G$4:$G465)/'RAW DATA'!$E$2)*100),1),1)&amp;"%",IF($D467="TOTAL:",SUM($G$4:$G466),IF(SUMIF('RAW DATA'!M:M,'RAW DATA'!B467,'RAW DATA'!I:I)=0,"",SUMIF('RAW DATA'!M:M,'RAW DATA'!B467,'RAW DATA'!I:I))))</f>
        <v/>
      </c>
      <c r="H467" s="4" t="str">
        <f>IF(SUM(SUMIF('RAW DATA'!M:M,'RAW DATA'!B467,'RAW DATA'!J:J),SUMIF('RAW DATA'!N:N,'RAW DATA'!B467,'RAW DATA'!J:J),SUMIF('RAW DATA'!O:O,'RAW DATA'!B467,'RAW DATA'!J:J),SUMIF('RAW DATA'!P:P,'RAW DATA'!B467,'RAW DATA'!J:J))=0, "", SUM(SUMIF('RAW DATA'!M:M,'RAW DATA'!B467,'RAW DATA'!J:J),SUMIF('RAW DATA'!N:N,'RAW DATA'!B467,'RAW DATA'!J:J),SUMIF('RAW DATA'!O:O,'RAW DATA'!B467,'RAW DATA'!J:J),SUMIF('RAW DATA'!P:P,'RAW DATA'!B467,'RAW DATA'!J:J)))</f>
        <v/>
      </c>
      <c r="I467" s="4" t="str">
        <f>IF(SUMIF('RAW DATA'!M:M,'RAW DATA'!B467, 'RAW DATA'!K:K)=0, "", SUMIF('RAW DATA'!M:M,'RAW DATA'!B467, 'RAW DATA'!K:K))</f>
        <v/>
      </c>
      <c r="J467" s="29" t="str">
        <f>IF('RAW DATA'!B467&lt;&gt;"",IF(OR('RAW DATA'!H467=1,'RAW DATA'!H467=2),1,IF(ISNUMBER(FIND("Medic",'RAW DATA'!E467)),1,"")),"")</f>
        <v/>
      </c>
      <c r="K467" s="29" t="str">
        <f>IF(AND('RAW DATA'!$B467&lt;&gt;"",'RAW DATA'!L467=1),1,"")</f>
        <v/>
      </c>
      <c r="L467" s="24" t="str">
        <f t="shared" si="15"/>
        <v/>
      </c>
    </row>
    <row r="468" spans="2:12" x14ac:dyDescent="0.25">
      <c r="B468" s="1" t="str">
        <f>IF('RAW DATA'!$C470&lt;&gt;"",'RAW DATA'!$C470,"")</f>
        <v/>
      </c>
      <c r="C468" s="1" t="str">
        <f>IF('RAW DATA'!$D470&lt;&gt;"",'RAW DATA'!$D470,"")</f>
        <v/>
      </c>
      <c r="D468" s="1" t="str">
        <f>IF(AND($B467&lt;&gt;"", $B468=""), "TOTAL:", IF($D467="TOTAL:","VESSEL TARGET "&amp;'RAW DATA'!$E$2&amp;":",IF('RAW DATA'!$E468&lt;&gt;"",'RAW DATA'!$E468,"")))</f>
        <v/>
      </c>
      <c r="E468" s="29" t="str">
        <f t="shared" si="14"/>
        <v/>
      </c>
      <c r="F468" s="4" t="str">
        <f>IF($D467="TOTAL:",FIXED(ROUND(((SUM($F$4:$F466)/'RAW DATA'!$E$2)*100),1),1)&amp;"%",IF($D468="TOTAL:",SUM($F$4:$F467),IF(SUMIF('RAW DATA'!M:M,'RAW DATA'!B468,'RAW DATA'!H:H)=0,"",SUMIF('RAW DATA'!M:M,'RAW DATA'!B468,'RAW DATA'!H:H))))</f>
        <v/>
      </c>
      <c r="G468" s="4" t="str">
        <f>IF($D467="TOTAL:",FIXED(ROUND(((SUM($G$4:$G466)/'RAW DATA'!$E$2)*100),1),1)&amp;"%",IF($D468="TOTAL:",SUM($G$4:$G467),IF(SUMIF('RAW DATA'!M:M,'RAW DATA'!B468,'RAW DATA'!I:I)=0,"",SUMIF('RAW DATA'!M:M,'RAW DATA'!B468,'RAW DATA'!I:I))))</f>
        <v/>
      </c>
      <c r="H468" s="4" t="str">
        <f>IF(SUM(SUMIF('RAW DATA'!M:M,'RAW DATA'!B468,'RAW DATA'!J:J),SUMIF('RAW DATA'!N:N,'RAW DATA'!B468,'RAW DATA'!J:J),SUMIF('RAW DATA'!O:O,'RAW DATA'!B468,'RAW DATA'!J:J),SUMIF('RAW DATA'!P:P,'RAW DATA'!B468,'RAW DATA'!J:J))=0, "", SUM(SUMIF('RAW DATA'!M:M,'RAW DATA'!B468,'RAW DATA'!J:J),SUMIF('RAW DATA'!N:N,'RAW DATA'!B468,'RAW DATA'!J:J),SUMIF('RAW DATA'!O:O,'RAW DATA'!B468,'RAW DATA'!J:J),SUMIF('RAW DATA'!P:P,'RAW DATA'!B468,'RAW DATA'!J:J)))</f>
        <v/>
      </c>
      <c r="I468" s="4" t="str">
        <f>IF(SUMIF('RAW DATA'!M:M,'RAW DATA'!B468, 'RAW DATA'!K:K)=0, "", SUMIF('RAW DATA'!M:M,'RAW DATA'!B468, 'RAW DATA'!K:K))</f>
        <v/>
      </c>
      <c r="J468" s="29" t="str">
        <f>IF('RAW DATA'!B468&lt;&gt;"",IF(OR('RAW DATA'!H468=1,'RAW DATA'!H468=2),1,IF(ISNUMBER(FIND("Medic",'RAW DATA'!E468)),1,"")),"")</f>
        <v/>
      </c>
      <c r="K468" s="29" t="str">
        <f>IF(AND('RAW DATA'!$B468&lt;&gt;"",'RAW DATA'!L468=1),1,"")</f>
        <v/>
      </c>
      <c r="L468" s="24" t="str">
        <f t="shared" si="15"/>
        <v/>
      </c>
    </row>
    <row r="469" spans="2:12" x14ac:dyDescent="0.25">
      <c r="B469" s="1" t="str">
        <f>IF('RAW DATA'!$C471&lt;&gt;"",'RAW DATA'!$C471,"")</f>
        <v/>
      </c>
      <c r="C469" s="1" t="str">
        <f>IF('RAW DATA'!$D471&lt;&gt;"",'RAW DATA'!$D471,"")</f>
        <v/>
      </c>
      <c r="D469" s="1" t="str">
        <f>IF(AND($B468&lt;&gt;"", $B469=""), "TOTAL:", IF($D468="TOTAL:","VESSEL TARGET "&amp;'RAW DATA'!$E$2&amp;":",IF('RAW DATA'!$E469&lt;&gt;"",'RAW DATA'!$E469,"")))</f>
        <v/>
      </c>
      <c r="E469" s="29" t="str">
        <f t="shared" si="14"/>
        <v/>
      </c>
      <c r="F469" s="4" t="str">
        <f>IF($D468="TOTAL:",FIXED(ROUND(((SUM($F$4:$F467)/'RAW DATA'!$E$2)*100),1),1)&amp;"%",IF($D469="TOTAL:",SUM($F$4:$F468),IF(SUMIF('RAW DATA'!M:M,'RAW DATA'!B469,'RAW DATA'!H:H)=0,"",SUMIF('RAW DATA'!M:M,'RAW DATA'!B469,'RAW DATA'!H:H))))</f>
        <v/>
      </c>
      <c r="G469" s="4" t="str">
        <f>IF($D468="TOTAL:",FIXED(ROUND(((SUM($G$4:$G467)/'RAW DATA'!$E$2)*100),1),1)&amp;"%",IF($D469="TOTAL:",SUM($G$4:$G468),IF(SUMIF('RAW DATA'!M:M,'RAW DATA'!B469,'RAW DATA'!I:I)=0,"",SUMIF('RAW DATA'!M:M,'RAW DATA'!B469,'RAW DATA'!I:I))))</f>
        <v/>
      </c>
      <c r="H469" s="4" t="str">
        <f>IF(SUM(SUMIF('RAW DATA'!M:M,'RAW DATA'!B469,'RAW DATA'!J:J),SUMIF('RAW DATA'!N:N,'RAW DATA'!B469,'RAW DATA'!J:J),SUMIF('RAW DATA'!O:O,'RAW DATA'!B469,'RAW DATA'!J:J),SUMIF('RAW DATA'!P:P,'RAW DATA'!B469,'RAW DATA'!J:J))=0, "", SUM(SUMIF('RAW DATA'!M:M,'RAW DATA'!B469,'RAW DATA'!J:J),SUMIF('RAW DATA'!N:N,'RAW DATA'!B469,'RAW DATA'!J:J),SUMIF('RAW DATA'!O:O,'RAW DATA'!B469,'RAW DATA'!J:J),SUMIF('RAW DATA'!P:P,'RAW DATA'!B469,'RAW DATA'!J:J)))</f>
        <v/>
      </c>
      <c r="I469" s="4" t="str">
        <f>IF(SUMIF('RAW DATA'!M:M,'RAW DATA'!B469, 'RAW DATA'!K:K)=0, "", SUMIF('RAW DATA'!M:M,'RAW DATA'!B469, 'RAW DATA'!K:K))</f>
        <v/>
      </c>
      <c r="J469" s="29" t="str">
        <f>IF('RAW DATA'!B469&lt;&gt;"",IF(OR('RAW DATA'!H469=1,'RAW DATA'!H469=2),1,IF(ISNUMBER(FIND("Medic",'RAW DATA'!E469)),1,"")),"")</f>
        <v/>
      </c>
      <c r="K469" s="29" t="str">
        <f>IF(AND('RAW DATA'!$B469&lt;&gt;"",'RAW DATA'!L469=1),1,"")</f>
        <v/>
      </c>
      <c r="L469" s="24" t="str">
        <f t="shared" si="15"/>
        <v/>
      </c>
    </row>
    <row r="470" spans="2:12" x14ac:dyDescent="0.25">
      <c r="B470" s="1" t="str">
        <f>IF('RAW DATA'!$C472&lt;&gt;"",'RAW DATA'!$C472,"")</f>
        <v/>
      </c>
      <c r="C470" s="1" t="str">
        <f>IF('RAW DATA'!$D472&lt;&gt;"",'RAW DATA'!$D472,"")</f>
        <v/>
      </c>
      <c r="D470" s="1" t="str">
        <f>IF(AND($B469&lt;&gt;"", $B470=""), "TOTAL:", IF($D469="TOTAL:","VESSEL TARGET "&amp;'RAW DATA'!$E$2&amp;":",IF('RAW DATA'!$E470&lt;&gt;"",'RAW DATA'!$E470,"")))</f>
        <v/>
      </c>
      <c r="E470" s="29" t="str">
        <f t="shared" si="14"/>
        <v/>
      </c>
      <c r="F470" s="4" t="str">
        <f>IF($D469="TOTAL:",FIXED(ROUND(((SUM($F$4:$F468)/'RAW DATA'!$E$2)*100),1),1)&amp;"%",IF($D470="TOTAL:",SUM($F$4:$F469),IF(SUMIF('RAW DATA'!M:M,'RAW DATA'!B470,'RAW DATA'!H:H)=0,"",SUMIF('RAW DATA'!M:M,'RAW DATA'!B470,'RAW DATA'!H:H))))</f>
        <v/>
      </c>
      <c r="G470" s="4" t="str">
        <f>IF($D469="TOTAL:",FIXED(ROUND(((SUM($G$4:$G468)/'RAW DATA'!$E$2)*100),1),1)&amp;"%",IF($D470="TOTAL:",SUM($G$4:$G469),IF(SUMIF('RAW DATA'!M:M,'RAW DATA'!B470,'RAW DATA'!I:I)=0,"",SUMIF('RAW DATA'!M:M,'RAW DATA'!B470,'RAW DATA'!I:I))))</f>
        <v/>
      </c>
      <c r="H470" s="4" t="str">
        <f>IF(SUM(SUMIF('RAW DATA'!M:M,'RAW DATA'!B470,'RAW DATA'!J:J),SUMIF('RAW DATA'!N:N,'RAW DATA'!B470,'RAW DATA'!J:J),SUMIF('RAW DATA'!O:O,'RAW DATA'!B470,'RAW DATA'!J:J),SUMIF('RAW DATA'!P:P,'RAW DATA'!B470,'RAW DATA'!J:J))=0, "", SUM(SUMIF('RAW DATA'!M:M,'RAW DATA'!B470,'RAW DATA'!J:J),SUMIF('RAW DATA'!N:N,'RAW DATA'!B470,'RAW DATA'!J:J),SUMIF('RAW DATA'!O:O,'RAW DATA'!B470,'RAW DATA'!J:J),SUMIF('RAW DATA'!P:P,'RAW DATA'!B470,'RAW DATA'!J:J)))</f>
        <v/>
      </c>
      <c r="I470" s="4" t="str">
        <f>IF(SUMIF('RAW DATA'!M:M,'RAW DATA'!B470, 'RAW DATA'!K:K)=0, "", SUMIF('RAW DATA'!M:M,'RAW DATA'!B470, 'RAW DATA'!K:K))</f>
        <v/>
      </c>
      <c r="J470" s="29" t="str">
        <f>IF('RAW DATA'!B470&lt;&gt;"",IF(OR('RAW DATA'!H470=1,'RAW DATA'!H470=2),1,IF(ISNUMBER(FIND("Medic",'RAW DATA'!E470)),1,"")),"")</f>
        <v/>
      </c>
      <c r="K470" s="29" t="str">
        <f>IF(AND('RAW DATA'!$B470&lt;&gt;"",'RAW DATA'!L470=1),1,"")</f>
        <v/>
      </c>
      <c r="L470" s="24" t="str">
        <f t="shared" si="15"/>
        <v/>
      </c>
    </row>
    <row r="471" spans="2:12" x14ac:dyDescent="0.25">
      <c r="B471" s="1" t="str">
        <f>IF('RAW DATA'!$C473&lt;&gt;"",'RAW DATA'!$C473,"")</f>
        <v/>
      </c>
      <c r="C471" s="1" t="str">
        <f>IF('RAW DATA'!$D473&lt;&gt;"",'RAW DATA'!$D473,"")</f>
        <v/>
      </c>
      <c r="D471" s="1" t="str">
        <f>IF(AND($B470&lt;&gt;"", $B471=""), "TOTAL:", IF($D470="TOTAL:","VESSEL TARGET "&amp;'RAW DATA'!$E$2&amp;":",IF('RAW DATA'!$E471&lt;&gt;"",'RAW DATA'!$E471,"")))</f>
        <v/>
      </c>
      <c r="E471" s="29" t="str">
        <f t="shared" si="14"/>
        <v/>
      </c>
      <c r="F471" s="4" t="str">
        <f>IF($D470="TOTAL:",FIXED(ROUND(((SUM($F$4:$F469)/'RAW DATA'!$E$2)*100),1),1)&amp;"%",IF($D471="TOTAL:",SUM($F$4:$F470),IF(SUMIF('RAW DATA'!M:M,'RAW DATA'!B471,'RAW DATA'!H:H)=0,"",SUMIF('RAW DATA'!M:M,'RAW DATA'!B471,'RAW DATA'!H:H))))</f>
        <v/>
      </c>
      <c r="G471" s="4" t="str">
        <f>IF($D470="TOTAL:",FIXED(ROUND(((SUM($G$4:$G469)/'RAW DATA'!$E$2)*100),1),1)&amp;"%",IF($D471="TOTAL:",SUM($G$4:$G470),IF(SUMIF('RAW DATA'!M:M,'RAW DATA'!B471,'RAW DATA'!I:I)=0,"",SUMIF('RAW DATA'!M:M,'RAW DATA'!B471,'RAW DATA'!I:I))))</f>
        <v/>
      </c>
      <c r="H471" s="4" t="str">
        <f>IF(SUM(SUMIF('RAW DATA'!M:M,'RAW DATA'!B471,'RAW DATA'!J:J),SUMIF('RAW DATA'!N:N,'RAW DATA'!B471,'RAW DATA'!J:J),SUMIF('RAW DATA'!O:O,'RAW DATA'!B471,'RAW DATA'!J:J),SUMIF('RAW DATA'!P:P,'RAW DATA'!B471,'RAW DATA'!J:J))=0, "", SUM(SUMIF('RAW DATA'!M:M,'RAW DATA'!B471,'RAW DATA'!J:J),SUMIF('RAW DATA'!N:N,'RAW DATA'!B471,'RAW DATA'!J:J),SUMIF('RAW DATA'!O:O,'RAW DATA'!B471,'RAW DATA'!J:J),SUMIF('RAW DATA'!P:P,'RAW DATA'!B471,'RAW DATA'!J:J)))</f>
        <v/>
      </c>
      <c r="I471" s="4" t="str">
        <f>IF(SUMIF('RAW DATA'!M:M,'RAW DATA'!B471, 'RAW DATA'!K:K)=0, "", SUMIF('RAW DATA'!M:M,'RAW DATA'!B471, 'RAW DATA'!K:K))</f>
        <v/>
      </c>
      <c r="J471" s="29" t="str">
        <f>IF('RAW DATA'!B471&lt;&gt;"",IF(OR('RAW DATA'!H471=1,'RAW DATA'!H471=2),1,IF(ISNUMBER(FIND("Medic",'RAW DATA'!E471)),1,"")),"")</f>
        <v/>
      </c>
      <c r="K471" s="29" t="str">
        <f>IF(AND('RAW DATA'!$B471&lt;&gt;"",'RAW DATA'!L471=1),1,"")</f>
        <v/>
      </c>
      <c r="L471" s="24" t="str">
        <f t="shared" si="15"/>
        <v/>
      </c>
    </row>
    <row r="472" spans="2:12" x14ac:dyDescent="0.25">
      <c r="B472" s="1" t="str">
        <f>IF('RAW DATA'!$C474&lt;&gt;"",'RAW DATA'!$C474,"")</f>
        <v/>
      </c>
      <c r="C472" s="1" t="str">
        <f>IF('RAW DATA'!$D474&lt;&gt;"",'RAW DATA'!$D474,"")</f>
        <v/>
      </c>
      <c r="D472" s="1" t="str">
        <f>IF(AND($B471&lt;&gt;"", $B472=""), "TOTAL:", IF($D471="TOTAL:","VESSEL TARGET "&amp;'RAW DATA'!$E$2&amp;":",IF('RAW DATA'!$E472&lt;&gt;"",'RAW DATA'!$E472,"")))</f>
        <v/>
      </c>
      <c r="E472" s="29" t="str">
        <f t="shared" si="14"/>
        <v/>
      </c>
      <c r="F472" s="4" t="str">
        <f>IF($D471="TOTAL:",FIXED(ROUND(((SUM($F$4:$F470)/'RAW DATA'!$E$2)*100),1),1)&amp;"%",IF($D472="TOTAL:",SUM($F$4:$F471),IF(SUMIF('RAW DATA'!M:M,'RAW DATA'!B472,'RAW DATA'!H:H)=0,"",SUMIF('RAW DATA'!M:M,'RAW DATA'!B472,'RAW DATA'!H:H))))</f>
        <v/>
      </c>
      <c r="G472" s="4" t="str">
        <f>IF($D471="TOTAL:",FIXED(ROUND(((SUM($G$4:$G470)/'RAW DATA'!$E$2)*100),1),1)&amp;"%",IF($D472="TOTAL:",SUM($G$4:$G471),IF(SUMIF('RAW DATA'!M:M,'RAW DATA'!B472,'RAW DATA'!I:I)=0,"",SUMIF('RAW DATA'!M:M,'RAW DATA'!B472,'RAW DATA'!I:I))))</f>
        <v/>
      </c>
      <c r="H472" s="4" t="str">
        <f>IF(SUM(SUMIF('RAW DATA'!M:M,'RAW DATA'!B472,'RAW DATA'!J:J),SUMIF('RAW DATA'!N:N,'RAW DATA'!B472,'RAW DATA'!J:J),SUMIF('RAW DATA'!O:O,'RAW DATA'!B472,'RAW DATA'!J:J),SUMIF('RAW DATA'!P:P,'RAW DATA'!B472,'RAW DATA'!J:J))=0, "", SUM(SUMIF('RAW DATA'!M:M,'RAW DATA'!B472,'RAW DATA'!J:J),SUMIF('RAW DATA'!N:N,'RAW DATA'!B472,'RAW DATA'!J:J),SUMIF('RAW DATA'!O:O,'RAW DATA'!B472,'RAW DATA'!J:J),SUMIF('RAW DATA'!P:P,'RAW DATA'!B472,'RAW DATA'!J:J)))</f>
        <v/>
      </c>
      <c r="I472" s="4" t="str">
        <f>IF(SUMIF('RAW DATA'!M:M,'RAW DATA'!B472, 'RAW DATA'!K:K)=0, "", SUMIF('RAW DATA'!M:M,'RAW DATA'!B472, 'RAW DATA'!K:K))</f>
        <v/>
      </c>
      <c r="J472" s="29" t="str">
        <f>IF('RAW DATA'!B472&lt;&gt;"",IF(OR('RAW DATA'!H472=1,'RAW DATA'!H472=2),1,IF(ISNUMBER(FIND("Medic",'RAW DATA'!E472)),1,"")),"")</f>
        <v/>
      </c>
      <c r="K472" s="29" t="str">
        <f>IF(AND('RAW DATA'!$B472&lt;&gt;"",'RAW DATA'!L472=1),1,"")</f>
        <v/>
      </c>
      <c r="L472" s="24" t="str">
        <f t="shared" si="15"/>
        <v/>
      </c>
    </row>
    <row r="473" spans="2:12" x14ac:dyDescent="0.25">
      <c r="B473" s="1" t="str">
        <f>IF('RAW DATA'!$C475&lt;&gt;"",'RAW DATA'!$C475,"")</f>
        <v/>
      </c>
      <c r="C473" s="1" t="str">
        <f>IF('RAW DATA'!$D475&lt;&gt;"",'RAW DATA'!$D475,"")</f>
        <v/>
      </c>
      <c r="D473" s="1" t="str">
        <f>IF(AND($B472&lt;&gt;"", $B473=""), "TOTAL:", IF($D472="TOTAL:","VESSEL TARGET "&amp;'RAW DATA'!$E$2&amp;":",IF('RAW DATA'!$E473&lt;&gt;"",'RAW DATA'!$E473,"")))</f>
        <v/>
      </c>
      <c r="E473" s="29" t="str">
        <f t="shared" si="14"/>
        <v/>
      </c>
      <c r="F473" s="4" t="str">
        <f>IF($D472="TOTAL:",FIXED(ROUND(((SUM($F$4:$F471)/'RAW DATA'!$E$2)*100),1),1)&amp;"%",IF($D473="TOTAL:",SUM($F$4:$F472),IF(SUMIF('RAW DATA'!M:M,'RAW DATA'!B473,'RAW DATA'!H:H)=0,"",SUMIF('RAW DATA'!M:M,'RAW DATA'!B473,'RAW DATA'!H:H))))</f>
        <v/>
      </c>
      <c r="G473" s="4" t="str">
        <f>IF($D472="TOTAL:",FIXED(ROUND(((SUM($G$4:$G471)/'RAW DATA'!$E$2)*100),1),1)&amp;"%",IF($D473="TOTAL:",SUM($G$4:$G472),IF(SUMIF('RAW DATA'!M:M,'RAW DATA'!B473,'RAW DATA'!I:I)=0,"",SUMIF('RAW DATA'!M:M,'RAW DATA'!B473,'RAW DATA'!I:I))))</f>
        <v/>
      </c>
      <c r="H473" s="4" t="str">
        <f>IF(SUM(SUMIF('RAW DATA'!M:M,'RAW DATA'!B473,'RAW DATA'!J:J),SUMIF('RAW DATA'!N:N,'RAW DATA'!B473,'RAW DATA'!J:J),SUMIF('RAW DATA'!O:O,'RAW DATA'!B473,'RAW DATA'!J:J),SUMIF('RAW DATA'!P:P,'RAW DATA'!B473,'RAW DATA'!J:J))=0, "", SUM(SUMIF('RAW DATA'!M:M,'RAW DATA'!B473,'RAW DATA'!J:J),SUMIF('RAW DATA'!N:N,'RAW DATA'!B473,'RAW DATA'!J:J),SUMIF('RAW DATA'!O:O,'RAW DATA'!B473,'RAW DATA'!J:J),SUMIF('RAW DATA'!P:P,'RAW DATA'!B473,'RAW DATA'!J:J)))</f>
        <v/>
      </c>
      <c r="I473" s="4" t="str">
        <f>IF(SUMIF('RAW DATA'!M:M,'RAW DATA'!B473, 'RAW DATA'!K:K)=0, "", SUMIF('RAW DATA'!M:M,'RAW DATA'!B473, 'RAW DATA'!K:K))</f>
        <v/>
      </c>
      <c r="J473" s="29" t="str">
        <f>IF('RAW DATA'!B473&lt;&gt;"",IF(OR('RAW DATA'!H473=1,'RAW DATA'!H473=2),1,IF(ISNUMBER(FIND("Medic",'RAW DATA'!E473)),1,"")),"")</f>
        <v/>
      </c>
      <c r="K473" s="29" t="str">
        <f>IF(AND('RAW DATA'!$B473&lt;&gt;"",'RAW DATA'!L473=1),1,"")</f>
        <v/>
      </c>
      <c r="L473" s="24" t="str">
        <f t="shared" si="15"/>
        <v/>
      </c>
    </row>
    <row r="474" spans="2:12" x14ac:dyDescent="0.25">
      <c r="B474" s="1" t="str">
        <f>IF('RAW DATA'!$C476&lt;&gt;"",'RAW DATA'!$C476,"")</f>
        <v/>
      </c>
      <c r="C474" s="1" t="str">
        <f>IF('RAW DATA'!$D476&lt;&gt;"",'RAW DATA'!$D476,"")</f>
        <v/>
      </c>
      <c r="D474" s="1" t="str">
        <f>IF(AND($B473&lt;&gt;"", $B474=""), "TOTAL:", IF($D473="TOTAL:","VESSEL TARGET "&amp;'RAW DATA'!$E$2&amp;":",IF('RAW DATA'!$E474&lt;&gt;"",'RAW DATA'!$E474,"")))</f>
        <v/>
      </c>
      <c r="E474" s="29" t="str">
        <f t="shared" si="14"/>
        <v/>
      </c>
      <c r="F474" s="4" t="str">
        <f>IF($D473="TOTAL:",FIXED(ROUND(((SUM($F$4:$F472)/'RAW DATA'!$E$2)*100),1),1)&amp;"%",IF($D474="TOTAL:",SUM($F$4:$F473),IF(SUMIF('RAW DATA'!M:M,'RAW DATA'!B474,'RAW DATA'!H:H)=0,"",SUMIF('RAW DATA'!M:M,'RAW DATA'!B474,'RAW DATA'!H:H))))</f>
        <v/>
      </c>
      <c r="G474" s="4" t="str">
        <f>IF($D473="TOTAL:",FIXED(ROUND(((SUM($G$4:$G472)/'RAW DATA'!$E$2)*100),1),1)&amp;"%",IF($D474="TOTAL:",SUM($G$4:$G473),IF(SUMIF('RAW DATA'!M:M,'RAW DATA'!B474,'RAW DATA'!I:I)=0,"",SUMIF('RAW DATA'!M:M,'RAW DATA'!B474,'RAW DATA'!I:I))))</f>
        <v/>
      </c>
      <c r="H474" s="4" t="str">
        <f>IF(SUM(SUMIF('RAW DATA'!M:M,'RAW DATA'!B474,'RAW DATA'!J:J),SUMIF('RAW DATA'!N:N,'RAW DATA'!B474,'RAW DATA'!J:J),SUMIF('RAW DATA'!O:O,'RAW DATA'!B474,'RAW DATA'!J:J),SUMIF('RAW DATA'!P:P,'RAW DATA'!B474,'RAW DATA'!J:J))=0, "", SUM(SUMIF('RAW DATA'!M:M,'RAW DATA'!B474,'RAW DATA'!J:J),SUMIF('RAW DATA'!N:N,'RAW DATA'!B474,'RAW DATA'!J:J),SUMIF('RAW DATA'!O:O,'RAW DATA'!B474,'RAW DATA'!J:J),SUMIF('RAW DATA'!P:P,'RAW DATA'!B474,'RAW DATA'!J:J)))</f>
        <v/>
      </c>
      <c r="I474" s="4" t="str">
        <f>IF(SUMIF('RAW DATA'!M:M,'RAW DATA'!B474, 'RAW DATA'!K:K)=0, "", SUMIF('RAW DATA'!M:M,'RAW DATA'!B474, 'RAW DATA'!K:K))</f>
        <v/>
      </c>
      <c r="J474" s="29" t="str">
        <f>IF('RAW DATA'!B474&lt;&gt;"",IF(OR('RAW DATA'!H474=1,'RAW DATA'!H474=2),1,IF(ISNUMBER(FIND("Medic",'RAW DATA'!E474)),1,"")),"")</f>
        <v/>
      </c>
      <c r="K474" s="29" t="str">
        <f>IF(AND('RAW DATA'!$B474&lt;&gt;"",'RAW DATA'!L474=1),1,"")</f>
        <v/>
      </c>
      <c r="L474" s="24" t="str">
        <f t="shared" si="15"/>
        <v/>
      </c>
    </row>
    <row r="475" spans="2:12" x14ac:dyDescent="0.25">
      <c r="B475" s="1" t="str">
        <f>IF('RAW DATA'!$C477&lt;&gt;"",'RAW DATA'!$C477,"")</f>
        <v/>
      </c>
      <c r="C475" s="1" t="str">
        <f>IF('RAW DATA'!$D477&lt;&gt;"",'RAW DATA'!$D477,"")</f>
        <v/>
      </c>
      <c r="D475" s="1" t="str">
        <f>IF(AND($B474&lt;&gt;"", $B475=""), "TOTAL:", IF($D474="TOTAL:","VESSEL TARGET "&amp;'RAW DATA'!$E$2&amp;":",IF('RAW DATA'!$E475&lt;&gt;"",'RAW DATA'!$E475,"")))</f>
        <v/>
      </c>
      <c r="E475" s="29" t="str">
        <f t="shared" si="14"/>
        <v/>
      </c>
      <c r="F475" s="4" t="str">
        <f>IF($D474="TOTAL:",FIXED(ROUND(((SUM($F$4:$F473)/'RAW DATA'!$E$2)*100),1),1)&amp;"%",IF($D475="TOTAL:",SUM($F$4:$F474),IF(SUMIF('RAW DATA'!M:M,'RAW DATA'!B475,'RAW DATA'!H:H)=0,"",SUMIF('RAW DATA'!M:M,'RAW DATA'!B475,'RAW DATA'!H:H))))</f>
        <v/>
      </c>
      <c r="G475" s="4" t="str">
        <f>IF($D474="TOTAL:",FIXED(ROUND(((SUM($G$4:$G473)/'RAW DATA'!$E$2)*100),1),1)&amp;"%",IF($D475="TOTAL:",SUM($G$4:$G474),IF(SUMIF('RAW DATA'!M:M,'RAW DATA'!B475,'RAW DATA'!I:I)=0,"",SUMIF('RAW DATA'!M:M,'RAW DATA'!B475,'RAW DATA'!I:I))))</f>
        <v/>
      </c>
      <c r="H475" s="4" t="str">
        <f>IF(SUM(SUMIF('RAW DATA'!M:M,'RAW DATA'!B475,'RAW DATA'!J:J),SUMIF('RAW DATA'!N:N,'RAW DATA'!B475,'RAW DATA'!J:J),SUMIF('RAW DATA'!O:O,'RAW DATA'!B475,'RAW DATA'!J:J),SUMIF('RAW DATA'!P:P,'RAW DATA'!B475,'RAW DATA'!J:J))=0, "", SUM(SUMIF('RAW DATA'!M:M,'RAW DATA'!B475,'RAW DATA'!J:J),SUMIF('RAW DATA'!N:N,'RAW DATA'!B475,'RAW DATA'!J:J),SUMIF('RAW DATA'!O:O,'RAW DATA'!B475,'RAW DATA'!J:J),SUMIF('RAW DATA'!P:P,'RAW DATA'!B475,'RAW DATA'!J:J)))</f>
        <v/>
      </c>
      <c r="I475" s="4" t="str">
        <f>IF(SUMIF('RAW DATA'!M:M,'RAW DATA'!B475, 'RAW DATA'!K:K)=0, "", SUMIF('RAW DATA'!M:M,'RAW DATA'!B475, 'RAW DATA'!K:K))</f>
        <v/>
      </c>
      <c r="J475" s="29" t="str">
        <f>IF('RAW DATA'!B475&lt;&gt;"",IF(OR('RAW DATA'!H475=1,'RAW DATA'!H475=2),1,IF(ISNUMBER(FIND("Medic",'RAW DATA'!E475)),1,"")),"")</f>
        <v/>
      </c>
      <c r="K475" s="29" t="str">
        <f>IF(AND('RAW DATA'!$B475&lt;&gt;"",'RAW DATA'!L475=1),1,"")</f>
        <v/>
      </c>
      <c r="L475" s="24" t="str">
        <f t="shared" si="15"/>
        <v/>
      </c>
    </row>
    <row r="476" spans="2:12" x14ac:dyDescent="0.25">
      <c r="B476" s="1" t="str">
        <f>IF('RAW DATA'!$C478&lt;&gt;"",'RAW DATA'!$C478,"")</f>
        <v/>
      </c>
      <c r="C476" s="1" t="str">
        <f>IF('RAW DATA'!$D478&lt;&gt;"",'RAW DATA'!$D478,"")</f>
        <v/>
      </c>
      <c r="D476" s="1" t="str">
        <f>IF(AND($B475&lt;&gt;"", $B476=""), "TOTAL:", IF($D475="TOTAL:","VESSEL TARGET "&amp;'RAW DATA'!$E$2&amp;":",IF('RAW DATA'!$E476&lt;&gt;"",'RAW DATA'!$E476,"")))</f>
        <v/>
      </c>
      <c r="E476" s="29" t="str">
        <f t="shared" si="14"/>
        <v/>
      </c>
      <c r="F476" s="4" t="str">
        <f>IF($D475="TOTAL:",FIXED(ROUND(((SUM($F$4:$F474)/'RAW DATA'!$E$2)*100),1),1)&amp;"%",IF($D476="TOTAL:",SUM($F$4:$F475),IF(SUMIF('RAW DATA'!M:M,'RAW DATA'!B476,'RAW DATA'!H:H)=0,"",SUMIF('RAW DATA'!M:M,'RAW DATA'!B476,'RAW DATA'!H:H))))</f>
        <v/>
      </c>
      <c r="G476" s="4" t="str">
        <f>IF($D475="TOTAL:",FIXED(ROUND(((SUM($G$4:$G474)/'RAW DATA'!$E$2)*100),1),1)&amp;"%",IF($D476="TOTAL:",SUM($G$4:$G475),IF(SUMIF('RAW DATA'!M:M,'RAW DATA'!B476,'RAW DATA'!I:I)=0,"",SUMIF('RAW DATA'!M:M,'RAW DATA'!B476,'RAW DATA'!I:I))))</f>
        <v/>
      </c>
      <c r="H476" s="4" t="str">
        <f>IF(SUM(SUMIF('RAW DATA'!M:M,'RAW DATA'!B476,'RAW DATA'!J:J),SUMIF('RAW DATA'!N:N,'RAW DATA'!B476,'RAW DATA'!J:J),SUMIF('RAW DATA'!O:O,'RAW DATA'!B476,'RAW DATA'!J:J),SUMIF('RAW DATA'!P:P,'RAW DATA'!B476,'RAW DATA'!J:J))=0, "", SUM(SUMIF('RAW DATA'!M:M,'RAW DATA'!B476,'RAW DATA'!J:J),SUMIF('RAW DATA'!N:N,'RAW DATA'!B476,'RAW DATA'!J:J),SUMIF('RAW DATA'!O:O,'RAW DATA'!B476,'RAW DATA'!J:J),SUMIF('RAW DATA'!P:P,'RAW DATA'!B476,'RAW DATA'!J:J)))</f>
        <v/>
      </c>
      <c r="I476" s="4" t="str">
        <f>IF(SUMIF('RAW DATA'!M:M,'RAW DATA'!B476, 'RAW DATA'!K:K)=0, "", SUMIF('RAW DATA'!M:M,'RAW DATA'!B476, 'RAW DATA'!K:K))</f>
        <v/>
      </c>
      <c r="J476" s="29" t="str">
        <f>IF('RAW DATA'!B476&lt;&gt;"",IF(OR('RAW DATA'!H476=1,'RAW DATA'!H476=2),1,IF(ISNUMBER(FIND("Medic",'RAW DATA'!E476)),1,"")),"")</f>
        <v/>
      </c>
      <c r="K476" s="29" t="str">
        <f>IF(AND('RAW DATA'!$B476&lt;&gt;"",'RAW DATA'!L476=1),1,"")</f>
        <v/>
      </c>
      <c r="L476" s="24" t="str">
        <f t="shared" si="15"/>
        <v/>
      </c>
    </row>
    <row r="477" spans="2:12" x14ac:dyDescent="0.25">
      <c r="B477" s="1" t="str">
        <f>IF('RAW DATA'!$C479&lt;&gt;"",'RAW DATA'!$C479,"")</f>
        <v/>
      </c>
      <c r="C477" s="1" t="str">
        <f>IF('RAW DATA'!$D479&lt;&gt;"",'RAW DATA'!$D479,"")</f>
        <v/>
      </c>
      <c r="D477" s="1" t="str">
        <f>IF(AND($B476&lt;&gt;"", $B477=""), "TOTAL:", IF($D476="TOTAL:","VESSEL TARGET "&amp;'RAW DATA'!$E$2&amp;":",IF('RAW DATA'!$E477&lt;&gt;"",'RAW DATA'!$E477,"")))</f>
        <v/>
      </c>
      <c r="E477" s="29" t="str">
        <f t="shared" si="14"/>
        <v/>
      </c>
      <c r="F477" s="4" t="str">
        <f>IF($D476="TOTAL:",FIXED(ROUND(((SUM($F$4:$F475)/'RAW DATA'!$E$2)*100),1),1)&amp;"%",IF($D477="TOTAL:",SUM($F$4:$F476),IF(SUMIF('RAW DATA'!M:M,'RAW DATA'!B477,'RAW DATA'!H:H)=0,"",SUMIF('RAW DATA'!M:M,'RAW DATA'!B477,'RAW DATA'!H:H))))</f>
        <v/>
      </c>
      <c r="G477" s="4" t="str">
        <f>IF($D476="TOTAL:",FIXED(ROUND(((SUM($G$4:$G475)/'RAW DATA'!$E$2)*100),1),1)&amp;"%",IF($D477="TOTAL:",SUM($G$4:$G476),IF(SUMIF('RAW DATA'!M:M,'RAW DATA'!B477,'RAW DATA'!I:I)=0,"",SUMIF('RAW DATA'!M:M,'RAW DATA'!B477,'RAW DATA'!I:I))))</f>
        <v/>
      </c>
      <c r="H477" s="4" t="str">
        <f>IF(SUM(SUMIF('RAW DATA'!M:M,'RAW DATA'!B477,'RAW DATA'!J:J),SUMIF('RAW DATA'!N:N,'RAW DATA'!B477,'RAW DATA'!J:J),SUMIF('RAW DATA'!O:O,'RAW DATA'!B477,'RAW DATA'!J:J),SUMIF('RAW DATA'!P:P,'RAW DATA'!B477,'RAW DATA'!J:J))=0, "", SUM(SUMIF('RAW DATA'!M:M,'RAW DATA'!B477,'RAW DATA'!J:J),SUMIF('RAW DATA'!N:N,'RAW DATA'!B477,'RAW DATA'!J:J),SUMIF('RAW DATA'!O:O,'RAW DATA'!B477,'RAW DATA'!J:J),SUMIF('RAW DATA'!P:P,'RAW DATA'!B477,'RAW DATA'!J:J)))</f>
        <v/>
      </c>
      <c r="I477" s="4" t="str">
        <f>IF(SUMIF('RAW DATA'!M:M,'RAW DATA'!B477, 'RAW DATA'!K:K)=0, "", SUMIF('RAW DATA'!M:M,'RAW DATA'!B477, 'RAW DATA'!K:K))</f>
        <v/>
      </c>
      <c r="J477" s="29" t="str">
        <f>IF('RAW DATA'!B477&lt;&gt;"",IF(OR('RAW DATA'!H477=1,'RAW DATA'!H477=2),1,IF(ISNUMBER(FIND("Medic",'RAW DATA'!E477)),1,"")),"")</f>
        <v/>
      </c>
      <c r="K477" s="29" t="str">
        <f>IF(AND('RAW DATA'!$B477&lt;&gt;"",'RAW DATA'!L477=1),1,"")</f>
        <v/>
      </c>
      <c r="L477" s="24" t="str">
        <f t="shared" si="15"/>
        <v/>
      </c>
    </row>
    <row r="478" spans="2:12" x14ac:dyDescent="0.25">
      <c r="B478" s="1" t="str">
        <f>IF('RAW DATA'!$C480&lt;&gt;"",'RAW DATA'!$C480,"")</f>
        <v/>
      </c>
      <c r="C478" s="1" t="str">
        <f>IF('RAW DATA'!$D480&lt;&gt;"",'RAW DATA'!$D480,"")</f>
        <v/>
      </c>
      <c r="D478" s="1" t="str">
        <f>IF(AND($B477&lt;&gt;"", $B478=""), "TOTAL:", IF($D477="TOTAL:","VESSEL TARGET "&amp;'RAW DATA'!$E$2&amp;":",IF('RAW DATA'!$E478&lt;&gt;"",'RAW DATA'!$E478,"")))</f>
        <v/>
      </c>
      <c r="E478" s="29" t="str">
        <f t="shared" si="14"/>
        <v/>
      </c>
      <c r="F478" s="4" t="str">
        <f>IF($D477="TOTAL:",FIXED(ROUND(((SUM($F$4:$F476)/'RAW DATA'!$E$2)*100),1),1)&amp;"%",IF($D478="TOTAL:",SUM($F$4:$F477),IF(SUMIF('RAW DATA'!M:M,'RAW DATA'!B478,'RAW DATA'!H:H)=0,"",SUMIF('RAW DATA'!M:M,'RAW DATA'!B478,'RAW DATA'!H:H))))</f>
        <v/>
      </c>
      <c r="G478" s="4" t="str">
        <f>IF($D477="TOTAL:",FIXED(ROUND(((SUM($G$4:$G476)/'RAW DATA'!$E$2)*100),1),1)&amp;"%",IF($D478="TOTAL:",SUM($G$4:$G477),IF(SUMIF('RAW DATA'!M:M,'RAW DATA'!B478,'RAW DATA'!I:I)=0,"",SUMIF('RAW DATA'!M:M,'RAW DATA'!B478,'RAW DATA'!I:I))))</f>
        <v/>
      </c>
      <c r="H478" s="4" t="str">
        <f>IF(SUM(SUMIF('RAW DATA'!M:M,'RAW DATA'!B478,'RAW DATA'!J:J),SUMIF('RAW DATA'!N:N,'RAW DATA'!B478,'RAW DATA'!J:J),SUMIF('RAW DATA'!O:O,'RAW DATA'!B478,'RAW DATA'!J:J),SUMIF('RAW DATA'!P:P,'RAW DATA'!B478,'RAW DATA'!J:J))=0, "", SUM(SUMIF('RAW DATA'!M:M,'RAW DATA'!B478,'RAW DATA'!J:J),SUMIF('RAW DATA'!N:N,'RAW DATA'!B478,'RAW DATA'!J:J),SUMIF('RAW DATA'!O:O,'RAW DATA'!B478,'RAW DATA'!J:J),SUMIF('RAW DATA'!P:P,'RAW DATA'!B478,'RAW DATA'!J:J)))</f>
        <v/>
      </c>
      <c r="I478" s="4" t="str">
        <f>IF(SUMIF('RAW DATA'!M:M,'RAW DATA'!B478, 'RAW DATA'!K:K)=0, "", SUMIF('RAW DATA'!M:M,'RAW DATA'!B478, 'RAW DATA'!K:K))</f>
        <v/>
      </c>
      <c r="J478" s="29" t="str">
        <f>IF('RAW DATA'!B478&lt;&gt;"",IF(OR('RAW DATA'!H478=1,'RAW DATA'!H478=2),1,IF(ISNUMBER(FIND("Medic",'RAW DATA'!E478)),1,"")),"")</f>
        <v/>
      </c>
      <c r="K478" s="29" t="str">
        <f>IF(AND('RAW DATA'!$B478&lt;&gt;"",'RAW DATA'!L478=1),1,"")</f>
        <v/>
      </c>
      <c r="L478" s="24" t="str">
        <f t="shared" si="15"/>
        <v/>
      </c>
    </row>
    <row r="479" spans="2:12" x14ac:dyDescent="0.25">
      <c r="B479" s="1" t="str">
        <f>IF('RAW DATA'!$C481&lt;&gt;"",'RAW DATA'!$C481,"")</f>
        <v/>
      </c>
      <c r="C479" s="1" t="str">
        <f>IF('RAW DATA'!$D481&lt;&gt;"",'RAW DATA'!$D481,"")</f>
        <v/>
      </c>
      <c r="D479" s="1" t="str">
        <f>IF(AND($B478&lt;&gt;"", $B479=""), "TOTAL:", IF($D478="TOTAL:","VESSEL TARGET "&amp;'RAW DATA'!$E$2&amp;":",IF('RAW DATA'!$E479&lt;&gt;"",'RAW DATA'!$E479,"")))</f>
        <v/>
      </c>
      <c r="E479" s="29" t="str">
        <f t="shared" si="14"/>
        <v/>
      </c>
      <c r="F479" s="4" t="str">
        <f>IF($D478="TOTAL:",FIXED(ROUND(((SUM($F$4:$F477)/'RAW DATA'!$E$2)*100),1),1)&amp;"%",IF($D479="TOTAL:",SUM($F$4:$F478),IF(SUMIF('RAW DATA'!M:M,'RAW DATA'!B479,'RAW DATA'!H:H)=0,"",SUMIF('RAW DATA'!M:M,'RAW DATA'!B479,'RAW DATA'!H:H))))</f>
        <v/>
      </c>
      <c r="G479" s="4" t="str">
        <f>IF($D478="TOTAL:",FIXED(ROUND(((SUM($G$4:$G477)/'RAW DATA'!$E$2)*100),1),1)&amp;"%",IF($D479="TOTAL:",SUM($G$4:$G478),IF(SUMIF('RAW DATA'!M:M,'RAW DATA'!B479,'RAW DATA'!I:I)=0,"",SUMIF('RAW DATA'!M:M,'RAW DATA'!B479,'RAW DATA'!I:I))))</f>
        <v/>
      </c>
      <c r="H479" s="4" t="str">
        <f>IF(SUM(SUMIF('RAW DATA'!M:M,'RAW DATA'!B479,'RAW DATA'!J:J),SUMIF('RAW DATA'!N:N,'RAW DATA'!B479,'RAW DATA'!J:J),SUMIF('RAW DATA'!O:O,'RAW DATA'!B479,'RAW DATA'!J:J),SUMIF('RAW DATA'!P:P,'RAW DATA'!B479,'RAW DATA'!J:J))=0, "", SUM(SUMIF('RAW DATA'!M:M,'RAW DATA'!B479,'RAW DATA'!J:J),SUMIF('RAW DATA'!N:N,'RAW DATA'!B479,'RAW DATA'!J:J),SUMIF('RAW DATA'!O:O,'RAW DATA'!B479,'RAW DATA'!J:J),SUMIF('RAW DATA'!P:P,'RAW DATA'!B479,'RAW DATA'!J:J)))</f>
        <v/>
      </c>
      <c r="I479" s="4" t="str">
        <f>IF(SUMIF('RAW DATA'!M:M,'RAW DATA'!B479, 'RAW DATA'!K:K)=0, "", SUMIF('RAW DATA'!M:M,'RAW DATA'!B479, 'RAW DATA'!K:K))</f>
        <v/>
      </c>
      <c r="J479" s="29" t="str">
        <f>IF('RAW DATA'!B479&lt;&gt;"",IF(OR('RAW DATA'!H479=1,'RAW DATA'!H479=2),1,IF(ISNUMBER(FIND("Medic",'RAW DATA'!E479)),1,"")),"")</f>
        <v/>
      </c>
      <c r="K479" s="29" t="str">
        <f>IF(AND('RAW DATA'!$B479&lt;&gt;"",'RAW DATA'!L479=1),1,"")</f>
        <v/>
      </c>
      <c r="L479" s="24" t="str">
        <f t="shared" si="15"/>
        <v/>
      </c>
    </row>
    <row r="480" spans="2:12" x14ac:dyDescent="0.25">
      <c r="B480" s="1" t="str">
        <f>IF('RAW DATA'!$C482&lt;&gt;"",'RAW DATA'!$C482,"")</f>
        <v/>
      </c>
      <c r="C480" s="1" t="str">
        <f>IF('RAW DATA'!$D482&lt;&gt;"",'RAW DATA'!$D482,"")</f>
        <v/>
      </c>
      <c r="D480" s="1" t="str">
        <f>IF(AND($B479&lt;&gt;"", $B480=""), "TOTAL:", IF($D479="TOTAL:","VESSEL TARGET "&amp;'RAW DATA'!$E$2&amp;":",IF('RAW DATA'!$E480&lt;&gt;"",'RAW DATA'!$E480,"")))</f>
        <v/>
      </c>
      <c r="E480" s="29" t="str">
        <f t="shared" si="14"/>
        <v/>
      </c>
      <c r="F480" s="4" t="str">
        <f>IF($D479="TOTAL:",FIXED(ROUND(((SUM($F$4:$F478)/'RAW DATA'!$E$2)*100),1),1)&amp;"%",IF($D480="TOTAL:",SUM($F$4:$F479),IF(SUMIF('RAW DATA'!M:M,'RAW DATA'!B480,'RAW DATA'!H:H)=0,"",SUMIF('RAW DATA'!M:M,'RAW DATA'!B480,'RAW DATA'!H:H))))</f>
        <v/>
      </c>
      <c r="G480" s="4" t="str">
        <f>IF($D479="TOTAL:",FIXED(ROUND(((SUM($G$4:$G478)/'RAW DATA'!$E$2)*100),1),1)&amp;"%",IF($D480="TOTAL:",SUM($G$4:$G479),IF(SUMIF('RAW DATA'!M:M,'RAW DATA'!B480,'RAW DATA'!I:I)=0,"",SUMIF('RAW DATA'!M:M,'RAW DATA'!B480,'RAW DATA'!I:I))))</f>
        <v/>
      </c>
      <c r="H480" s="4" t="str">
        <f>IF(SUM(SUMIF('RAW DATA'!M:M,'RAW DATA'!B480,'RAW DATA'!J:J),SUMIF('RAW DATA'!N:N,'RAW DATA'!B480,'RAW DATA'!J:J),SUMIF('RAW DATA'!O:O,'RAW DATA'!B480,'RAW DATA'!J:J),SUMIF('RAW DATA'!P:P,'RAW DATA'!B480,'RAW DATA'!J:J))=0, "", SUM(SUMIF('RAW DATA'!M:M,'RAW DATA'!B480,'RAW DATA'!J:J),SUMIF('RAW DATA'!N:N,'RAW DATA'!B480,'RAW DATA'!J:J),SUMIF('RAW DATA'!O:O,'RAW DATA'!B480,'RAW DATA'!J:J),SUMIF('RAW DATA'!P:P,'RAW DATA'!B480,'RAW DATA'!J:J)))</f>
        <v/>
      </c>
      <c r="I480" s="4" t="str">
        <f>IF(SUMIF('RAW DATA'!M:M,'RAW DATA'!B480, 'RAW DATA'!K:K)=0, "", SUMIF('RAW DATA'!M:M,'RAW DATA'!B480, 'RAW DATA'!K:K))</f>
        <v/>
      </c>
      <c r="J480" s="29" t="str">
        <f>IF('RAW DATA'!B480&lt;&gt;"",IF(OR('RAW DATA'!H480=1,'RAW DATA'!H480=2),1,IF(ISNUMBER(FIND("Medic",'RAW DATA'!E480)),1,"")),"")</f>
        <v/>
      </c>
      <c r="K480" s="29" t="str">
        <f>IF(AND('RAW DATA'!$B480&lt;&gt;"",'RAW DATA'!L480=1),1,"")</f>
        <v/>
      </c>
      <c r="L480" s="24" t="str">
        <f t="shared" si="15"/>
        <v/>
      </c>
    </row>
    <row r="481" spans="2:12" x14ac:dyDescent="0.25">
      <c r="B481" s="1" t="str">
        <f>IF('RAW DATA'!$C483&lt;&gt;"",'RAW DATA'!$C483,"")</f>
        <v/>
      </c>
      <c r="C481" s="1" t="str">
        <f>IF('RAW DATA'!$D483&lt;&gt;"",'RAW DATA'!$D483,"")</f>
        <v/>
      </c>
      <c r="D481" s="1" t="str">
        <f>IF(AND($B480&lt;&gt;"", $B481=""), "TOTAL:", IF($D480="TOTAL:","VESSEL TARGET "&amp;'RAW DATA'!$E$2&amp;":",IF('RAW DATA'!$E481&lt;&gt;"",'RAW DATA'!$E481,"")))</f>
        <v/>
      </c>
      <c r="E481" s="29" t="str">
        <f t="shared" si="14"/>
        <v/>
      </c>
      <c r="F481" s="4" t="str">
        <f>IF($D480="TOTAL:",FIXED(ROUND(((SUM($F$4:$F479)/'RAW DATA'!$E$2)*100),1),1)&amp;"%",IF($D481="TOTAL:",SUM($F$4:$F480),IF(SUMIF('RAW DATA'!M:M,'RAW DATA'!B481,'RAW DATA'!H:H)=0,"",SUMIF('RAW DATA'!M:M,'RAW DATA'!B481,'RAW DATA'!H:H))))</f>
        <v/>
      </c>
      <c r="G481" s="4" t="str">
        <f>IF($D480="TOTAL:",FIXED(ROUND(((SUM($G$4:$G479)/'RAW DATA'!$E$2)*100),1),1)&amp;"%",IF($D481="TOTAL:",SUM($G$4:$G480),IF(SUMIF('RAW DATA'!M:M,'RAW DATA'!B481,'RAW DATA'!I:I)=0,"",SUMIF('RAW DATA'!M:M,'RAW DATA'!B481,'RAW DATA'!I:I))))</f>
        <v/>
      </c>
      <c r="H481" s="4" t="str">
        <f>IF(SUM(SUMIF('RAW DATA'!M:M,'RAW DATA'!B481,'RAW DATA'!J:J),SUMIF('RAW DATA'!N:N,'RAW DATA'!B481,'RAW DATA'!J:J),SUMIF('RAW DATA'!O:O,'RAW DATA'!B481,'RAW DATA'!J:J),SUMIF('RAW DATA'!P:P,'RAW DATA'!B481,'RAW DATA'!J:J))=0, "", SUM(SUMIF('RAW DATA'!M:M,'RAW DATA'!B481,'RAW DATA'!J:J),SUMIF('RAW DATA'!N:N,'RAW DATA'!B481,'RAW DATA'!J:J),SUMIF('RAW DATA'!O:O,'RAW DATA'!B481,'RAW DATA'!J:J),SUMIF('RAW DATA'!P:P,'RAW DATA'!B481,'RAW DATA'!J:J)))</f>
        <v/>
      </c>
      <c r="I481" s="4" t="str">
        <f>IF(SUMIF('RAW DATA'!M:M,'RAW DATA'!B481, 'RAW DATA'!K:K)=0, "", SUMIF('RAW DATA'!M:M,'RAW DATA'!B481, 'RAW DATA'!K:K))</f>
        <v/>
      </c>
      <c r="J481" s="29" t="str">
        <f>IF('RAW DATA'!B481&lt;&gt;"",IF(OR('RAW DATA'!H481=1,'RAW DATA'!H481=2),1,IF(ISNUMBER(FIND("Medic",'RAW DATA'!E481)),1,"")),"")</f>
        <v/>
      </c>
      <c r="K481" s="29" t="str">
        <f>IF(AND('RAW DATA'!$B481&lt;&gt;"",'RAW DATA'!L481=1),1,"")</f>
        <v/>
      </c>
      <c r="L481" s="24" t="str">
        <f t="shared" si="15"/>
        <v/>
      </c>
    </row>
    <row r="482" spans="2:12" x14ac:dyDescent="0.25">
      <c r="B482" s="1" t="str">
        <f>IF('RAW DATA'!$C484&lt;&gt;"",'RAW DATA'!$C484,"")</f>
        <v/>
      </c>
      <c r="C482" s="1" t="str">
        <f>IF('RAW DATA'!$D484&lt;&gt;"",'RAW DATA'!$D484,"")</f>
        <v/>
      </c>
      <c r="D482" s="1" t="str">
        <f>IF(AND($B481&lt;&gt;"", $B482=""), "TOTAL:", IF($D481="TOTAL:","VESSEL TARGET "&amp;'RAW DATA'!$E$2&amp;":",IF('RAW DATA'!$E482&lt;&gt;"",'RAW DATA'!$E482,"")))</f>
        <v/>
      </c>
      <c r="E482" s="29" t="str">
        <f t="shared" si="14"/>
        <v/>
      </c>
      <c r="F482" s="4" t="str">
        <f>IF($D481="TOTAL:",FIXED(ROUND(((SUM($F$4:$F480)/'RAW DATA'!$E$2)*100),1),1)&amp;"%",IF($D482="TOTAL:",SUM($F$4:$F481),IF(SUMIF('RAW DATA'!M:M,'RAW DATA'!B482,'RAW DATA'!H:H)=0,"",SUMIF('RAW DATA'!M:M,'RAW DATA'!B482,'RAW DATA'!H:H))))</f>
        <v/>
      </c>
      <c r="G482" s="4" t="str">
        <f>IF($D481="TOTAL:",FIXED(ROUND(((SUM($G$4:$G480)/'RAW DATA'!$E$2)*100),1),1)&amp;"%",IF($D482="TOTAL:",SUM($G$4:$G481),IF(SUMIF('RAW DATA'!M:M,'RAW DATA'!B482,'RAW DATA'!I:I)=0,"",SUMIF('RAW DATA'!M:M,'RAW DATA'!B482,'RAW DATA'!I:I))))</f>
        <v/>
      </c>
      <c r="H482" s="4" t="str">
        <f>IF(SUM(SUMIF('RAW DATA'!M:M,'RAW DATA'!B482,'RAW DATA'!J:J),SUMIF('RAW DATA'!N:N,'RAW DATA'!B482,'RAW DATA'!J:J),SUMIF('RAW DATA'!O:O,'RAW DATA'!B482,'RAW DATA'!J:J),SUMIF('RAW DATA'!P:P,'RAW DATA'!B482,'RAW DATA'!J:J))=0, "", SUM(SUMIF('RAW DATA'!M:M,'RAW DATA'!B482,'RAW DATA'!J:J),SUMIF('RAW DATA'!N:N,'RAW DATA'!B482,'RAW DATA'!J:J),SUMIF('RAW DATA'!O:O,'RAW DATA'!B482,'RAW DATA'!J:J),SUMIF('RAW DATA'!P:P,'RAW DATA'!B482,'RAW DATA'!J:J)))</f>
        <v/>
      </c>
      <c r="I482" s="4" t="str">
        <f>IF(SUMIF('RAW DATA'!M:M,'RAW DATA'!B482, 'RAW DATA'!K:K)=0, "", SUMIF('RAW DATA'!M:M,'RAW DATA'!B482, 'RAW DATA'!K:K))</f>
        <v/>
      </c>
      <c r="J482" s="29" t="str">
        <f>IF('RAW DATA'!B482&lt;&gt;"",IF(OR('RAW DATA'!H482=1,'RAW DATA'!H482=2),1,IF(ISNUMBER(FIND("Medic",'RAW DATA'!E482)),1,"")),"")</f>
        <v/>
      </c>
      <c r="K482" s="29" t="str">
        <f>IF(AND('RAW DATA'!$B482&lt;&gt;"",'RAW DATA'!L482=1),1,"")</f>
        <v/>
      </c>
      <c r="L482" s="24" t="str">
        <f t="shared" si="15"/>
        <v/>
      </c>
    </row>
    <row r="483" spans="2:12" x14ac:dyDescent="0.25">
      <c r="B483" s="1" t="str">
        <f>IF('RAW DATA'!$C485&lt;&gt;"",'RAW DATA'!$C485,"")</f>
        <v/>
      </c>
      <c r="C483" s="1" t="str">
        <f>IF('RAW DATA'!$D485&lt;&gt;"",'RAW DATA'!$D485,"")</f>
        <v/>
      </c>
      <c r="D483" s="1" t="str">
        <f>IF(AND($B482&lt;&gt;"", $B483=""), "TOTAL:", IF($D482="TOTAL:","VESSEL TARGET "&amp;'RAW DATA'!$E$2&amp;":",IF('RAW DATA'!$E483&lt;&gt;"",'RAW DATA'!$E483,"")))</f>
        <v/>
      </c>
      <c r="E483" s="29" t="str">
        <f t="shared" si="14"/>
        <v/>
      </c>
      <c r="F483" s="4" t="str">
        <f>IF($D482="TOTAL:",FIXED(ROUND(((SUM($F$4:$F481)/'RAW DATA'!$E$2)*100),1),1)&amp;"%",IF($D483="TOTAL:",SUM($F$4:$F482),IF(SUMIF('RAW DATA'!M:M,'RAW DATA'!B483,'RAW DATA'!H:H)=0,"",SUMIF('RAW DATA'!M:M,'RAW DATA'!B483,'RAW DATA'!H:H))))</f>
        <v/>
      </c>
      <c r="G483" s="4" t="str">
        <f>IF($D482="TOTAL:",FIXED(ROUND(((SUM($G$4:$G481)/'RAW DATA'!$E$2)*100),1),1)&amp;"%",IF($D483="TOTAL:",SUM($G$4:$G482),IF(SUMIF('RAW DATA'!M:M,'RAW DATA'!B483,'RAW DATA'!I:I)=0,"",SUMIF('RAW DATA'!M:M,'RAW DATA'!B483,'RAW DATA'!I:I))))</f>
        <v/>
      </c>
      <c r="H483" s="4" t="str">
        <f>IF(SUM(SUMIF('RAW DATA'!M:M,'RAW DATA'!B483,'RAW DATA'!J:J),SUMIF('RAW DATA'!N:N,'RAW DATA'!B483,'RAW DATA'!J:J),SUMIF('RAW DATA'!O:O,'RAW DATA'!B483,'RAW DATA'!J:J),SUMIF('RAW DATA'!P:P,'RAW DATA'!B483,'RAW DATA'!J:J))=0, "", SUM(SUMIF('RAW DATA'!M:M,'RAW DATA'!B483,'RAW DATA'!J:J),SUMIF('RAW DATA'!N:N,'RAW DATA'!B483,'RAW DATA'!J:J),SUMIF('RAW DATA'!O:O,'RAW DATA'!B483,'RAW DATA'!J:J),SUMIF('RAW DATA'!P:P,'RAW DATA'!B483,'RAW DATA'!J:J)))</f>
        <v/>
      </c>
      <c r="I483" s="4" t="str">
        <f>IF(SUMIF('RAW DATA'!M:M,'RAW DATA'!B483, 'RAW DATA'!K:K)=0, "", SUMIF('RAW DATA'!M:M,'RAW DATA'!B483, 'RAW DATA'!K:K))</f>
        <v/>
      </c>
      <c r="J483" s="29" t="str">
        <f>IF('RAW DATA'!B483&lt;&gt;"",IF(OR('RAW DATA'!H483=1,'RAW DATA'!H483=2),1,IF(ISNUMBER(FIND("Medic",'RAW DATA'!E483)),1,"")),"")</f>
        <v/>
      </c>
      <c r="K483" s="29" t="str">
        <f>IF(AND('RAW DATA'!$B483&lt;&gt;"",'RAW DATA'!L483=1),1,"")</f>
        <v/>
      </c>
      <c r="L483" s="24" t="str">
        <f t="shared" si="15"/>
        <v/>
      </c>
    </row>
    <row r="484" spans="2:12" x14ac:dyDescent="0.25">
      <c r="B484" s="1" t="str">
        <f>IF('RAW DATA'!$C486&lt;&gt;"",'RAW DATA'!$C486,"")</f>
        <v/>
      </c>
      <c r="C484" s="1" t="str">
        <f>IF('RAW DATA'!$D486&lt;&gt;"",'RAW DATA'!$D486,"")</f>
        <v/>
      </c>
      <c r="D484" s="1" t="str">
        <f>IF(AND($B483&lt;&gt;"", $B484=""), "TOTAL:", IF($D483="TOTAL:","VESSEL TARGET "&amp;'RAW DATA'!$E$2&amp;":",IF('RAW DATA'!$E484&lt;&gt;"",'RAW DATA'!$E484,"")))</f>
        <v/>
      </c>
      <c r="E484" s="29" t="str">
        <f t="shared" si="14"/>
        <v/>
      </c>
      <c r="F484" s="4" t="str">
        <f>IF($D483="TOTAL:",FIXED(ROUND(((SUM($F$4:$F482)/'RAW DATA'!$E$2)*100),1),1)&amp;"%",IF($D484="TOTAL:",SUM($F$4:$F483),IF(SUMIF('RAW DATA'!M:M,'RAW DATA'!B484,'RAW DATA'!H:H)=0,"",SUMIF('RAW DATA'!M:M,'RAW DATA'!B484,'RAW DATA'!H:H))))</f>
        <v/>
      </c>
      <c r="G484" s="4" t="str">
        <f>IF($D483="TOTAL:",FIXED(ROUND(((SUM($G$4:$G482)/'RAW DATA'!$E$2)*100),1),1)&amp;"%",IF($D484="TOTAL:",SUM($G$4:$G483),IF(SUMIF('RAW DATA'!M:M,'RAW DATA'!B484,'RAW DATA'!I:I)=0,"",SUMIF('RAW DATA'!M:M,'RAW DATA'!B484,'RAW DATA'!I:I))))</f>
        <v/>
      </c>
      <c r="H484" s="4" t="str">
        <f>IF(SUM(SUMIF('RAW DATA'!M:M,'RAW DATA'!B484,'RAW DATA'!J:J),SUMIF('RAW DATA'!N:N,'RAW DATA'!B484,'RAW DATA'!J:J),SUMIF('RAW DATA'!O:O,'RAW DATA'!B484,'RAW DATA'!J:J),SUMIF('RAW DATA'!P:P,'RAW DATA'!B484,'RAW DATA'!J:J))=0, "", SUM(SUMIF('RAW DATA'!M:M,'RAW DATA'!B484,'RAW DATA'!J:J),SUMIF('RAW DATA'!N:N,'RAW DATA'!B484,'RAW DATA'!J:J),SUMIF('RAW DATA'!O:O,'RAW DATA'!B484,'RAW DATA'!J:J),SUMIF('RAW DATA'!P:P,'RAW DATA'!B484,'RAW DATA'!J:J)))</f>
        <v/>
      </c>
      <c r="I484" s="4" t="str">
        <f>IF(SUMIF('RAW DATA'!M:M,'RAW DATA'!B484, 'RAW DATA'!K:K)=0, "", SUMIF('RAW DATA'!M:M,'RAW DATA'!B484, 'RAW DATA'!K:K))</f>
        <v/>
      </c>
      <c r="J484" s="29" t="str">
        <f>IF('RAW DATA'!B484&lt;&gt;"",IF(OR('RAW DATA'!H484=1,'RAW DATA'!H484=2),1,IF(ISNUMBER(FIND("Medic",'RAW DATA'!E484)),1,"")),"")</f>
        <v/>
      </c>
      <c r="K484" s="29" t="str">
        <f>IF(AND('RAW DATA'!$B484&lt;&gt;"",'RAW DATA'!L484=1),1,"")</f>
        <v/>
      </c>
      <c r="L484" s="24" t="str">
        <f t="shared" si="15"/>
        <v/>
      </c>
    </row>
    <row r="485" spans="2:12" x14ac:dyDescent="0.25">
      <c r="B485" s="1" t="str">
        <f>IF('RAW DATA'!$C487&lt;&gt;"",'RAW DATA'!$C487,"")</f>
        <v/>
      </c>
      <c r="C485" s="1" t="str">
        <f>IF('RAW DATA'!$D487&lt;&gt;"",'RAW DATA'!$D487,"")</f>
        <v/>
      </c>
      <c r="D485" s="1" t="str">
        <f>IF(AND($B484&lt;&gt;"", $B485=""), "TOTAL:", IF($D484="TOTAL:","VESSEL TARGET "&amp;'RAW DATA'!$E$2&amp;":",IF('RAW DATA'!$E485&lt;&gt;"",'RAW DATA'!$E485,"")))</f>
        <v/>
      </c>
      <c r="E485" s="29" t="str">
        <f t="shared" si="14"/>
        <v/>
      </c>
      <c r="F485" s="4" t="str">
        <f>IF($D484="TOTAL:",FIXED(ROUND(((SUM($F$4:$F483)/'RAW DATA'!$E$2)*100),1),1)&amp;"%",IF($D485="TOTAL:",SUM($F$4:$F484),IF(SUMIF('RAW DATA'!M:M,'RAW DATA'!B485,'RAW DATA'!H:H)=0,"",SUMIF('RAW DATA'!M:M,'RAW DATA'!B485,'RAW DATA'!H:H))))</f>
        <v/>
      </c>
      <c r="G485" s="4" t="str">
        <f>IF($D484="TOTAL:",FIXED(ROUND(((SUM($G$4:$G483)/'RAW DATA'!$E$2)*100),1),1)&amp;"%",IF($D485="TOTAL:",SUM($G$4:$G484),IF(SUMIF('RAW DATA'!M:M,'RAW DATA'!B485,'RAW DATA'!I:I)=0,"",SUMIF('RAW DATA'!M:M,'RAW DATA'!B485,'RAW DATA'!I:I))))</f>
        <v/>
      </c>
      <c r="H485" s="4" t="str">
        <f>IF(SUM(SUMIF('RAW DATA'!M:M,'RAW DATA'!B485,'RAW DATA'!J:J),SUMIF('RAW DATA'!N:N,'RAW DATA'!B485,'RAW DATA'!J:J),SUMIF('RAW DATA'!O:O,'RAW DATA'!B485,'RAW DATA'!J:J),SUMIF('RAW DATA'!P:P,'RAW DATA'!B485,'RAW DATA'!J:J))=0, "", SUM(SUMIF('RAW DATA'!M:M,'RAW DATA'!B485,'RAW DATA'!J:J),SUMIF('RAW DATA'!N:N,'RAW DATA'!B485,'RAW DATA'!J:J),SUMIF('RAW DATA'!O:O,'RAW DATA'!B485,'RAW DATA'!J:J),SUMIF('RAW DATA'!P:P,'RAW DATA'!B485,'RAW DATA'!J:J)))</f>
        <v/>
      </c>
      <c r="I485" s="4" t="str">
        <f>IF(SUMIF('RAW DATA'!M:M,'RAW DATA'!B485, 'RAW DATA'!K:K)=0, "", SUMIF('RAW DATA'!M:M,'RAW DATA'!B485, 'RAW DATA'!K:K))</f>
        <v/>
      </c>
      <c r="J485" s="29" t="str">
        <f>IF('RAW DATA'!B485&lt;&gt;"",IF(OR('RAW DATA'!H485=1,'RAW DATA'!H485=2),1,IF(ISNUMBER(FIND("Medic",'RAW DATA'!E485)),1,"")),"")</f>
        <v/>
      </c>
      <c r="K485" s="29" t="str">
        <f>IF(AND('RAW DATA'!$B485&lt;&gt;"",'RAW DATA'!L485=1),1,"")</f>
        <v/>
      </c>
      <c r="L485" s="24" t="str">
        <f t="shared" si="15"/>
        <v/>
      </c>
    </row>
    <row r="486" spans="2:12" x14ac:dyDescent="0.25">
      <c r="B486" s="1" t="str">
        <f>IF('RAW DATA'!$C488&lt;&gt;"",'RAW DATA'!$C488,"")</f>
        <v/>
      </c>
      <c r="C486" s="1" t="str">
        <f>IF('RAW DATA'!$D488&lt;&gt;"",'RAW DATA'!$D488,"")</f>
        <v/>
      </c>
      <c r="D486" s="1" t="str">
        <f>IF(AND($B485&lt;&gt;"", $B486=""), "TOTAL:", IF($D485="TOTAL:","VESSEL TARGET "&amp;'RAW DATA'!$E$2&amp;":",IF('RAW DATA'!$E486&lt;&gt;"",'RAW DATA'!$E486,"")))</f>
        <v/>
      </c>
      <c r="E486" s="29" t="str">
        <f t="shared" si="14"/>
        <v/>
      </c>
      <c r="F486" s="4" t="str">
        <f>IF($D485="TOTAL:",FIXED(ROUND(((SUM($F$4:$F484)/'RAW DATA'!$E$2)*100),1),1)&amp;"%",IF($D486="TOTAL:",SUM($F$4:$F485),IF(SUMIF('RAW DATA'!M:M,'RAW DATA'!B486,'RAW DATA'!H:H)=0,"",SUMIF('RAW DATA'!M:M,'RAW DATA'!B486,'RAW DATA'!H:H))))</f>
        <v/>
      </c>
      <c r="G486" s="4" t="str">
        <f>IF($D485="TOTAL:",FIXED(ROUND(((SUM($G$4:$G484)/'RAW DATA'!$E$2)*100),1),1)&amp;"%",IF($D486="TOTAL:",SUM($G$4:$G485),IF(SUMIF('RAW DATA'!M:M,'RAW DATA'!B486,'RAW DATA'!I:I)=0,"",SUMIF('RAW DATA'!M:M,'RAW DATA'!B486,'RAW DATA'!I:I))))</f>
        <v/>
      </c>
      <c r="H486" s="4" t="str">
        <f>IF(SUM(SUMIF('RAW DATA'!M:M,'RAW DATA'!B486,'RAW DATA'!J:J),SUMIF('RAW DATA'!N:N,'RAW DATA'!B486,'RAW DATA'!J:J),SUMIF('RAW DATA'!O:O,'RAW DATA'!B486,'RAW DATA'!J:J),SUMIF('RAW DATA'!P:P,'RAW DATA'!B486,'RAW DATA'!J:J))=0, "", SUM(SUMIF('RAW DATA'!M:M,'RAW DATA'!B486,'RAW DATA'!J:J),SUMIF('RAW DATA'!N:N,'RAW DATA'!B486,'RAW DATA'!J:J),SUMIF('RAW DATA'!O:O,'RAW DATA'!B486,'RAW DATA'!J:J),SUMIF('RAW DATA'!P:P,'RAW DATA'!B486,'RAW DATA'!J:J)))</f>
        <v/>
      </c>
      <c r="I486" s="4" t="str">
        <f>IF(SUMIF('RAW DATA'!M:M,'RAW DATA'!B486, 'RAW DATA'!K:K)=0, "", SUMIF('RAW DATA'!M:M,'RAW DATA'!B486, 'RAW DATA'!K:K))</f>
        <v/>
      </c>
      <c r="J486" s="29" t="str">
        <f>IF('RAW DATA'!B486&lt;&gt;"",IF(OR('RAW DATA'!H486=1,'RAW DATA'!H486=2),1,IF(ISNUMBER(FIND("Medic",'RAW DATA'!E486)),1,"")),"")</f>
        <v/>
      </c>
      <c r="K486" s="29" t="str">
        <f>IF(AND('RAW DATA'!$B486&lt;&gt;"",'RAW DATA'!L486=1),1,"")</f>
        <v/>
      </c>
      <c r="L486" s="24" t="str">
        <f t="shared" si="15"/>
        <v/>
      </c>
    </row>
    <row r="487" spans="2:12" x14ac:dyDescent="0.25">
      <c r="B487" s="1" t="str">
        <f>IF('RAW DATA'!$C489&lt;&gt;"",'RAW DATA'!$C489,"")</f>
        <v/>
      </c>
      <c r="C487" s="1" t="str">
        <f>IF('RAW DATA'!$D489&lt;&gt;"",'RAW DATA'!$D489,"")</f>
        <v/>
      </c>
      <c r="D487" s="1" t="str">
        <f>IF(AND($B486&lt;&gt;"", $B487=""), "TOTAL:", IF($D486="TOTAL:","VESSEL TARGET "&amp;'RAW DATA'!$E$2&amp;":",IF('RAW DATA'!$E487&lt;&gt;"",'RAW DATA'!$E487,"")))</f>
        <v/>
      </c>
      <c r="E487" s="29" t="str">
        <f t="shared" si="14"/>
        <v/>
      </c>
      <c r="F487" s="4" t="str">
        <f>IF($D486="TOTAL:",FIXED(ROUND(((SUM($F$4:$F485)/'RAW DATA'!$E$2)*100),1),1)&amp;"%",IF($D487="TOTAL:",SUM($F$4:$F486),IF(SUMIF('RAW DATA'!M:M,'RAW DATA'!B487,'RAW DATA'!H:H)=0,"",SUMIF('RAW DATA'!M:M,'RAW DATA'!B487,'RAW DATA'!H:H))))</f>
        <v/>
      </c>
      <c r="G487" s="4" t="str">
        <f>IF($D486="TOTAL:",FIXED(ROUND(((SUM($G$4:$G485)/'RAW DATA'!$E$2)*100),1),1)&amp;"%",IF($D487="TOTAL:",SUM($G$4:$G486),IF(SUMIF('RAW DATA'!M:M,'RAW DATA'!B487,'RAW DATA'!I:I)=0,"",SUMIF('RAW DATA'!M:M,'RAW DATA'!B487,'RAW DATA'!I:I))))</f>
        <v/>
      </c>
      <c r="H487" s="4" t="str">
        <f>IF(SUM(SUMIF('RAW DATA'!M:M,'RAW DATA'!B487,'RAW DATA'!J:J),SUMIF('RAW DATA'!N:N,'RAW DATA'!B487,'RAW DATA'!J:J),SUMIF('RAW DATA'!O:O,'RAW DATA'!B487,'RAW DATA'!J:J),SUMIF('RAW DATA'!P:P,'RAW DATA'!B487,'RAW DATA'!J:J))=0, "", SUM(SUMIF('RAW DATA'!M:M,'RAW DATA'!B487,'RAW DATA'!J:J),SUMIF('RAW DATA'!N:N,'RAW DATA'!B487,'RAW DATA'!J:J),SUMIF('RAW DATA'!O:O,'RAW DATA'!B487,'RAW DATA'!J:J),SUMIF('RAW DATA'!P:P,'RAW DATA'!B487,'RAW DATA'!J:J)))</f>
        <v/>
      </c>
      <c r="I487" s="4" t="str">
        <f>IF(SUMIF('RAW DATA'!M:M,'RAW DATA'!B487, 'RAW DATA'!K:K)=0, "", SUMIF('RAW DATA'!M:M,'RAW DATA'!B487, 'RAW DATA'!K:K))</f>
        <v/>
      </c>
      <c r="J487" s="29" t="str">
        <f>IF('RAW DATA'!B487&lt;&gt;"",IF(OR('RAW DATA'!H487=1,'RAW DATA'!H487=2),1,IF(ISNUMBER(FIND("Medic",'RAW DATA'!E487)),1,"")),"")</f>
        <v/>
      </c>
      <c r="K487" s="29" t="str">
        <f>IF(AND('RAW DATA'!$B487&lt;&gt;"",'RAW DATA'!L487=1),1,"")</f>
        <v/>
      </c>
      <c r="L487" s="24" t="str">
        <f t="shared" si="15"/>
        <v/>
      </c>
    </row>
    <row r="488" spans="2:12" x14ac:dyDescent="0.25">
      <c r="B488" s="1" t="str">
        <f>IF('RAW DATA'!$C490&lt;&gt;"",'RAW DATA'!$C490,"")</f>
        <v/>
      </c>
      <c r="C488" s="1" t="str">
        <f>IF('RAW DATA'!$D490&lt;&gt;"",'RAW DATA'!$D490,"")</f>
        <v/>
      </c>
      <c r="D488" s="1" t="str">
        <f>IF(AND($B487&lt;&gt;"", $B488=""), "TOTAL:", IF($D487="TOTAL:","VESSEL TARGET "&amp;'RAW DATA'!$E$2&amp;":",IF('RAW DATA'!$E488&lt;&gt;"",'RAW DATA'!$E488,"")))</f>
        <v/>
      </c>
      <c r="E488" s="29" t="str">
        <f t="shared" si="14"/>
        <v/>
      </c>
      <c r="F488" s="4" t="str">
        <f>IF($D487="TOTAL:",FIXED(ROUND(((SUM($F$4:$F486)/'RAW DATA'!$E$2)*100),1),1)&amp;"%",IF($D488="TOTAL:",SUM($F$4:$F487),IF(SUMIF('RAW DATA'!M:M,'RAW DATA'!B488,'RAW DATA'!H:H)=0,"",SUMIF('RAW DATA'!M:M,'RAW DATA'!B488,'RAW DATA'!H:H))))</f>
        <v/>
      </c>
      <c r="G488" s="4" t="str">
        <f>IF($D487="TOTAL:",FIXED(ROUND(((SUM($G$4:$G486)/'RAW DATA'!$E$2)*100),1),1)&amp;"%",IF($D488="TOTAL:",SUM($G$4:$G487),IF(SUMIF('RAW DATA'!M:M,'RAW DATA'!B488,'RAW DATA'!I:I)=0,"",SUMIF('RAW DATA'!M:M,'RAW DATA'!B488,'RAW DATA'!I:I))))</f>
        <v/>
      </c>
      <c r="H488" s="4" t="str">
        <f>IF(SUM(SUMIF('RAW DATA'!M:M,'RAW DATA'!B488,'RAW DATA'!J:J),SUMIF('RAW DATA'!N:N,'RAW DATA'!B488,'RAW DATA'!J:J),SUMIF('RAW DATA'!O:O,'RAW DATA'!B488,'RAW DATA'!J:J),SUMIF('RAW DATA'!P:P,'RAW DATA'!B488,'RAW DATA'!J:J))=0, "", SUM(SUMIF('RAW DATA'!M:M,'RAW DATA'!B488,'RAW DATA'!J:J),SUMIF('RAW DATA'!N:N,'RAW DATA'!B488,'RAW DATA'!J:J),SUMIF('RAW DATA'!O:O,'RAW DATA'!B488,'RAW DATA'!J:J),SUMIF('RAW DATA'!P:P,'RAW DATA'!B488,'RAW DATA'!J:J)))</f>
        <v/>
      </c>
      <c r="I488" s="4" t="str">
        <f>IF(SUMIF('RAW DATA'!M:M,'RAW DATA'!B488, 'RAW DATA'!K:K)=0, "", SUMIF('RAW DATA'!M:M,'RAW DATA'!B488, 'RAW DATA'!K:K))</f>
        <v/>
      </c>
      <c r="J488" s="29" t="str">
        <f>IF('RAW DATA'!B488&lt;&gt;"",IF(OR('RAW DATA'!H488=1,'RAW DATA'!H488=2),1,IF(ISNUMBER(FIND("Medic",'RAW DATA'!E488)),1,"")),"")</f>
        <v/>
      </c>
      <c r="K488" s="29" t="str">
        <f>IF(AND('RAW DATA'!$B488&lt;&gt;"",'RAW DATA'!L488=1),1,"")</f>
        <v/>
      </c>
      <c r="L488" s="24" t="str">
        <f t="shared" si="15"/>
        <v/>
      </c>
    </row>
    <row r="489" spans="2:12" x14ac:dyDescent="0.25">
      <c r="B489" s="1" t="str">
        <f>IF('RAW DATA'!$C491&lt;&gt;"",'RAW DATA'!$C491,"")</f>
        <v/>
      </c>
      <c r="C489" s="1" t="str">
        <f>IF('RAW DATA'!$D491&lt;&gt;"",'RAW DATA'!$D491,"")</f>
        <v/>
      </c>
      <c r="D489" s="1" t="str">
        <f>IF(AND($B488&lt;&gt;"", $B489=""), "TOTAL:", IF($D488="TOTAL:","VESSEL TARGET "&amp;'RAW DATA'!$E$2&amp;":",IF('RAW DATA'!$E489&lt;&gt;"",'RAW DATA'!$E489,"")))</f>
        <v/>
      </c>
      <c r="E489" s="29" t="str">
        <f t="shared" si="14"/>
        <v/>
      </c>
      <c r="F489" s="4" t="str">
        <f>IF($D488="TOTAL:",FIXED(ROUND(((SUM($F$4:$F487)/'RAW DATA'!$E$2)*100),1),1)&amp;"%",IF($D489="TOTAL:",SUM($F$4:$F488),IF(SUMIF('RAW DATA'!M:M,'RAW DATA'!B489,'RAW DATA'!H:H)=0,"",SUMIF('RAW DATA'!M:M,'RAW DATA'!B489,'RAW DATA'!H:H))))</f>
        <v/>
      </c>
      <c r="G489" s="4" t="str">
        <f>IF($D488="TOTAL:",FIXED(ROUND(((SUM($G$4:$G487)/'RAW DATA'!$E$2)*100),1),1)&amp;"%",IF($D489="TOTAL:",SUM($G$4:$G488),IF(SUMIF('RAW DATA'!M:M,'RAW DATA'!B489,'RAW DATA'!I:I)=0,"",SUMIF('RAW DATA'!M:M,'RAW DATA'!B489,'RAW DATA'!I:I))))</f>
        <v/>
      </c>
      <c r="H489" s="4" t="str">
        <f>IF(SUM(SUMIF('RAW DATA'!M:M,'RAW DATA'!B489,'RAW DATA'!J:J),SUMIF('RAW DATA'!N:N,'RAW DATA'!B489,'RAW DATA'!J:J),SUMIF('RAW DATA'!O:O,'RAW DATA'!B489,'RAW DATA'!J:J),SUMIF('RAW DATA'!P:P,'RAW DATA'!B489,'RAW DATA'!J:J))=0, "", SUM(SUMIF('RAW DATA'!M:M,'RAW DATA'!B489,'RAW DATA'!J:J),SUMIF('RAW DATA'!N:N,'RAW DATA'!B489,'RAW DATA'!J:J),SUMIF('RAW DATA'!O:O,'RAW DATA'!B489,'RAW DATA'!J:J),SUMIF('RAW DATA'!P:P,'RAW DATA'!B489,'RAW DATA'!J:J)))</f>
        <v/>
      </c>
      <c r="I489" s="4" t="str">
        <f>IF(SUMIF('RAW DATA'!M:M,'RAW DATA'!B489, 'RAW DATA'!K:K)=0, "", SUMIF('RAW DATA'!M:M,'RAW DATA'!B489, 'RAW DATA'!K:K))</f>
        <v/>
      </c>
      <c r="J489" s="29" t="str">
        <f>IF('RAW DATA'!B489&lt;&gt;"",IF(OR('RAW DATA'!H489=1,'RAW DATA'!H489=2),1,IF(ISNUMBER(FIND("Medic",'RAW DATA'!E489)),1,"")),"")</f>
        <v/>
      </c>
      <c r="K489" s="29" t="str">
        <f>IF(AND('RAW DATA'!$B489&lt;&gt;"",'RAW DATA'!L489=1),1,"")</f>
        <v/>
      </c>
      <c r="L489" s="24" t="str">
        <f t="shared" si="15"/>
        <v/>
      </c>
    </row>
    <row r="490" spans="2:12" x14ac:dyDescent="0.25">
      <c r="B490" s="1" t="str">
        <f>IF('RAW DATA'!$C492&lt;&gt;"",'RAW DATA'!$C492,"")</f>
        <v/>
      </c>
      <c r="C490" s="1" t="str">
        <f>IF('RAW DATA'!$D492&lt;&gt;"",'RAW DATA'!$D492,"")</f>
        <v/>
      </c>
      <c r="D490" s="1" t="str">
        <f>IF(AND($B489&lt;&gt;"", $B490=""), "TOTAL:", IF($D489="TOTAL:","VESSEL TARGET "&amp;'RAW DATA'!$E$2&amp;":",IF('RAW DATA'!$E490&lt;&gt;"",'RAW DATA'!$E490,"")))</f>
        <v/>
      </c>
      <c r="E490" s="29" t="str">
        <f t="shared" si="14"/>
        <v/>
      </c>
      <c r="F490" s="4" t="str">
        <f>IF($D489="TOTAL:",FIXED(ROUND(((SUM($F$4:$F488)/'RAW DATA'!$E$2)*100),1),1)&amp;"%",IF($D490="TOTAL:",SUM($F$4:$F489),IF(SUMIF('RAW DATA'!M:M,'RAW DATA'!B490,'RAW DATA'!H:H)=0,"",SUMIF('RAW DATA'!M:M,'RAW DATA'!B490,'RAW DATA'!H:H))))</f>
        <v/>
      </c>
      <c r="G490" s="4" t="str">
        <f>IF($D489="TOTAL:",FIXED(ROUND(((SUM($G$4:$G488)/'RAW DATA'!$E$2)*100),1),1)&amp;"%",IF($D490="TOTAL:",SUM($G$4:$G489),IF(SUMIF('RAW DATA'!M:M,'RAW DATA'!B490,'RAW DATA'!I:I)=0,"",SUMIF('RAW DATA'!M:M,'RAW DATA'!B490,'RAW DATA'!I:I))))</f>
        <v/>
      </c>
      <c r="H490" s="4" t="str">
        <f>IF(SUM(SUMIF('RAW DATA'!M:M,'RAW DATA'!B490,'RAW DATA'!J:J),SUMIF('RAW DATA'!N:N,'RAW DATA'!B490,'RAW DATA'!J:J),SUMIF('RAW DATA'!O:O,'RAW DATA'!B490,'RAW DATA'!J:J),SUMIF('RAW DATA'!P:P,'RAW DATA'!B490,'RAW DATA'!J:J))=0, "", SUM(SUMIF('RAW DATA'!M:M,'RAW DATA'!B490,'RAW DATA'!J:J),SUMIF('RAW DATA'!N:N,'RAW DATA'!B490,'RAW DATA'!J:J),SUMIF('RAW DATA'!O:O,'RAW DATA'!B490,'RAW DATA'!J:J),SUMIF('RAW DATA'!P:P,'RAW DATA'!B490,'RAW DATA'!J:J)))</f>
        <v/>
      </c>
      <c r="I490" s="4" t="str">
        <f>IF(SUMIF('RAW DATA'!M:M,'RAW DATA'!B490, 'RAW DATA'!K:K)=0, "", SUMIF('RAW DATA'!M:M,'RAW DATA'!B490, 'RAW DATA'!K:K))</f>
        <v/>
      </c>
      <c r="J490" s="29" t="str">
        <f>IF('RAW DATA'!B490&lt;&gt;"",IF(OR('RAW DATA'!H490=1,'RAW DATA'!H490=2),1,IF(ISNUMBER(FIND("Medic",'RAW DATA'!E490)),1,"")),"")</f>
        <v/>
      </c>
      <c r="K490" s="29" t="str">
        <f>IF(AND('RAW DATA'!$B490&lt;&gt;"",'RAW DATA'!L490=1),1,"")</f>
        <v/>
      </c>
      <c r="L490" s="24" t="str">
        <f t="shared" si="15"/>
        <v/>
      </c>
    </row>
    <row r="491" spans="2:12" x14ac:dyDescent="0.25">
      <c r="B491" s="1" t="str">
        <f>IF('RAW DATA'!$C493&lt;&gt;"",'RAW DATA'!$C493,"")</f>
        <v/>
      </c>
      <c r="C491" s="1" t="str">
        <f>IF('RAW DATA'!$D493&lt;&gt;"",'RAW DATA'!$D493,"")</f>
        <v/>
      </c>
      <c r="D491" s="1" t="str">
        <f>IF(AND($B490&lt;&gt;"", $B491=""), "TOTAL:", IF($D490="TOTAL:","VESSEL TARGET "&amp;'RAW DATA'!$E$2&amp;":",IF('RAW DATA'!$E491&lt;&gt;"",'RAW DATA'!$E491,"")))</f>
        <v/>
      </c>
      <c r="E491" s="29" t="str">
        <f t="shared" si="14"/>
        <v/>
      </c>
      <c r="F491" s="4" t="str">
        <f>IF($D490="TOTAL:",FIXED(ROUND(((SUM($F$4:$F489)/'RAW DATA'!$E$2)*100),1),1)&amp;"%",IF($D491="TOTAL:",SUM($F$4:$F490),IF(SUMIF('RAW DATA'!M:M,'RAW DATA'!B491,'RAW DATA'!H:H)=0,"",SUMIF('RAW DATA'!M:M,'RAW DATA'!B491,'RAW DATA'!H:H))))</f>
        <v/>
      </c>
      <c r="G491" s="4" t="str">
        <f>IF($D490="TOTAL:",FIXED(ROUND(((SUM($G$4:$G489)/'RAW DATA'!$E$2)*100),1),1)&amp;"%",IF($D491="TOTAL:",SUM($G$4:$G490),IF(SUMIF('RAW DATA'!M:M,'RAW DATA'!B491,'RAW DATA'!I:I)=0,"",SUMIF('RAW DATA'!M:M,'RAW DATA'!B491,'RAW DATA'!I:I))))</f>
        <v/>
      </c>
      <c r="H491" s="4" t="str">
        <f>IF(SUM(SUMIF('RAW DATA'!M:M,'RAW DATA'!B491,'RAW DATA'!J:J),SUMIF('RAW DATA'!N:N,'RAW DATA'!B491,'RAW DATA'!J:J),SUMIF('RAW DATA'!O:O,'RAW DATA'!B491,'RAW DATA'!J:J),SUMIF('RAW DATA'!P:P,'RAW DATA'!B491,'RAW DATA'!J:J))=0, "", SUM(SUMIF('RAW DATA'!M:M,'RAW DATA'!B491,'RAW DATA'!J:J),SUMIF('RAW DATA'!N:N,'RAW DATA'!B491,'RAW DATA'!J:J),SUMIF('RAW DATA'!O:O,'RAW DATA'!B491,'RAW DATA'!J:J),SUMIF('RAW DATA'!P:P,'RAW DATA'!B491,'RAW DATA'!J:J)))</f>
        <v/>
      </c>
      <c r="I491" s="4" t="str">
        <f>IF(SUMIF('RAW DATA'!M:M,'RAW DATA'!B491, 'RAW DATA'!K:K)=0, "", SUMIF('RAW DATA'!M:M,'RAW DATA'!B491, 'RAW DATA'!K:K))</f>
        <v/>
      </c>
      <c r="J491" s="29" t="str">
        <f>IF('RAW DATA'!B491&lt;&gt;"",IF(OR('RAW DATA'!H491=1,'RAW DATA'!H491=2),1,IF(ISNUMBER(FIND("Medic",'RAW DATA'!E491)),1,"")),"")</f>
        <v/>
      </c>
      <c r="K491" s="29" t="str">
        <f>IF(AND('RAW DATA'!$B491&lt;&gt;"",'RAW DATA'!L491=1),1,"")</f>
        <v/>
      </c>
      <c r="L491" s="24" t="str">
        <f t="shared" si="15"/>
        <v/>
      </c>
    </row>
    <row r="492" spans="2:12" x14ac:dyDescent="0.25">
      <c r="B492" s="1" t="str">
        <f>IF('RAW DATA'!$C494&lt;&gt;"",'RAW DATA'!$C494,"")</f>
        <v/>
      </c>
      <c r="C492" s="1" t="str">
        <f>IF('RAW DATA'!$D494&lt;&gt;"",'RAW DATA'!$D494,"")</f>
        <v/>
      </c>
      <c r="D492" s="1" t="str">
        <f>IF(AND($B491&lt;&gt;"", $B492=""), "TOTAL:", IF($D491="TOTAL:","VESSEL TARGET "&amp;'RAW DATA'!$E$2&amp;":",IF('RAW DATA'!$E492&lt;&gt;"",'RAW DATA'!$E492,"")))</f>
        <v/>
      </c>
      <c r="E492" s="29" t="str">
        <f t="shared" si="14"/>
        <v/>
      </c>
      <c r="F492" s="4" t="str">
        <f>IF($D491="TOTAL:",FIXED(ROUND(((SUM($F$4:$F490)/'RAW DATA'!$E$2)*100),1),1)&amp;"%",IF($D492="TOTAL:",SUM($F$4:$F491),IF(SUMIF('RAW DATA'!M:M,'RAW DATA'!B492,'RAW DATA'!H:H)=0,"",SUMIF('RAW DATA'!M:M,'RAW DATA'!B492,'RAW DATA'!H:H))))</f>
        <v/>
      </c>
      <c r="G492" s="4" t="str">
        <f>IF($D491="TOTAL:",FIXED(ROUND(((SUM($G$4:$G490)/'RAW DATA'!$E$2)*100),1),1)&amp;"%",IF($D492="TOTAL:",SUM($G$4:$G491),IF(SUMIF('RAW DATA'!M:M,'RAW DATA'!B492,'RAW DATA'!I:I)=0,"",SUMIF('RAW DATA'!M:M,'RAW DATA'!B492,'RAW DATA'!I:I))))</f>
        <v/>
      </c>
      <c r="H492" s="4" t="str">
        <f>IF(SUM(SUMIF('RAW DATA'!M:M,'RAW DATA'!B492,'RAW DATA'!J:J),SUMIF('RAW DATA'!N:N,'RAW DATA'!B492,'RAW DATA'!J:J),SUMIF('RAW DATA'!O:O,'RAW DATA'!B492,'RAW DATA'!J:J),SUMIF('RAW DATA'!P:P,'RAW DATA'!B492,'RAW DATA'!J:J))=0, "", SUM(SUMIF('RAW DATA'!M:M,'RAW DATA'!B492,'RAW DATA'!J:J),SUMIF('RAW DATA'!N:N,'RAW DATA'!B492,'RAW DATA'!J:J),SUMIF('RAW DATA'!O:O,'RAW DATA'!B492,'RAW DATA'!J:J),SUMIF('RAW DATA'!P:P,'RAW DATA'!B492,'RAW DATA'!J:J)))</f>
        <v/>
      </c>
      <c r="I492" s="4" t="str">
        <f>IF(SUMIF('RAW DATA'!M:M,'RAW DATA'!B492, 'RAW DATA'!K:K)=0, "", SUMIF('RAW DATA'!M:M,'RAW DATA'!B492, 'RAW DATA'!K:K))</f>
        <v/>
      </c>
      <c r="J492" s="29" t="str">
        <f>IF('RAW DATA'!B492&lt;&gt;"",IF(OR('RAW DATA'!H492=1,'RAW DATA'!H492=2),1,IF(ISNUMBER(FIND("Medic",'RAW DATA'!E492)),1,"")),"")</f>
        <v/>
      </c>
      <c r="K492" s="29" t="str">
        <f>IF(AND('RAW DATA'!$B492&lt;&gt;"",'RAW DATA'!L492=1),1,"")</f>
        <v/>
      </c>
      <c r="L492" s="24" t="str">
        <f t="shared" si="15"/>
        <v/>
      </c>
    </row>
    <row r="493" spans="2:12" x14ac:dyDescent="0.25">
      <c r="B493" s="1" t="str">
        <f>IF('RAW DATA'!$C495&lt;&gt;"",'RAW DATA'!$C495,"")</f>
        <v/>
      </c>
      <c r="C493" s="1" t="str">
        <f>IF('RAW DATA'!$D495&lt;&gt;"",'RAW DATA'!$D495,"")</f>
        <v/>
      </c>
      <c r="D493" s="1" t="str">
        <f>IF(AND($B492&lt;&gt;"", $B493=""), "TOTAL:", IF($D492="TOTAL:","VESSEL TARGET "&amp;'RAW DATA'!$E$2&amp;":",IF('RAW DATA'!$E493&lt;&gt;"",'RAW DATA'!$E493,"")))</f>
        <v/>
      </c>
      <c r="E493" s="29" t="str">
        <f t="shared" si="14"/>
        <v/>
      </c>
      <c r="F493" s="4" t="str">
        <f>IF($D492="TOTAL:",FIXED(ROUND(((SUM($F$4:$F491)/'RAW DATA'!$E$2)*100),1),1)&amp;"%",IF($D493="TOTAL:",SUM($F$4:$F492),IF(SUMIF('RAW DATA'!M:M,'RAW DATA'!B493,'RAW DATA'!H:H)=0,"",SUMIF('RAW DATA'!M:M,'RAW DATA'!B493,'RAW DATA'!H:H))))</f>
        <v/>
      </c>
      <c r="G493" s="4" t="str">
        <f>IF($D492="TOTAL:",FIXED(ROUND(((SUM($G$4:$G491)/'RAW DATA'!$E$2)*100),1),1)&amp;"%",IF($D493="TOTAL:",SUM($G$4:$G492),IF(SUMIF('RAW DATA'!M:M,'RAW DATA'!B493,'RAW DATA'!I:I)=0,"",SUMIF('RAW DATA'!M:M,'RAW DATA'!B493,'RAW DATA'!I:I))))</f>
        <v/>
      </c>
      <c r="H493" s="4" t="str">
        <f>IF(SUM(SUMIF('RAW DATA'!M:M,'RAW DATA'!B493,'RAW DATA'!J:J),SUMIF('RAW DATA'!N:N,'RAW DATA'!B493,'RAW DATA'!J:J),SUMIF('RAW DATA'!O:O,'RAW DATA'!B493,'RAW DATA'!J:J),SUMIF('RAW DATA'!P:P,'RAW DATA'!B493,'RAW DATA'!J:J))=0, "", SUM(SUMIF('RAW DATA'!M:M,'RAW DATA'!B493,'RAW DATA'!J:J),SUMIF('RAW DATA'!N:N,'RAW DATA'!B493,'RAW DATA'!J:J),SUMIF('RAW DATA'!O:O,'RAW DATA'!B493,'RAW DATA'!J:J),SUMIF('RAW DATA'!P:P,'RAW DATA'!B493,'RAW DATA'!J:J)))</f>
        <v/>
      </c>
      <c r="I493" s="4" t="str">
        <f>IF(SUMIF('RAW DATA'!M:M,'RAW DATA'!B493, 'RAW DATA'!K:K)=0, "", SUMIF('RAW DATA'!M:M,'RAW DATA'!B493, 'RAW DATA'!K:K))</f>
        <v/>
      </c>
      <c r="J493" s="29" t="str">
        <f>IF('RAW DATA'!B493&lt;&gt;"",IF(OR('RAW DATA'!H493=1,'RAW DATA'!H493=2),1,IF(ISNUMBER(FIND("Medic",'RAW DATA'!E493)),1,"")),"")</f>
        <v/>
      </c>
      <c r="K493" s="29" t="str">
        <f>IF(AND('RAW DATA'!$B493&lt;&gt;"",'RAW DATA'!L493=1),1,"")</f>
        <v/>
      </c>
      <c r="L493" s="24" t="str">
        <f t="shared" si="15"/>
        <v/>
      </c>
    </row>
    <row r="494" spans="2:12" x14ac:dyDescent="0.25">
      <c r="B494" s="1" t="str">
        <f>IF('RAW DATA'!$C496&lt;&gt;"",'RAW DATA'!$C496,"")</f>
        <v/>
      </c>
      <c r="C494" s="1" t="str">
        <f>IF('RAW DATA'!$D496&lt;&gt;"",'RAW DATA'!$D496,"")</f>
        <v/>
      </c>
      <c r="D494" s="1" t="str">
        <f>IF(AND($B493&lt;&gt;"", $B494=""), "TOTAL:", IF($D493="TOTAL:","VESSEL TARGET "&amp;'RAW DATA'!$E$2&amp;":",IF('RAW DATA'!$E494&lt;&gt;"",'RAW DATA'!$E494,"")))</f>
        <v/>
      </c>
      <c r="E494" s="29" t="str">
        <f t="shared" si="14"/>
        <v/>
      </c>
      <c r="F494" s="4" t="str">
        <f>IF($D493="TOTAL:",FIXED(ROUND(((SUM($F$4:$F492)/'RAW DATA'!$E$2)*100),1),1)&amp;"%",IF($D494="TOTAL:",SUM($F$4:$F493),IF(SUMIF('RAW DATA'!M:M,'RAW DATA'!B494,'RAW DATA'!H:H)=0,"",SUMIF('RAW DATA'!M:M,'RAW DATA'!B494,'RAW DATA'!H:H))))</f>
        <v/>
      </c>
      <c r="G494" s="4" t="str">
        <f>IF($D493="TOTAL:",FIXED(ROUND(((SUM($G$4:$G492)/'RAW DATA'!$E$2)*100),1),1)&amp;"%",IF($D494="TOTAL:",SUM($G$4:$G493),IF(SUMIF('RAW DATA'!M:M,'RAW DATA'!B494,'RAW DATA'!I:I)=0,"",SUMIF('RAW DATA'!M:M,'RAW DATA'!B494,'RAW DATA'!I:I))))</f>
        <v/>
      </c>
      <c r="H494" s="4" t="str">
        <f>IF(SUM(SUMIF('RAW DATA'!M:M,'RAW DATA'!B494,'RAW DATA'!J:J),SUMIF('RAW DATA'!N:N,'RAW DATA'!B494,'RAW DATA'!J:J),SUMIF('RAW DATA'!O:O,'RAW DATA'!B494,'RAW DATA'!J:J),SUMIF('RAW DATA'!P:P,'RAW DATA'!B494,'RAW DATA'!J:J))=0, "", SUM(SUMIF('RAW DATA'!M:M,'RAW DATA'!B494,'RAW DATA'!J:J),SUMIF('RAW DATA'!N:N,'RAW DATA'!B494,'RAW DATA'!J:J),SUMIF('RAW DATA'!O:O,'RAW DATA'!B494,'RAW DATA'!J:J),SUMIF('RAW DATA'!P:P,'RAW DATA'!B494,'RAW DATA'!J:J)))</f>
        <v/>
      </c>
      <c r="I494" s="4" t="str">
        <f>IF(SUMIF('RAW DATA'!M:M,'RAW DATA'!B494, 'RAW DATA'!K:K)=0, "", SUMIF('RAW DATA'!M:M,'RAW DATA'!B494, 'RAW DATA'!K:K))</f>
        <v/>
      </c>
      <c r="J494" s="29" t="str">
        <f>IF('RAW DATA'!B494&lt;&gt;"",IF(OR('RAW DATA'!H494=1,'RAW DATA'!H494=2),1,IF(ISNUMBER(FIND("Medic",'RAW DATA'!E494)),1,"")),"")</f>
        <v/>
      </c>
      <c r="K494" s="29" t="str">
        <f>IF(AND('RAW DATA'!$B494&lt;&gt;"",'RAW DATA'!L494=1),1,"")</f>
        <v/>
      </c>
      <c r="L494" s="24" t="str">
        <f t="shared" si="15"/>
        <v/>
      </c>
    </row>
    <row r="495" spans="2:12" x14ac:dyDescent="0.25">
      <c r="B495" s="1" t="str">
        <f>IF('RAW DATA'!$C497&lt;&gt;"",'RAW DATA'!$C497,"")</f>
        <v/>
      </c>
      <c r="C495" s="1" t="str">
        <f>IF('RAW DATA'!$D497&lt;&gt;"",'RAW DATA'!$D497,"")</f>
        <v/>
      </c>
      <c r="D495" s="1" t="str">
        <f>IF(AND($B494&lt;&gt;"", $B495=""), "TOTAL:", IF($D494="TOTAL:","VESSEL TARGET "&amp;'RAW DATA'!$E$2&amp;":",IF('RAW DATA'!$E495&lt;&gt;"",'RAW DATA'!$E495,"")))</f>
        <v/>
      </c>
      <c r="E495" s="29" t="str">
        <f t="shared" si="14"/>
        <v/>
      </c>
      <c r="F495" s="4" t="str">
        <f>IF($D494="TOTAL:",FIXED(ROUND(((SUM($F$4:$F493)/'RAW DATA'!$E$2)*100),1),1)&amp;"%",IF($D495="TOTAL:",SUM($F$4:$F494),IF(SUMIF('RAW DATA'!M:M,'RAW DATA'!B495,'RAW DATA'!H:H)=0,"",SUMIF('RAW DATA'!M:M,'RAW DATA'!B495,'RAW DATA'!H:H))))</f>
        <v/>
      </c>
      <c r="G495" s="4" t="str">
        <f>IF($D494="TOTAL:",FIXED(ROUND(((SUM($G$4:$G493)/'RAW DATA'!$E$2)*100),1),1)&amp;"%",IF($D495="TOTAL:",SUM($G$4:$G494),IF(SUMIF('RAW DATA'!M:M,'RAW DATA'!B495,'RAW DATA'!I:I)=0,"",SUMIF('RAW DATA'!M:M,'RAW DATA'!B495,'RAW DATA'!I:I))))</f>
        <v/>
      </c>
      <c r="H495" s="4" t="str">
        <f>IF(SUM(SUMIF('RAW DATA'!M:M,'RAW DATA'!B495,'RAW DATA'!J:J),SUMIF('RAW DATA'!N:N,'RAW DATA'!B495,'RAW DATA'!J:J),SUMIF('RAW DATA'!O:O,'RAW DATA'!B495,'RAW DATA'!J:J),SUMIF('RAW DATA'!P:P,'RAW DATA'!B495,'RAW DATA'!J:J))=0, "", SUM(SUMIF('RAW DATA'!M:M,'RAW DATA'!B495,'RAW DATA'!J:J),SUMIF('RAW DATA'!N:N,'RAW DATA'!B495,'RAW DATA'!J:J),SUMIF('RAW DATA'!O:O,'RAW DATA'!B495,'RAW DATA'!J:J),SUMIF('RAW DATA'!P:P,'RAW DATA'!B495,'RAW DATA'!J:J)))</f>
        <v/>
      </c>
      <c r="I495" s="4" t="str">
        <f>IF(SUMIF('RAW DATA'!M:M,'RAW DATA'!B495, 'RAW DATA'!K:K)=0, "", SUMIF('RAW DATA'!M:M,'RAW DATA'!B495, 'RAW DATA'!K:K))</f>
        <v/>
      </c>
      <c r="J495" s="29" t="str">
        <f>IF('RAW DATA'!B495&lt;&gt;"",IF(OR('RAW DATA'!H495=1,'RAW DATA'!H495=2),1,IF(ISNUMBER(FIND("Medic",'RAW DATA'!E495)),1,"")),"")</f>
        <v/>
      </c>
      <c r="K495" s="29" t="str">
        <f>IF(AND('RAW DATA'!$B495&lt;&gt;"",'RAW DATA'!L495=1),1,"")</f>
        <v/>
      </c>
      <c r="L495" s="24" t="str">
        <f t="shared" si="15"/>
        <v/>
      </c>
    </row>
    <row r="496" spans="2:12" x14ac:dyDescent="0.25">
      <c r="B496" s="1" t="str">
        <f>IF('RAW DATA'!$C498&lt;&gt;"",'RAW DATA'!$C498,"")</f>
        <v/>
      </c>
      <c r="C496" s="1" t="str">
        <f>IF('RAW DATA'!$D498&lt;&gt;"",'RAW DATA'!$D498,"")</f>
        <v/>
      </c>
      <c r="D496" s="1" t="str">
        <f>IF(AND($B495&lt;&gt;"", $B496=""), "TOTAL:", IF($D495="TOTAL:","VESSEL TARGET "&amp;'RAW DATA'!$E$2&amp;":",IF('RAW DATA'!$E496&lt;&gt;"",'RAW DATA'!$E496,"")))</f>
        <v/>
      </c>
      <c r="E496" s="29" t="str">
        <f t="shared" si="14"/>
        <v/>
      </c>
      <c r="F496" s="4" t="str">
        <f>IF($D495="TOTAL:",FIXED(ROUND(((SUM($F$4:$F494)/'RAW DATA'!$E$2)*100),1),1)&amp;"%",IF($D496="TOTAL:",SUM($F$4:$F495),IF(SUMIF('RAW DATA'!M:M,'RAW DATA'!B496,'RAW DATA'!H:H)=0,"",SUMIF('RAW DATA'!M:M,'RAW DATA'!B496,'RAW DATA'!H:H))))</f>
        <v/>
      </c>
      <c r="G496" s="4" t="str">
        <f>IF($D495="TOTAL:",FIXED(ROUND(((SUM($G$4:$G494)/'RAW DATA'!$E$2)*100),1),1)&amp;"%",IF($D496="TOTAL:",SUM($G$4:$G495),IF(SUMIF('RAW DATA'!M:M,'RAW DATA'!B496,'RAW DATA'!I:I)=0,"",SUMIF('RAW DATA'!M:M,'RAW DATA'!B496,'RAW DATA'!I:I))))</f>
        <v/>
      </c>
      <c r="H496" s="4" t="str">
        <f>IF(SUM(SUMIF('RAW DATA'!M:M,'RAW DATA'!B496,'RAW DATA'!J:J),SUMIF('RAW DATA'!N:N,'RAW DATA'!B496,'RAW DATA'!J:J),SUMIF('RAW DATA'!O:O,'RAW DATA'!B496,'RAW DATA'!J:J),SUMIF('RAW DATA'!P:P,'RAW DATA'!B496,'RAW DATA'!J:J))=0, "", SUM(SUMIF('RAW DATA'!M:M,'RAW DATA'!B496,'RAW DATA'!J:J),SUMIF('RAW DATA'!N:N,'RAW DATA'!B496,'RAW DATA'!J:J),SUMIF('RAW DATA'!O:O,'RAW DATA'!B496,'RAW DATA'!J:J),SUMIF('RAW DATA'!P:P,'RAW DATA'!B496,'RAW DATA'!J:J)))</f>
        <v/>
      </c>
      <c r="I496" s="4" t="str">
        <f>IF(SUMIF('RAW DATA'!M:M,'RAW DATA'!B496, 'RAW DATA'!K:K)=0, "", SUMIF('RAW DATA'!M:M,'RAW DATA'!B496, 'RAW DATA'!K:K))</f>
        <v/>
      </c>
      <c r="J496" s="29" t="str">
        <f>IF('RAW DATA'!B496&lt;&gt;"",IF(OR('RAW DATA'!H496=1,'RAW DATA'!H496=2),1,IF(ISNUMBER(FIND("Medic",'RAW DATA'!E496)),1,"")),"")</f>
        <v/>
      </c>
      <c r="K496" s="29" t="str">
        <f>IF(AND('RAW DATA'!$B496&lt;&gt;"",'RAW DATA'!L496=1),1,"")</f>
        <v/>
      </c>
      <c r="L496" s="24" t="str">
        <f t="shared" si="15"/>
        <v/>
      </c>
    </row>
    <row r="497" spans="2:12" x14ac:dyDescent="0.25">
      <c r="B497" s="1" t="str">
        <f>IF('RAW DATA'!$C499&lt;&gt;"",'RAW DATA'!$C499,"")</f>
        <v/>
      </c>
      <c r="C497" s="1" t="str">
        <f>IF('RAW DATA'!$D499&lt;&gt;"",'RAW DATA'!$D499,"")</f>
        <v/>
      </c>
      <c r="D497" s="1" t="str">
        <f>IF(AND($B496&lt;&gt;"", $B497=""), "TOTAL:", IF($D496="TOTAL:","VESSEL TARGET "&amp;'RAW DATA'!$E$2&amp;":",IF('RAW DATA'!$E497&lt;&gt;"",'RAW DATA'!$E497,"")))</f>
        <v/>
      </c>
      <c r="E497" s="29" t="str">
        <f t="shared" si="14"/>
        <v/>
      </c>
      <c r="F497" s="4" t="str">
        <f>IF($D496="TOTAL:",FIXED(ROUND(((SUM($F$4:$F495)/'RAW DATA'!$E$2)*100),1),1)&amp;"%",IF($D497="TOTAL:",SUM($F$4:$F496),IF(SUMIF('RAW DATA'!M:M,'RAW DATA'!B497,'RAW DATA'!H:H)=0,"",SUMIF('RAW DATA'!M:M,'RAW DATA'!B497,'RAW DATA'!H:H))))</f>
        <v/>
      </c>
      <c r="G497" s="4" t="str">
        <f>IF($D496="TOTAL:",FIXED(ROUND(((SUM($G$4:$G495)/'RAW DATA'!$E$2)*100),1),1)&amp;"%",IF($D497="TOTAL:",SUM($G$4:$G496),IF(SUMIF('RAW DATA'!M:M,'RAW DATA'!B497,'RAW DATA'!I:I)=0,"",SUMIF('RAW DATA'!M:M,'RAW DATA'!B497,'RAW DATA'!I:I))))</f>
        <v/>
      </c>
      <c r="H497" s="4" t="str">
        <f>IF(SUM(SUMIF('RAW DATA'!M:M,'RAW DATA'!B497,'RAW DATA'!J:J),SUMIF('RAW DATA'!N:N,'RAW DATA'!B497,'RAW DATA'!J:J),SUMIF('RAW DATA'!O:O,'RAW DATA'!B497,'RAW DATA'!J:J),SUMIF('RAW DATA'!P:P,'RAW DATA'!B497,'RAW DATA'!J:J))=0, "", SUM(SUMIF('RAW DATA'!M:M,'RAW DATA'!B497,'RAW DATA'!J:J),SUMIF('RAW DATA'!N:N,'RAW DATA'!B497,'RAW DATA'!J:J),SUMIF('RAW DATA'!O:O,'RAW DATA'!B497,'RAW DATA'!J:J),SUMIF('RAW DATA'!P:P,'RAW DATA'!B497,'RAW DATA'!J:J)))</f>
        <v/>
      </c>
      <c r="I497" s="4" t="str">
        <f>IF(SUMIF('RAW DATA'!M:M,'RAW DATA'!B497, 'RAW DATA'!K:K)=0, "", SUMIF('RAW DATA'!M:M,'RAW DATA'!B497, 'RAW DATA'!K:K))</f>
        <v/>
      </c>
      <c r="J497" s="29" t="str">
        <f>IF('RAW DATA'!B497&lt;&gt;"",IF(OR('RAW DATA'!H497=1,'RAW DATA'!H497=2),1,IF(ISNUMBER(FIND("Medic",'RAW DATA'!E497)),1,"")),"")</f>
        <v/>
      </c>
      <c r="K497" s="29" t="str">
        <f>IF(AND('RAW DATA'!$B497&lt;&gt;"",'RAW DATA'!L497=1),1,"")</f>
        <v/>
      </c>
      <c r="L497" s="24" t="str">
        <f t="shared" si="15"/>
        <v/>
      </c>
    </row>
    <row r="498" spans="2:12" x14ac:dyDescent="0.25">
      <c r="B498" s="1" t="str">
        <f>IF('RAW DATA'!$C500&lt;&gt;"",'RAW DATA'!$C500,"")</f>
        <v/>
      </c>
      <c r="C498" s="1" t="str">
        <f>IF('RAW DATA'!$D500&lt;&gt;"",'RAW DATA'!$D500,"")</f>
        <v/>
      </c>
      <c r="D498" s="1" t="str">
        <f>IF(AND($B497&lt;&gt;"", $B498=""), "TOTAL:", IF($D497="TOTAL:","VESSEL TARGET "&amp;'RAW DATA'!$E$2&amp;":",IF('RAW DATA'!$E498&lt;&gt;"",'RAW DATA'!$E498,"")))</f>
        <v/>
      </c>
      <c r="E498" s="29" t="str">
        <f t="shared" si="14"/>
        <v/>
      </c>
      <c r="F498" s="4" t="str">
        <f>IF($D497="TOTAL:",FIXED(ROUND(((SUM($F$4:$F496)/'RAW DATA'!$E$2)*100),1),1)&amp;"%",IF($D498="TOTAL:",SUM($F$4:$F497),IF(SUMIF('RAW DATA'!M:M,'RAW DATA'!B498,'RAW DATA'!H:H)=0,"",SUMIF('RAW DATA'!M:M,'RAW DATA'!B498,'RAW DATA'!H:H))))</f>
        <v/>
      </c>
      <c r="G498" s="4" t="str">
        <f>IF($D497="TOTAL:",FIXED(ROUND(((SUM($G$4:$G496)/'RAW DATA'!$E$2)*100),1),1)&amp;"%",IF($D498="TOTAL:",SUM($G$4:$G497),IF(SUMIF('RAW DATA'!M:M,'RAW DATA'!B498,'RAW DATA'!I:I)=0,"",SUMIF('RAW DATA'!M:M,'RAW DATA'!B498,'RAW DATA'!I:I))))</f>
        <v/>
      </c>
      <c r="H498" s="4" t="str">
        <f>IF(SUM(SUMIF('RAW DATA'!M:M,'RAW DATA'!B498,'RAW DATA'!J:J),SUMIF('RAW DATA'!N:N,'RAW DATA'!B498,'RAW DATA'!J:J),SUMIF('RAW DATA'!O:O,'RAW DATA'!B498,'RAW DATA'!J:J),SUMIF('RAW DATA'!P:P,'RAW DATA'!B498,'RAW DATA'!J:J))=0, "", SUM(SUMIF('RAW DATA'!M:M,'RAW DATA'!B498,'RAW DATA'!J:J),SUMIF('RAW DATA'!N:N,'RAW DATA'!B498,'RAW DATA'!J:J),SUMIF('RAW DATA'!O:O,'RAW DATA'!B498,'RAW DATA'!J:J),SUMIF('RAW DATA'!P:P,'RAW DATA'!B498,'RAW DATA'!J:J)))</f>
        <v/>
      </c>
      <c r="I498" s="4" t="str">
        <f>IF(SUMIF('RAW DATA'!M:M,'RAW DATA'!B498, 'RAW DATA'!K:K)=0, "", SUMIF('RAW DATA'!M:M,'RAW DATA'!B498, 'RAW DATA'!K:K))</f>
        <v/>
      </c>
      <c r="J498" s="29" t="str">
        <f>IF('RAW DATA'!B498&lt;&gt;"",IF(OR('RAW DATA'!H498=1,'RAW DATA'!H498=2),1,IF(ISNUMBER(FIND("Medic",'RAW DATA'!E498)),1,"")),"")</f>
        <v/>
      </c>
      <c r="K498" s="29" t="str">
        <f>IF(AND('RAW DATA'!$B498&lt;&gt;"",'RAW DATA'!L498=1),1,"")</f>
        <v/>
      </c>
      <c r="L498" s="24" t="str">
        <f t="shared" si="15"/>
        <v/>
      </c>
    </row>
    <row r="499" spans="2:12" x14ac:dyDescent="0.25">
      <c r="B499" s="1" t="str">
        <f>IF('RAW DATA'!$C501&lt;&gt;"",'RAW DATA'!$C501,"")</f>
        <v/>
      </c>
      <c r="C499" s="1" t="str">
        <f>IF('RAW DATA'!$D501&lt;&gt;"",'RAW DATA'!$D501,"")</f>
        <v/>
      </c>
      <c r="D499" s="1" t="str">
        <f>IF(AND($B498&lt;&gt;"", $B499=""), "TOTAL:", IF($D498="TOTAL:","VESSEL TARGET "&amp;'RAW DATA'!$E$2&amp;":",IF('RAW DATA'!$E499&lt;&gt;"",'RAW DATA'!$E499,"")))</f>
        <v/>
      </c>
      <c r="E499" s="29" t="str">
        <f t="shared" si="14"/>
        <v/>
      </c>
      <c r="F499" s="4" t="str">
        <f>IF($D498="TOTAL:",FIXED(ROUND(((SUM($F$4:$F497)/'RAW DATA'!$E$2)*100),1),1)&amp;"%",IF($D499="TOTAL:",SUM($F$4:$F498),IF(SUMIF('RAW DATA'!M:M,'RAW DATA'!B499,'RAW DATA'!H:H)=0,"",SUMIF('RAW DATA'!M:M,'RAW DATA'!B499,'RAW DATA'!H:H))))</f>
        <v/>
      </c>
      <c r="G499" s="4" t="str">
        <f>IF($D498="TOTAL:",FIXED(ROUND(((SUM($G$4:$G497)/'RAW DATA'!$E$2)*100),1),1)&amp;"%",IF($D499="TOTAL:",SUM($G$4:$G498),IF(SUMIF('RAW DATA'!M:M,'RAW DATA'!B499,'RAW DATA'!I:I)=0,"",SUMIF('RAW DATA'!M:M,'RAW DATA'!B499,'RAW DATA'!I:I))))</f>
        <v/>
      </c>
      <c r="H499" s="4" t="str">
        <f>IF(SUM(SUMIF('RAW DATA'!M:M,'RAW DATA'!B499,'RAW DATA'!J:J),SUMIF('RAW DATA'!N:N,'RAW DATA'!B499,'RAW DATA'!J:J),SUMIF('RAW DATA'!O:O,'RAW DATA'!B499,'RAW DATA'!J:J),SUMIF('RAW DATA'!P:P,'RAW DATA'!B499,'RAW DATA'!J:J))=0, "", SUM(SUMIF('RAW DATA'!M:M,'RAW DATA'!B499,'RAW DATA'!J:J),SUMIF('RAW DATA'!N:N,'RAW DATA'!B499,'RAW DATA'!J:J),SUMIF('RAW DATA'!O:O,'RAW DATA'!B499,'RAW DATA'!J:J),SUMIF('RAW DATA'!P:P,'RAW DATA'!B499,'RAW DATA'!J:J)))</f>
        <v/>
      </c>
      <c r="I499" s="4" t="str">
        <f>IF(SUMIF('RAW DATA'!M:M,'RAW DATA'!B499, 'RAW DATA'!K:K)=0, "", SUMIF('RAW DATA'!M:M,'RAW DATA'!B499, 'RAW DATA'!K:K))</f>
        <v/>
      </c>
      <c r="J499" s="29" t="str">
        <f>IF('RAW DATA'!B499&lt;&gt;"",IF(OR('RAW DATA'!H499=1,'RAW DATA'!H499=2),1,IF(ISNUMBER(FIND("Medic",'RAW DATA'!E499)),1,"")),"")</f>
        <v/>
      </c>
      <c r="K499" s="29" t="str">
        <f>IF(AND('RAW DATA'!$B499&lt;&gt;"",'RAW DATA'!L499=1),1,"")</f>
        <v/>
      </c>
      <c r="L499" s="24" t="str">
        <f t="shared" si="15"/>
        <v/>
      </c>
    </row>
    <row r="500" spans="2:12" x14ac:dyDescent="0.25">
      <c r="B500" s="1" t="str">
        <f>IF('RAW DATA'!$C502&lt;&gt;"",'RAW DATA'!$C502,"")</f>
        <v/>
      </c>
      <c r="C500" s="1" t="str">
        <f>IF('RAW DATA'!$D502&lt;&gt;"",'RAW DATA'!$D502,"")</f>
        <v/>
      </c>
      <c r="D500" s="1" t="str">
        <f>IF(AND($B499&lt;&gt;"", $B500=""), "TOTAL:", IF($D499="TOTAL:","VESSEL TARGET "&amp;'RAW DATA'!$E$2&amp;":",IF('RAW DATA'!$E500&lt;&gt;"",'RAW DATA'!$E500,"")))</f>
        <v/>
      </c>
      <c r="E500" s="29" t="str">
        <f t="shared" si="14"/>
        <v/>
      </c>
      <c r="F500" s="4" t="str">
        <f>IF($D499="TOTAL:",FIXED(ROUND(((SUM($F$4:$F498)/'RAW DATA'!$E$2)*100),1),1)&amp;"%",IF($D500="TOTAL:",SUM($F$4:$F499),IF(SUMIF('RAW DATA'!M:M,'RAW DATA'!B500,'RAW DATA'!H:H)=0,"",SUMIF('RAW DATA'!M:M,'RAW DATA'!B500,'RAW DATA'!H:H))))</f>
        <v/>
      </c>
      <c r="G500" s="4" t="str">
        <f>IF($D499="TOTAL:",FIXED(ROUND(((SUM($G$4:$G498)/'RAW DATA'!$E$2)*100),1),1)&amp;"%",IF($D500="TOTAL:",SUM($G$4:$G499),IF(SUMIF('RAW DATA'!M:M,'RAW DATA'!B500,'RAW DATA'!I:I)=0,"",SUMIF('RAW DATA'!M:M,'RAW DATA'!B500,'RAW DATA'!I:I))))</f>
        <v/>
      </c>
      <c r="H500" s="4" t="str">
        <f>IF(SUM(SUMIF('RAW DATA'!M:M,'RAW DATA'!B500,'RAW DATA'!J:J),SUMIF('RAW DATA'!N:N,'RAW DATA'!B500,'RAW DATA'!J:J),SUMIF('RAW DATA'!O:O,'RAW DATA'!B500,'RAW DATA'!J:J),SUMIF('RAW DATA'!P:P,'RAW DATA'!B500,'RAW DATA'!J:J))=0, "", SUM(SUMIF('RAW DATA'!M:M,'RAW DATA'!B500,'RAW DATA'!J:J),SUMIF('RAW DATA'!N:N,'RAW DATA'!B500,'RAW DATA'!J:J),SUMIF('RAW DATA'!O:O,'RAW DATA'!B500,'RAW DATA'!J:J),SUMIF('RAW DATA'!P:P,'RAW DATA'!B500,'RAW DATA'!J:J)))</f>
        <v/>
      </c>
      <c r="I500" s="4" t="str">
        <f>IF(SUMIF('RAW DATA'!M:M,'RAW DATA'!B500, 'RAW DATA'!K:K)=0, "", SUMIF('RAW DATA'!M:M,'RAW DATA'!B500, 'RAW DATA'!K:K))</f>
        <v/>
      </c>
      <c r="J500" s="29" t="str">
        <f>IF('RAW DATA'!B500&lt;&gt;"",IF(OR('RAW DATA'!H500=1,'RAW DATA'!H500=2),1,IF(ISNUMBER(FIND("Medic",'RAW DATA'!E500)),1,"")),"")</f>
        <v/>
      </c>
      <c r="K500" s="29" t="str">
        <f>IF(AND('RAW DATA'!$B500&lt;&gt;"",'RAW DATA'!L500=1),1,"")</f>
        <v/>
      </c>
      <c r="L500" s="24" t="str">
        <f t="shared" si="15"/>
        <v/>
      </c>
    </row>
    <row r="501" spans="2:12" x14ac:dyDescent="0.25">
      <c r="B501" s="27" t="str">
        <f>IF('RAW DATA'!$C503&lt;&gt;"",'RAW DATA'!$C503,"")</f>
        <v/>
      </c>
      <c r="C501" s="27" t="str">
        <f>IF('RAW DATA'!$D503&lt;&gt;"",'RAW DATA'!$D503,"")</f>
        <v/>
      </c>
      <c r="D501" s="1" t="str">
        <f>IF(AND($B500&lt;&gt;"", $B501=""), "TOTAL:", IF($D500="TOTAL:","VESSEL TARGET "&amp;'RAW DATA'!$E$2&amp;":",IF('RAW DATA'!$E501&lt;&gt;"",'RAW DATA'!$E501,"")))</f>
        <v/>
      </c>
      <c r="E501" s="29" t="str">
        <f t="shared" si="14"/>
        <v/>
      </c>
      <c r="F501" s="4" t="str">
        <f>IF($D500="TOTAL:",FIXED(ROUND(((SUM($F$4:$F499)/'RAW DATA'!$E$2)*100),1),1)&amp;"%",IF($D501="TOTAL:",SUM($F$4:$F500),IF(SUMIF('RAW DATA'!M:M,'RAW DATA'!B501,'RAW DATA'!H:H)=0,"",SUMIF('RAW DATA'!M:M,'RAW DATA'!B501,'RAW DATA'!H:H))))</f>
        <v/>
      </c>
      <c r="G501" s="4" t="str">
        <f>IF($D500="TOTAL:",FIXED(ROUND(((SUM($G$4:$G499)/'RAW DATA'!$E$2)*100),1),1)&amp;"%",IF($D501="TOTAL:",SUM($G$4:$G500),IF(SUMIF('RAW DATA'!M:M,'RAW DATA'!B501,'RAW DATA'!I:I)=0,"",SUMIF('RAW DATA'!M:M,'RAW DATA'!B501,'RAW DATA'!I:I))))</f>
        <v/>
      </c>
      <c r="H501" s="4" t="str">
        <f>IF(SUM(SUMIF('RAW DATA'!M:M,'RAW DATA'!B501,'RAW DATA'!J:J),SUMIF('RAW DATA'!N:N,'RAW DATA'!B501,'RAW DATA'!J:J),SUMIF('RAW DATA'!O:O,'RAW DATA'!B501,'RAW DATA'!J:J),SUMIF('RAW DATA'!P:P,'RAW DATA'!B501,'RAW DATA'!J:J))=0, "", SUM(SUMIF('RAW DATA'!M:M,'RAW DATA'!B501,'RAW DATA'!J:J),SUMIF('RAW DATA'!N:N,'RAW DATA'!B501,'RAW DATA'!J:J),SUMIF('RAW DATA'!O:O,'RAW DATA'!B501,'RAW DATA'!J:J),SUMIF('RAW DATA'!P:P,'RAW DATA'!B501,'RAW DATA'!J:J)))</f>
        <v/>
      </c>
      <c r="I501" s="4" t="str">
        <f>IF(SUMIF('RAW DATA'!M:M,'RAW DATA'!B501, 'RAW DATA'!K:K)=0, "", SUMIF('RAW DATA'!M:M,'RAW DATA'!B501, 'RAW DATA'!K:K))</f>
        <v/>
      </c>
      <c r="J501" s="29" t="str">
        <f>IF('RAW DATA'!B501&lt;&gt;"",IF(OR('RAW DATA'!H501=1,'RAW DATA'!H501=2),1,IF(ISNUMBER(FIND("Medic",'RAW DATA'!E501)),1,"")),"")</f>
        <v/>
      </c>
      <c r="K501" s="29" t="str">
        <f>IF(AND('RAW DATA'!$B501&lt;&gt;"",'RAW DATA'!L501=1),1,"")</f>
        <v/>
      </c>
      <c r="L501" s="24" t="str">
        <f t="shared" si="15"/>
        <v/>
      </c>
    </row>
    <row r="502" spans="2:12" x14ac:dyDescent="0.25">
      <c r="B502" s="27" t="str">
        <f>IF('RAW DATA'!$C504&lt;&gt;"",'RAW DATA'!$C504,"")</f>
        <v/>
      </c>
      <c r="C502" s="27" t="str">
        <f>IF('RAW DATA'!$D504&lt;&gt;"",'RAW DATA'!$D504,"")</f>
        <v/>
      </c>
      <c r="D502" s="1" t="str">
        <f>IF(AND($B501&lt;&gt;"", $B502=""), "TOTAL:", IF($D501="TOTAL:","VESSEL TARGET "&amp;'RAW DATA'!$E$2&amp;":",IF('RAW DATA'!$E502&lt;&gt;"",'RAW DATA'!$E502,"")))</f>
        <v/>
      </c>
      <c r="E502" s="29" t="str">
        <f t="shared" si="14"/>
        <v/>
      </c>
      <c r="F502" s="4" t="str">
        <f>IF($D501="TOTAL:",FIXED(ROUND(((SUM($F$4:$F500)/'RAW DATA'!$E$2)*100),1),1)&amp;"%",IF($D502="TOTAL:",SUM($F$4:$F501),IF(SUMIF('RAW DATA'!M:M,'RAW DATA'!B502,'RAW DATA'!H:H)=0,"",SUMIF('RAW DATA'!M:M,'RAW DATA'!B502,'RAW DATA'!H:H))))</f>
        <v/>
      </c>
      <c r="G502" s="4" t="str">
        <f>IF($D501="TOTAL:",FIXED(ROUND(((SUM($G$4:$G500)/'RAW DATA'!$E$2)*100),1),1)&amp;"%",IF($D502="TOTAL:",SUM($G$4:$G501),IF(SUMIF('RAW DATA'!M:M,'RAW DATA'!B502,'RAW DATA'!I:I)=0,"",SUMIF('RAW DATA'!M:M,'RAW DATA'!B502,'RAW DATA'!I:I))))</f>
        <v/>
      </c>
      <c r="H502" s="4" t="str">
        <f>IF(SUM(SUMIF('RAW DATA'!M:M,'RAW DATA'!B502,'RAW DATA'!J:J),SUMIF('RAW DATA'!N:N,'RAW DATA'!B502,'RAW DATA'!J:J),SUMIF('RAW DATA'!O:O,'RAW DATA'!B502,'RAW DATA'!J:J),SUMIF('RAW DATA'!P:P,'RAW DATA'!B502,'RAW DATA'!J:J))=0, "", SUM(SUMIF('RAW DATA'!M:M,'RAW DATA'!B502,'RAW DATA'!J:J),SUMIF('RAW DATA'!N:N,'RAW DATA'!B502,'RAW DATA'!J:J),SUMIF('RAW DATA'!O:O,'RAW DATA'!B502,'RAW DATA'!J:J),SUMIF('RAW DATA'!P:P,'RAW DATA'!B502,'RAW DATA'!J:J)))</f>
        <v/>
      </c>
      <c r="I502" s="4" t="str">
        <f>IF(SUMIF('RAW DATA'!M:M,'RAW DATA'!B502, 'RAW DATA'!K:K)=0, "", SUMIF('RAW DATA'!M:M,'RAW DATA'!B502, 'RAW DATA'!K:K))</f>
        <v/>
      </c>
      <c r="J502" s="29" t="str">
        <f>IF('RAW DATA'!B502&lt;&gt;"",IF(OR('RAW DATA'!H502=1,'RAW DATA'!H502=2),1,IF(ISNUMBER(FIND("Medic",'RAW DATA'!E502)),1,"")),"")</f>
        <v/>
      </c>
      <c r="K502" s="29" t="str">
        <f>IF(AND('RAW DATA'!$B502&lt;&gt;"",'RAW DATA'!L502=1),1,"")</f>
        <v/>
      </c>
      <c r="L502" s="24" t="str">
        <f t="shared" si="15"/>
        <v/>
      </c>
    </row>
    <row r="503" spans="2:12" x14ac:dyDescent="0.25">
      <c r="B503" s="27" t="str">
        <f>IF('RAW DATA'!$C505&lt;&gt;"",'RAW DATA'!$C505,"")</f>
        <v/>
      </c>
      <c r="C503" s="27" t="str">
        <f>IF('RAW DATA'!$D505&lt;&gt;"",'RAW DATA'!$D505,"")</f>
        <v/>
      </c>
      <c r="D503" s="1" t="str">
        <f>IF(AND($B502&lt;&gt;"", $B503=""), "TOTAL:", IF($D502="TOTAL:","VESSEL TARGET "&amp;'RAW DATA'!$E$2&amp;":",IF('RAW DATA'!$E503&lt;&gt;"",'RAW DATA'!$E503,"")))</f>
        <v/>
      </c>
      <c r="E503" s="29" t="str">
        <f t="shared" si="14"/>
        <v/>
      </c>
      <c r="F503" s="4" t="str">
        <f>IF($D502="TOTAL:",FIXED(ROUND(((SUM($F$4:$F501)/'RAW DATA'!$E$2)*100),1),1)&amp;"%",IF($D503="TOTAL:",SUM($F$4:$F502),IF(SUMIF('RAW DATA'!M:M,'RAW DATA'!B503,'RAW DATA'!H:H)=0,"",SUMIF('RAW DATA'!M:M,'RAW DATA'!B503,'RAW DATA'!H:H))))</f>
        <v/>
      </c>
      <c r="G503" s="4" t="str">
        <f>IF($D502="TOTAL:",FIXED(ROUND(((SUM($G$4:$G501)/'RAW DATA'!$E$2)*100),1),1)&amp;"%",IF($D503="TOTAL:",SUM($G$4:$G502),IF(SUMIF('RAW DATA'!M:M,'RAW DATA'!B503,'RAW DATA'!I:I)=0,"",SUMIF('RAW DATA'!M:M,'RAW DATA'!B503,'RAW DATA'!I:I))))</f>
        <v/>
      </c>
      <c r="H503" s="4" t="str">
        <f>IF(SUM(SUMIF('RAW DATA'!M:M,'RAW DATA'!B503,'RAW DATA'!J:J),SUMIF('RAW DATA'!N:N,'RAW DATA'!B503,'RAW DATA'!J:J),SUMIF('RAW DATA'!O:O,'RAW DATA'!B503,'RAW DATA'!J:J),SUMIF('RAW DATA'!P:P,'RAW DATA'!B503,'RAW DATA'!J:J))=0, "", SUM(SUMIF('RAW DATA'!M:M,'RAW DATA'!B503,'RAW DATA'!J:J),SUMIF('RAW DATA'!N:N,'RAW DATA'!B503,'RAW DATA'!J:J),SUMIF('RAW DATA'!O:O,'RAW DATA'!B503,'RAW DATA'!J:J),SUMIF('RAW DATA'!P:P,'RAW DATA'!B503,'RAW DATA'!J:J)))</f>
        <v/>
      </c>
      <c r="I503" s="4" t="str">
        <f>IF(SUMIF('RAW DATA'!M:M,'RAW DATA'!B503, 'RAW DATA'!K:K)=0, "", SUMIF('RAW DATA'!M:M,'RAW DATA'!B503, 'RAW DATA'!K:K))</f>
        <v/>
      </c>
      <c r="J503" s="29" t="str">
        <f>IF('RAW DATA'!B503&lt;&gt;"",IF(OR('RAW DATA'!H503=1,'RAW DATA'!H503=2),1,IF(ISNUMBER(FIND("Medic",'RAW DATA'!E503)),1,"")),"")</f>
        <v/>
      </c>
      <c r="K503" s="29" t="str">
        <f>IF(AND('RAW DATA'!$B503&lt;&gt;"",'RAW DATA'!L503=1),1,"")</f>
        <v/>
      </c>
      <c r="L503" s="24" t="str">
        <f t="shared" si="15"/>
        <v/>
      </c>
    </row>
    <row r="504" spans="2:12" x14ac:dyDescent="0.25">
      <c r="B504" s="27" t="str">
        <f>IF('RAW DATA'!$C506&lt;&gt;"",'RAW DATA'!$C506,"")</f>
        <v/>
      </c>
      <c r="C504" s="27" t="str">
        <f>IF('RAW DATA'!$D506&lt;&gt;"",'RAW DATA'!$D506,"")</f>
        <v/>
      </c>
      <c r="D504" s="1" t="str">
        <f>IF(AND($B503&lt;&gt;"", $B504=""), "TOTAL:", IF($D503="TOTAL:","VESSEL TARGET "&amp;'RAW DATA'!$E$2&amp;":",IF('RAW DATA'!$E504&lt;&gt;"",'RAW DATA'!$E504,"")))</f>
        <v/>
      </c>
      <c r="E504" s="29" t="str">
        <f t="shared" si="14"/>
        <v/>
      </c>
      <c r="F504" s="4" t="str">
        <f>IF($D503="TOTAL:",FIXED(ROUND(((SUM($F$4:$F502)/'RAW DATA'!$E$2)*100),1),1)&amp;"%",IF($D504="TOTAL:",SUM($F$4:$F503),IF(SUMIF('RAW DATA'!M:M,'RAW DATA'!B504,'RAW DATA'!H:H)=0,"",SUMIF('RAW DATA'!M:M,'RAW DATA'!B504,'RAW DATA'!H:H))))</f>
        <v/>
      </c>
      <c r="G504" s="4" t="str">
        <f>IF($D503="TOTAL:",FIXED(ROUND(((SUM($G$4:$G502)/'RAW DATA'!$E$2)*100),1),1)&amp;"%",IF($D504="TOTAL:",SUM($G$4:$G503),IF(SUMIF('RAW DATA'!M:M,'RAW DATA'!B504,'RAW DATA'!I:I)=0,"",SUMIF('RAW DATA'!M:M,'RAW DATA'!B504,'RAW DATA'!I:I))))</f>
        <v/>
      </c>
      <c r="H504" s="4" t="str">
        <f>IF(SUM(SUMIF('RAW DATA'!M:M,'RAW DATA'!B504,'RAW DATA'!J:J),SUMIF('RAW DATA'!N:N,'RAW DATA'!B504,'RAW DATA'!J:J),SUMIF('RAW DATA'!O:O,'RAW DATA'!B504,'RAW DATA'!J:J),SUMIF('RAW DATA'!P:P,'RAW DATA'!B504,'RAW DATA'!J:J))=0, "", SUM(SUMIF('RAW DATA'!M:M,'RAW DATA'!B504,'RAW DATA'!J:J),SUMIF('RAW DATA'!N:N,'RAW DATA'!B504,'RAW DATA'!J:J),SUMIF('RAW DATA'!O:O,'RAW DATA'!B504,'RAW DATA'!J:J),SUMIF('RAW DATA'!P:P,'RAW DATA'!B504,'RAW DATA'!J:J)))</f>
        <v/>
      </c>
      <c r="I504" s="4" t="str">
        <f>IF(SUMIF('RAW DATA'!M:M,'RAW DATA'!B504, 'RAW DATA'!K:K)=0, "", SUMIF('RAW DATA'!M:M,'RAW DATA'!B504, 'RAW DATA'!K:K))</f>
        <v/>
      </c>
      <c r="J504" s="29" t="str">
        <f>IF('RAW DATA'!B504&lt;&gt;"",IF(OR('RAW DATA'!H504=1,'RAW DATA'!H504=2),1,IF(ISNUMBER(FIND("Medic",'RAW DATA'!E504)),1,"")),"")</f>
        <v/>
      </c>
      <c r="K504" s="29" t="str">
        <f>IF(AND('RAW DATA'!$B504&lt;&gt;"",'RAW DATA'!L504=1),1,"")</f>
        <v/>
      </c>
      <c r="L504" s="24" t="str">
        <f t="shared" si="15"/>
        <v/>
      </c>
    </row>
    <row r="505" spans="2:12" x14ac:dyDescent="0.25">
      <c r="B505" s="27" t="str">
        <f>IF('RAW DATA'!$C507&lt;&gt;"",'RAW DATA'!$C507,"")</f>
        <v/>
      </c>
      <c r="C505" s="27" t="str">
        <f>IF('RAW DATA'!$D507&lt;&gt;"",'RAW DATA'!$D507,"")</f>
        <v/>
      </c>
      <c r="D505" s="1" t="str">
        <f>IF(AND($B504&lt;&gt;"", $B505=""), "TOTAL:", IF($D504="TOTAL:","VESSEL TARGET "&amp;'RAW DATA'!$E$2&amp;":",IF('RAW DATA'!$E505&lt;&gt;"",'RAW DATA'!$E505,"")))</f>
        <v/>
      </c>
      <c r="E505" s="29" t="str">
        <f t="shared" si="14"/>
        <v/>
      </c>
      <c r="F505" s="4" t="str">
        <f>IF($D504="TOTAL:",FIXED(ROUND(((SUM($F$4:$F503)/'RAW DATA'!$E$2)*100),1),1)&amp;"%",IF($D505="TOTAL:",SUM($F$4:$F504),IF(SUMIF('RAW DATA'!M:M,'RAW DATA'!B505,'RAW DATA'!H:H)=0,"",SUMIF('RAW DATA'!M:M,'RAW DATA'!B505,'RAW DATA'!H:H))))</f>
        <v/>
      </c>
      <c r="G505" s="4" t="str">
        <f>IF($D504="TOTAL:",FIXED(ROUND(((SUM($G$4:$G503)/'RAW DATA'!$E$2)*100),1),1)&amp;"%",IF($D505="TOTAL:",SUM($G$4:$G504),IF(SUMIF('RAW DATA'!M:M,'RAW DATA'!B505,'RAW DATA'!I:I)=0,"",SUMIF('RAW DATA'!M:M,'RAW DATA'!B505,'RAW DATA'!I:I))))</f>
        <v/>
      </c>
      <c r="H505" s="4" t="str">
        <f>IF(SUM(SUMIF('RAW DATA'!M:M,'RAW DATA'!B505,'RAW DATA'!J:J),SUMIF('RAW DATA'!N:N,'RAW DATA'!B505,'RAW DATA'!J:J),SUMIF('RAW DATA'!O:O,'RAW DATA'!B505,'RAW DATA'!J:J),SUMIF('RAW DATA'!P:P,'RAW DATA'!B505,'RAW DATA'!J:J))=0, "", SUM(SUMIF('RAW DATA'!M:M,'RAW DATA'!B505,'RAW DATA'!J:J),SUMIF('RAW DATA'!N:N,'RAW DATA'!B505,'RAW DATA'!J:J),SUMIF('RAW DATA'!O:O,'RAW DATA'!B505,'RAW DATA'!J:J),SUMIF('RAW DATA'!P:P,'RAW DATA'!B505,'RAW DATA'!J:J)))</f>
        <v/>
      </c>
      <c r="I505" s="4" t="str">
        <f>IF(SUMIF('RAW DATA'!M:M,'RAW DATA'!B505, 'RAW DATA'!K:K)=0, "", SUMIF('RAW DATA'!M:M,'RAW DATA'!B505, 'RAW DATA'!K:K))</f>
        <v/>
      </c>
      <c r="J505" s="29" t="str">
        <f>IF('RAW DATA'!B505&lt;&gt;"",IF(OR('RAW DATA'!H505=1,'RAW DATA'!H505=2),1,IF(ISNUMBER(FIND("Medic",'RAW DATA'!E505)),1,"")),"")</f>
        <v/>
      </c>
      <c r="K505" s="29" t="str">
        <f>IF(AND('RAW DATA'!$B505&lt;&gt;"",'RAW DATA'!L505=1),1,"")</f>
        <v/>
      </c>
      <c r="L505" s="24" t="str">
        <f t="shared" si="15"/>
        <v/>
      </c>
    </row>
    <row r="506" spans="2:12" x14ac:dyDescent="0.25">
      <c r="B506" s="27" t="str">
        <f>IF('RAW DATA'!$C508&lt;&gt;"",'RAW DATA'!$C508,"")</f>
        <v/>
      </c>
      <c r="C506" s="27" t="str">
        <f>IF('RAW DATA'!$D508&lt;&gt;"",'RAW DATA'!$D508,"")</f>
        <v/>
      </c>
      <c r="D506" s="1" t="str">
        <f>IF(AND($B505&lt;&gt;"", $B506=""), "TOTAL:", IF($D505="TOTAL:","VESSEL TARGET "&amp;'RAW DATA'!$E$2&amp;":",IF('RAW DATA'!$E506&lt;&gt;"",'RAW DATA'!$E506,"")))</f>
        <v/>
      </c>
      <c r="E506" s="29" t="str">
        <f t="shared" si="14"/>
        <v/>
      </c>
      <c r="F506" s="4" t="str">
        <f>IF($D505="TOTAL:",FIXED(ROUND(((SUM($F$4:$F504)/'RAW DATA'!$E$2)*100),1),1)&amp;"%",IF($D506="TOTAL:",SUM($F$4:$F505),IF(SUMIF('RAW DATA'!M:M,'RAW DATA'!B506,'RAW DATA'!H:H)=0,"",SUMIF('RAW DATA'!M:M,'RAW DATA'!B506,'RAW DATA'!H:H))))</f>
        <v/>
      </c>
      <c r="G506" s="4" t="str">
        <f>IF($D505="TOTAL:",FIXED(ROUND(((SUM($G$4:$G504)/'RAW DATA'!$E$2)*100),1),1)&amp;"%",IF($D506="TOTAL:",SUM($G$4:$G505),IF(SUMIF('RAW DATA'!M:M,'RAW DATA'!B506,'RAW DATA'!I:I)=0,"",SUMIF('RAW DATA'!M:M,'RAW DATA'!B506,'RAW DATA'!I:I))))</f>
        <v/>
      </c>
      <c r="H506" s="4" t="str">
        <f>IF(SUM(SUMIF('RAW DATA'!M:M,'RAW DATA'!B506,'RAW DATA'!J:J),SUMIF('RAW DATA'!N:N,'RAW DATA'!B506,'RAW DATA'!J:J),SUMIF('RAW DATA'!O:O,'RAW DATA'!B506,'RAW DATA'!J:J),SUMIF('RAW DATA'!P:P,'RAW DATA'!B506,'RAW DATA'!J:J))=0, "", SUM(SUMIF('RAW DATA'!M:M,'RAW DATA'!B506,'RAW DATA'!J:J),SUMIF('RAW DATA'!N:N,'RAW DATA'!B506,'RAW DATA'!J:J),SUMIF('RAW DATA'!O:O,'RAW DATA'!B506,'RAW DATA'!J:J),SUMIF('RAW DATA'!P:P,'RAW DATA'!B506,'RAW DATA'!J:J)))</f>
        <v/>
      </c>
      <c r="I506" s="4" t="str">
        <f>IF(SUMIF('RAW DATA'!M:M,'RAW DATA'!B506, 'RAW DATA'!K:K)=0, "", SUMIF('RAW DATA'!M:M,'RAW DATA'!B506, 'RAW DATA'!K:K))</f>
        <v/>
      </c>
      <c r="J506" s="29" t="str">
        <f>IF('RAW DATA'!B506&lt;&gt;"",IF(OR('RAW DATA'!H506=1,'RAW DATA'!H506=2),1,IF(ISNUMBER(FIND("Medic",'RAW DATA'!E506)),1,"")),"")</f>
        <v/>
      </c>
      <c r="K506" s="29" t="str">
        <f>IF(AND('RAW DATA'!$B506&lt;&gt;"",'RAW DATA'!L506=1),1,"")</f>
        <v/>
      </c>
      <c r="L506" s="24" t="str">
        <f t="shared" si="15"/>
        <v/>
      </c>
    </row>
    <row r="507" spans="2:12" x14ac:dyDescent="0.25">
      <c r="B507" s="27" t="str">
        <f>IF('RAW DATA'!$C509&lt;&gt;"",'RAW DATA'!$C509,"")</f>
        <v/>
      </c>
      <c r="C507" s="27" t="str">
        <f>IF('RAW DATA'!$D509&lt;&gt;"",'RAW DATA'!$D509,"")</f>
        <v/>
      </c>
      <c r="D507" s="1" t="str">
        <f>IF(AND($B506&lt;&gt;"", $B507=""), "TOTAL:", IF($D506="TOTAL:","VESSEL TARGET "&amp;'RAW DATA'!$E$2&amp;":",IF('RAW DATA'!$E507&lt;&gt;"",'RAW DATA'!$E507,"")))</f>
        <v/>
      </c>
      <c r="E507" s="29" t="str">
        <f t="shared" si="14"/>
        <v/>
      </c>
      <c r="F507" s="4" t="str">
        <f>IF($D506="TOTAL:",FIXED(ROUND(((SUM($F$4:$F505)/'RAW DATA'!$E$2)*100),1),1)&amp;"%",IF($D507="TOTAL:",SUM($F$4:$F506),IF(SUMIF('RAW DATA'!M:M,'RAW DATA'!B507,'RAW DATA'!H:H)=0,"",SUMIF('RAW DATA'!M:M,'RAW DATA'!B507,'RAW DATA'!H:H))))</f>
        <v/>
      </c>
      <c r="G507" s="4" t="str">
        <f>IF($D506="TOTAL:",FIXED(ROUND(((SUM($G$4:$G505)/'RAW DATA'!$E$2)*100),1),1)&amp;"%",IF($D507="TOTAL:",SUM($G$4:$G506),IF(SUMIF('RAW DATA'!M:M,'RAW DATA'!B507,'RAW DATA'!I:I)=0,"",SUMIF('RAW DATA'!M:M,'RAW DATA'!B507,'RAW DATA'!I:I))))</f>
        <v/>
      </c>
      <c r="H507" s="4" t="str">
        <f>IF(SUM(SUMIF('RAW DATA'!M:M,'RAW DATA'!B507,'RAW DATA'!J:J),SUMIF('RAW DATA'!N:N,'RAW DATA'!B507,'RAW DATA'!J:J),SUMIF('RAW DATA'!O:O,'RAW DATA'!B507,'RAW DATA'!J:J),SUMIF('RAW DATA'!P:P,'RAW DATA'!B507,'RAW DATA'!J:J))=0, "", SUM(SUMIF('RAW DATA'!M:M,'RAW DATA'!B507,'RAW DATA'!J:J),SUMIF('RAW DATA'!N:N,'RAW DATA'!B507,'RAW DATA'!J:J),SUMIF('RAW DATA'!O:O,'RAW DATA'!B507,'RAW DATA'!J:J),SUMIF('RAW DATA'!P:P,'RAW DATA'!B507,'RAW DATA'!J:J)))</f>
        <v/>
      </c>
      <c r="I507" s="4" t="str">
        <f>IF(SUMIF('RAW DATA'!M:M,'RAW DATA'!B507, 'RAW DATA'!K:K)=0, "", SUMIF('RAW DATA'!M:M,'RAW DATA'!B507, 'RAW DATA'!K:K))</f>
        <v/>
      </c>
      <c r="J507" s="29" t="str">
        <f>IF('RAW DATA'!B507&lt;&gt;"",IF(OR('RAW DATA'!H507=1,'RAW DATA'!H507=2),1,IF(ISNUMBER(FIND("Medic",'RAW DATA'!E507)),1,"")),"")</f>
        <v/>
      </c>
      <c r="K507" s="29" t="str">
        <f>IF(AND('RAW DATA'!$B507&lt;&gt;"",'RAW DATA'!L507=1),1,"")</f>
        <v/>
      </c>
      <c r="L507" s="24" t="str">
        <f t="shared" si="15"/>
        <v/>
      </c>
    </row>
    <row r="508" spans="2:12" x14ac:dyDescent="0.25">
      <c r="B508" s="27" t="str">
        <f>IF('RAW DATA'!$C510&lt;&gt;"",'RAW DATA'!$C510,"")</f>
        <v/>
      </c>
      <c r="C508" s="27" t="str">
        <f>IF('RAW DATA'!$D510&lt;&gt;"",'RAW DATA'!$D510,"")</f>
        <v/>
      </c>
      <c r="D508" s="1" t="str">
        <f>IF(AND($B507&lt;&gt;"", $B508=""), "TOTAL:", IF($D507="TOTAL:","VESSEL TARGET "&amp;'RAW DATA'!$E$2&amp;":",IF('RAW DATA'!$E508&lt;&gt;"",'RAW DATA'!$E508,"")))</f>
        <v/>
      </c>
      <c r="E508" s="29" t="str">
        <f t="shared" si="14"/>
        <v/>
      </c>
      <c r="F508" s="4" t="str">
        <f>IF($D507="TOTAL:",FIXED(ROUND(((SUM($F$4:$F506)/'RAW DATA'!$E$2)*100),1),1)&amp;"%",IF($D508="TOTAL:",SUM($F$4:$F507),IF(SUMIF('RAW DATA'!M:M,'RAW DATA'!B508,'RAW DATA'!H:H)=0,"",SUMIF('RAW DATA'!M:M,'RAW DATA'!B508,'RAW DATA'!H:H))))</f>
        <v/>
      </c>
      <c r="G508" s="4" t="str">
        <f>IF($D507="TOTAL:",FIXED(ROUND(((SUM($G$4:$G506)/'RAW DATA'!$E$2)*100),1),1)&amp;"%",IF($D508="TOTAL:",SUM($G$4:$G507),IF(SUMIF('RAW DATA'!M:M,'RAW DATA'!B508,'RAW DATA'!I:I)=0,"",SUMIF('RAW DATA'!M:M,'RAW DATA'!B508,'RAW DATA'!I:I))))</f>
        <v/>
      </c>
      <c r="H508" s="4" t="str">
        <f>IF(SUM(SUMIF('RAW DATA'!M:M,'RAW DATA'!B508,'RAW DATA'!J:J),SUMIF('RAW DATA'!N:N,'RAW DATA'!B508,'RAW DATA'!J:J),SUMIF('RAW DATA'!O:O,'RAW DATA'!B508,'RAW DATA'!J:J),SUMIF('RAW DATA'!P:P,'RAW DATA'!B508,'RAW DATA'!J:J))=0, "", SUM(SUMIF('RAW DATA'!M:M,'RAW DATA'!B508,'RAW DATA'!J:J),SUMIF('RAW DATA'!N:N,'RAW DATA'!B508,'RAW DATA'!J:J),SUMIF('RAW DATA'!O:O,'RAW DATA'!B508,'RAW DATA'!J:J),SUMIF('RAW DATA'!P:P,'RAW DATA'!B508,'RAW DATA'!J:J)))</f>
        <v/>
      </c>
      <c r="I508" s="4" t="str">
        <f>IF(SUMIF('RAW DATA'!M:M,'RAW DATA'!B508, 'RAW DATA'!K:K)=0, "", SUMIF('RAW DATA'!M:M,'RAW DATA'!B508, 'RAW DATA'!K:K))</f>
        <v/>
      </c>
      <c r="J508" s="29" t="str">
        <f>IF('RAW DATA'!B508&lt;&gt;"",IF(OR('RAW DATA'!H508=1,'RAW DATA'!H508=2),1,IF(ISNUMBER(FIND("Medic",'RAW DATA'!E508)),1,"")),"")</f>
        <v/>
      </c>
      <c r="K508" s="29" t="str">
        <f>IF(AND('RAW DATA'!$B508&lt;&gt;"",'RAW DATA'!L508=1),1,"")</f>
        <v/>
      </c>
      <c r="L508" s="24" t="str">
        <f t="shared" si="15"/>
        <v/>
      </c>
    </row>
    <row r="509" spans="2:12" x14ac:dyDescent="0.25">
      <c r="B509" s="27" t="str">
        <f>IF('RAW DATA'!$C511&lt;&gt;"",'RAW DATA'!$C511,"")</f>
        <v/>
      </c>
      <c r="C509" s="27" t="str">
        <f>IF('RAW DATA'!$D511&lt;&gt;"",'RAW DATA'!$D511,"")</f>
        <v/>
      </c>
      <c r="D509" s="1" t="str">
        <f>IF(AND($B508&lt;&gt;"", $B509=""), "TOTAL:", IF($D508="TOTAL:","VESSEL TARGET "&amp;'RAW DATA'!$E$2&amp;":",IF('RAW DATA'!$E509&lt;&gt;"",'RAW DATA'!$E509,"")))</f>
        <v/>
      </c>
      <c r="E509" s="29" t="str">
        <f t="shared" si="14"/>
        <v/>
      </c>
      <c r="F509" s="4" t="str">
        <f>IF($D508="TOTAL:",FIXED(ROUND(((SUM($F$4:$F507)/'RAW DATA'!$E$2)*100),1),1)&amp;"%",IF($D509="TOTAL:",SUM($F$4:$F508),IF(SUMIF('RAW DATA'!M:M,'RAW DATA'!B509,'RAW DATA'!H:H)=0,"",SUMIF('RAW DATA'!M:M,'RAW DATA'!B509,'RAW DATA'!H:H))))</f>
        <v/>
      </c>
      <c r="G509" s="4" t="str">
        <f>IF($D508="TOTAL:",FIXED(ROUND(((SUM($G$4:$G507)/'RAW DATA'!$E$2)*100),1),1)&amp;"%",IF($D509="TOTAL:",SUM($G$4:$G508),IF(SUMIF('RAW DATA'!M:M,'RAW DATA'!B509,'RAW DATA'!I:I)=0,"",SUMIF('RAW DATA'!M:M,'RAW DATA'!B509,'RAW DATA'!I:I))))</f>
        <v/>
      </c>
      <c r="H509" s="4" t="str">
        <f>IF(SUM(SUMIF('RAW DATA'!M:M,'RAW DATA'!B509,'RAW DATA'!J:J),SUMIF('RAW DATA'!N:N,'RAW DATA'!B509,'RAW DATA'!J:J),SUMIF('RAW DATA'!O:O,'RAW DATA'!B509,'RAW DATA'!J:J),SUMIF('RAW DATA'!P:P,'RAW DATA'!B509,'RAW DATA'!J:J))=0, "", SUM(SUMIF('RAW DATA'!M:M,'RAW DATA'!B509,'RAW DATA'!J:J),SUMIF('RAW DATA'!N:N,'RAW DATA'!B509,'RAW DATA'!J:J),SUMIF('RAW DATA'!O:O,'RAW DATA'!B509,'RAW DATA'!J:J),SUMIF('RAW DATA'!P:P,'RAW DATA'!B509,'RAW DATA'!J:J)))</f>
        <v/>
      </c>
      <c r="I509" s="4" t="str">
        <f>IF(SUMIF('RAW DATA'!M:M,'RAW DATA'!B509, 'RAW DATA'!K:K)=0, "", SUMIF('RAW DATA'!M:M,'RAW DATA'!B509, 'RAW DATA'!K:K))</f>
        <v/>
      </c>
      <c r="J509" s="29" t="str">
        <f>IF('RAW DATA'!B509&lt;&gt;"",IF(OR('RAW DATA'!H509=1,'RAW DATA'!H509=2),1,IF(ISNUMBER(FIND("Medic",'RAW DATA'!E509)),1,"")),"")</f>
        <v/>
      </c>
      <c r="K509" s="29" t="str">
        <f>IF(AND('RAW DATA'!$B509&lt;&gt;"",'RAW DATA'!L509=1),1,"")</f>
        <v/>
      </c>
      <c r="L509" s="24" t="str">
        <f t="shared" si="15"/>
        <v/>
      </c>
    </row>
    <row r="510" spans="2:12" x14ac:dyDescent="0.25">
      <c r="B510" s="27" t="str">
        <f>IF('RAW DATA'!$C512&lt;&gt;"",'RAW DATA'!$C512,"")</f>
        <v/>
      </c>
      <c r="C510" s="27" t="str">
        <f>IF('RAW DATA'!$D512&lt;&gt;"",'RAW DATA'!$D512,"")</f>
        <v/>
      </c>
      <c r="D510" s="1" t="str">
        <f>IF(AND($B509&lt;&gt;"", $B510=""), "TOTAL:", IF($D509="TOTAL:","VESSEL TARGET "&amp;'RAW DATA'!$E$2&amp;":",IF('RAW DATA'!$E510&lt;&gt;"",'RAW DATA'!$E510,"")))</f>
        <v/>
      </c>
      <c r="E510" s="29" t="str">
        <f t="shared" si="14"/>
        <v/>
      </c>
      <c r="F510" s="4" t="str">
        <f>IF($D509="TOTAL:",FIXED(ROUND(((SUM($F$4:$F508)/'RAW DATA'!$E$2)*100),1),1)&amp;"%",IF($D510="TOTAL:",SUM($F$4:$F509),IF(SUMIF('RAW DATA'!M:M,'RAW DATA'!B510,'RAW DATA'!H:H)=0,"",SUMIF('RAW DATA'!M:M,'RAW DATA'!B510,'RAW DATA'!H:H))))</f>
        <v/>
      </c>
      <c r="G510" s="4" t="str">
        <f>IF($D509="TOTAL:",FIXED(ROUND(((SUM($G$4:$G508)/'RAW DATA'!$E$2)*100),1),1)&amp;"%",IF($D510="TOTAL:",SUM($G$4:$G509),IF(SUMIF('RAW DATA'!M:M,'RAW DATA'!B510,'RAW DATA'!I:I)=0,"",SUMIF('RAW DATA'!M:M,'RAW DATA'!B510,'RAW DATA'!I:I))))</f>
        <v/>
      </c>
      <c r="H510" s="4" t="str">
        <f>IF(SUM(SUMIF('RAW DATA'!M:M,'RAW DATA'!B510,'RAW DATA'!J:J),SUMIF('RAW DATA'!N:N,'RAW DATA'!B510,'RAW DATA'!J:J),SUMIF('RAW DATA'!O:O,'RAW DATA'!B510,'RAW DATA'!J:J),SUMIF('RAW DATA'!P:P,'RAW DATA'!B510,'RAW DATA'!J:J))=0, "", SUM(SUMIF('RAW DATA'!M:M,'RAW DATA'!B510,'RAW DATA'!J:J),SUMIF('RAW DATA'!N:N,'RAW DATA'!B510,'RAW DATA'!J:J),SUMIF('RAW DATA'!O:O,'RAW DATA'!B510,'RAW DATA'!J:J),SUMIF('RAW DATA'!P:P,'RAW DATA'!B510,'RAW DATA'!J:J)))</f>
        <v/>
      </c>
      <c r="I510" s="4" t="str">
        <f>IF(SUMIF('RAW DATA'!M:M,'RAW DATA'!B510, 'RAW DATA'!K:K)=0, "", SUMIF('RAW DATA'!M:M,'RAW DATA'!B510, 'RAW DATA'!K:K))</f>
        <v/>
      </c>
      <c r="J510" s="29" t="str">
        <f>IF('RAW DATA'!B510&lt;&gt;"",IF(OR('RAW DATA'!H510=1,'RAW DATA'!H510=2),1,IF(ISNUMBER(FIND("Medic",'RAW DATA'!E510)),1,"")),"")</f>
        <v/>
      </c>
      <c r="K510" s="29" t="str">
        <f>IF(AND('RAW DATA'!$B510&lt;&gt;"",'RAW DATA'!L510=1),1,"")</f>
        <v/>
      </c>
      <c r="L510" s="24" t="str">
        <f t="shared" si="15"/>
        <v/>
      </c>
    </row>
    <row r="511" spans="2:12" x14ac:dyDescent="0.25">
      <c r="B511" s="27" t="str">
        <f>IF('RAW DATA'!$C513&lt;&gt;"",'RAW DATA'!$C513,"")</f>
        <v/>
      </c>
      <c r="C511" s="27" t="str">
        <f>IF('RAW DATA'!$D513&lt;&gt;"",'RAW DATA'!$D513,"")</f>
        <v/>
      </c>
      <c r="D511" s="1" t="str">
        <f>IF(AND($B510&lt;&gt;"", $B511=""), "TOTAL:", IF($D510="TOTAL:","VESSEL TARGET "&amp;'RAW DATA'!$E$2&amp;":",IF('RAW DATA'!$E511&lt;&gt;"",'RAW DATA'!$E511,"")))</f>
        <v/>
      </c>
      <c r="E511" s="29" t="str">
        <f t="shared" si="14"/>
        <v/>
      </c>
      <c r="F511" s="4" t="str">
        <f>IF($D510="TOTAL:",FIXED(ROUND(((SUM($F$4:$F509)/'RAW DATA'!$E$2)*100),1),1)&amp;"%",IF($D511="TOTAL:",SUM($F$4:$F510),IF(SUMIF('RAW DATA'!M:M,'RAW DATA'!B511,'RAW DATA'!H:H)=0,"",SUMIF('RAW DATA'!M:M,'RAW DATA'!B511,'RAW DATA'!H:H))))</f>
        <v/>
      </c>
      <c r="G511" s="4" t="str">
        <f>IF($D510="TOTAL:",FIXED(ROUND(((SUM($G$4:$G509)/'RAW DATA'!$E$2)*100),1),1)&amp;"%",IF($D511="TOTAL:",SUM($G$4:$G510),IF(SUMIF('RAW DATA'!M:M,'RAW DATA'!B511,'RAW DATA'!I:I)=0,"",SUMIF('RAW DATA'!M:M,'RAW DATA'!B511,'RAW DATA'!I:I))))</f>
        <v/>
      </c>
      <c r="H511" s="4" t="str">
        <f>IF(SUM(SUMIF('RAW DATA'!M:M,'RAW DATA'!B511,'RAW DATA'!J:J),SUMIF('RAW DATA'!N:N,'RAW DATA'!B511,'RAW DATA'!J:J),SUMIF('RAW DATA'!O:O,'RAW DATA'!B511,'RAW DATA'!J:J),SUMIF('RAW DATA'!P:P,'RAW DATA'!B511,'RAW DATA'!J:J))=0, "", SUM(SUMIF('RAW DATA'!M:M,'RAW DATA'!B511,'RAW DATA'!J:J),SUMIF('RAW DATA'!N:N,'RAW DATA'!B511,'RAW DATA'!J:J),SUMIF('RAW DATA'!O:O,'RAW DATA'!B511,'RAW DATA'!J:J),SUMIF('RAW DATA'!P:P,'RAW DATA'!B511,'RAW DATA'!J:J)))</f>
        <v/>
      </c>
      <c r="I511" s="4" t="str">
        <f>IF(SUMIF('RAW DATA'!M:M,'RAW DATA'!B511, 'RAW DATA'!K:K)=0, "", SUMIF('RAW DATA'!M:M,'RAW DATA'!B511, 'RAW DATA'!K:K))</f>
        <v/>
      </c>
      <c r="J511" s="29" t="str">
        <f>IF('RAW DATA'!B511&lt;&gt;"",IF(OR('RAW DATA'!H511=1,'RAW DATA'!H511=2),1,IF(ISNUMBER(FIND("Medic",'RAW DATA'!E511)),1,"")),"")</f>
        <v/>
      </c>
      <c r="K511" s="29" t="str">
        <f>IF(AND('RAW DATA'!$B511&lt;&gt;"",'RAW DATA'!L511=1),1,"")</f>
        <v/>
      </c>
      <c r="L511" s="24" t="str">
        <f t="shared" si="15"/>
        <v/>
      </c>
    </row>
    <row r="512" spans="2:12" x14ac:dyDescent="0.25">
      <c r="B512" s="27" t="str">
        <f>IF('RAW DATA'!$C514&lt;&gt;"",'RAW DATA'!$C514,"")</f>
        <v/>
      </c>
      <c r="C512" s="27" t="str">
        <f>IF('RAW DATA'!$D514&lt;&gt;"",'RAW DATA'!$D514,"")</f>
        <v/>
      </c>
      <c r="D512" s="1" t="str">
        <f>IF(AND($B511&lt;&gt;"", $B512=""), "TOTAL:", IF($D511="TOTAL:","VESSEL TARGET "&amp;'RAW DATA'!$E$2&amp;":",IF('RAW DATA'!$E512&lt;&gt;"",'RAW DATA'!$E512,"")))</f>
        <v/>
      </c>
      <c r="E512" s="29" t="str">
        <f t="shared" si="14"/>
        <v/>
      </c>
      <c r="F512" s="4" t="str">
        <f>IF($D511="TOTAL:",FIXED(ROUND(((SUM($F$4:$F510)/'RAW DATA'!$E$2)*100),1),1)&amp;"%",IF($D512="TOTAL:",SUM($F$4:$F511),IF(SUMIF('RAW DATA'!M:M,'RAW DATA'!B512,'RAW DATA'!H:H)=0,"",SUMIF('RAW DATA'!M:M,'RAW DATA'!B512,'RAW DATA'!H:H))))</f>
        <v/>
      </c>
      <c r="G512" s="4" t="str">
        <f>IF($D511="TOTAL:",FIXED(ROUND(((SUM($G$4:$G510)/'RAW DATA'!$E$2)*100),1),1)&amp;"%",IF($D512="TOTAL:",SUM($G$4:$G511),IF(SUMIF('RAW DATA'!M:M,'RAW DATA'!B512,'RAW DATA'!I:I)=0,"",SUMIF('RAW DATA'!M:M,'RAW DATA'!B512,'RAW DATA'!I:I))))</f>
        <v/>
      </c>
      <c r="H512" s="4" t="str">
        <f>IF(SUM(SUMIF('RAW DATA'!M:M,'RAW DATA'!B512,'RAW DATA'!J:J),SUMIF('RAW DATA'!N:N,'RAW DATA'!B512,'RAW DATA'!J:J),SUMIF('RAW DATA'!O:O,'RAW DATA'!B512,'RAW DATA'!J:J),SUMIF('RAW DATA'!P:P,'RAW DATA'!B512,'RAW DATA'!J:J))=0, "", SUM(SUMIF('RAW DATA'!M:M,'RAW DATA'!B512,'RAW DATA'!J:J),SUMIF('RAW DATA'!N:N,'RAW DATA'!B512,'RAW DATA'!J:J),SUMIF('RAW DATA'!O:O,'RAW DATA'!B512,'RAW DATA'!J:J),SUMIF('RAW DATA'!P:P,'RAW DATA'!B512,'RAW DATA'!J:J)))</f>
        <v/>
      </c>
      <c r="I512" s="4" t="str">
        <f>IF(SUMIF('RAW DATA'!M:M,'RAW DATA'!B512, 'RAW DATA'!K:K)=0, "", SUMIF('RAW DATA'!M:M,'RAW DATA'!B512, 'RAW DATA'!K:K))</f>
        <v/>
      </c>
      <c r="J512" s="29" t="str">
        <f>IF('RAW DATA'!B512&lt;&gt;"",IF(OR('RAW DATA'!H512=1,'RAW DATA'!H512=2),1,IF(ISNUMBER(FIND("Medic",'RAW DATA'!E512)),1,"")),"")</f>
        <v/>
      </c>
      <c r="K512" s="29" t="str">
        <f>IF(AND('RAW DATA'!$B512&lt;&gt;"",'RAW DATA'!L512=1),1,"")</f>
        <v/>
      </c>
      <c r="L512" s="24" t="str">
        <f t="shared" si="15"/>
        <v/>
      </c>
    </row>
    <row r="513" spans="2:12" x14ac:dyDescent="0.25">
      <c r="B513" s="27" t="str">
        <f>IF('RAW DATA'!$C515&lt;&gt;"",'RAW DATA'!$C515,"")</f>
        <v/>
      </c>
      <c r="C513" s="27" t="str">
        <f>IF('RAW DATA'!$D515&lt;&gt;"",'RAW DATA'!$D515,"")</f>
        <v/>
      </c>
      <c r="D513" s="1" t="str">
        <f>IF(AND($B512&lt;&gt;"", $B513=""), "TOTAL:", IF($D512="TOTAL:","VESSEL TARGET "&amp;'RAW DATA'!$E$2&amp;":",IF('RAW DATA'!$E513&lt;&gt;"",'RAW DATA'!$E513,"")))</f>
        <v/>
      </c>
      <c r="E513" s="29" t="str">
        <f t="shared" si="14"/>
        <v/>
      </c>
      <c r="F513" s="4" t="str">
        <f>IF($D512="TOTAL:",FIXED(ROUND(((SUM($F$4:$F511)/'RAW DATA'!$E$2)*100),1),1)&amp;"%",IF($D513="TOTAL:",SUM($F$4:$F512),IF(SUMIF('RAW DATA'!M:M,'RAW DATA'!B513,'RAW DATA'!H:H)=0,"",SUMIF('RAW DATA'!M:M,'RAW DATA'!B513,'RAW DATA'!H:H))))</f>
        <v/>
      </c>
      <c r="G513" s="4" t="str">
        <f>IF($D512="TOTAL:",FIXED(ROUND(((SUM($G$4:$G511)/'RAW DATA'!$E$2)*100),1),1)&amp;"%",IF($D513="TOTAL:",SUM($G$4:$G512),IF(SUMIF('RAW DATA'!M:M,'RAW DATA'!B513,'RAW DATA'!I:I)=0,"",SUMIF('RAW DATA'!M:M,'RAW DATA'!B513,'RAW DATA'!I:I))))</f>
        <v/>
      </c>
      <c r="H513" s="4" t="str">
        <f>IF(SUM(SUMIF('RAW DATA'!M:M,'RAW DATA'!B513,'RAW DATA'!J:J),SUMIF('RAW DATA'!N:N,'RAW DATA'!B513,'RAW DATA'!J:J),SUMIF('RAW DATA'!O:O,'RAW DATA'!B513,'RAW DATA'!J:J),SUMIF('RAW DATA'!P:P,'RAW DATA'!B513,'RAW DATA'!J:J))=0, "", SUM(SUMIF('RAW DATA'!M:M,'RAW DATA'!B513,'RAW DATA'!J:J),SUMIF('RAW DATA'!N:N,'RAW DATA'!B513,'RAW DATA'!J:J),SUMIF('RAW DATA'!O:O,'RAW DATA'!B513,'RAW DATA'!J:J),SUMIF('RAW DATA'!P:P,'RAW DATA'!B513,'RAW DATA'!J:J)))</f>
        <v/>
      </c>
      <c r="I513" s="4" t="str">
        <f>IF(SUMIF('RAW DATA'!M:M,'RAW DATA'!B513, 'RAW DATA'!K:K)=0, "", SUMIF('RAW DATA'!M:M,'RAW DATA'!B513, 'RAW DATA'!K:K))</f>
        <v/>
      </c>
      <c r="J513" s="29" t="str">
        <f>IF('RAW DATA'!B513&lt;&gt;"",IF(OR('RAW DATA'!H513=1,'RAW DATA'!H513=2),1,IF(ISNUMBER(FIND("Medic",'RAW DATA'!E513)),1,"")),"")</f>
        <v/>
      </c>
      <c r="K513" s="29" t="str">
        <f>IF(AND('RAW DATA'!$B513&lt;&gt;"",'RAW DATA'!L513=1),1,"")</f>
        <v/>
      </c>
      <c r="L513" s="24" t="str">
        <f t="shared" si="15"/>
        <v/>
      </c>
    </row>
    <row r="514" spans="2:12" x14ac:dyDescent="0.25">
      <c r="B514" s="27" t="str">
        <f>IF('RAW DATA'!$C516&lt;&gt;"",'RAW DATA'!$C516,"")</f>
        <v/>
      </c>
      <c r="C514" s="27" t="str">
        <f>IF('RAW DATA'!$D516&lt;&gt;"",'RAW DATA'!$D516,"")</f>
        <v/>
      </c>
      <c r="D514" s="1" t="str">
        <f>IF(AND($B513&lt;&gt;"", $B514=""), "TOTAL:", IF($D513="TOTAL:","VESSEL TARGET "&amp;'RAW DATA'!$E$2&amp;":",IF('RAW DATA'!$E514&lt;&gt;"",'RAW DATA'!$E514,"")))</f>
        <v/>
      </c>
      <c r="E514" s="29" t="str">
        <f t="shared" si="14"/>
        <v/>
      </c>
      <c r="F514" s="4" t="str">
        <f>IF($D513="TOTAL:",FIXED(ROUND(((SUM($F$4:$F512)/'RAW DATA'!$E$2)*100),1),1)&amp;"%",IF($D514="TOTAL:",SUM($F$4:$F513),IF(SUMIF('RAW DATA'!M:M,'RAW DATA'!B514,'RAW DATA'!H:H)=0,"",SUMIF('RAW DATA'!M:M,'RAW DATA'!B514,'RAW DATA'!H:H))))</f>
        <v/>
      </c>
      <c r="G514" s="4" t="str">
        <f>IF($D513="TOTAL:",FIXED(ROUND(((SUM($G$4:$G512)/'RAW DATA'!$E$2)*100),1),1)&amp;"%",IF($D514="TOTAL:",SUM($G$4:$G513),IF(SUMIF('RAW DATA'!M:M,'RAW DATA'!B514,'RAW DATA'!I:I)=0,"",SUMIF('RAW DATA'!M:M,'RAW DATA'!B514,'RAW DATA'!I:I))))</f>
        <v/>
      </c>
      <c r="H514" s="4" t="str">
        <f>IF(SUM(SUMIF('RAW DATA'!M:M,'RAW DATA'!B514,'RAW DATA'!J:J),SUMIF('RAW DATA'!N:N,'RAW DATA'!B514,'RAW DATA'!J:J),SUMIF('RAW DATA'!O:O,'RAW DATA'!B514,'RAW DATA'!J:J),SUMIF('RAW DATA'!P:P,'RAW DATA'!B514,'RAW DATA'!J:J))=0, "", SUM(SUMIF('RAW DATA'!M:M,'RAW DATA'!B514,'RAW DATA'!J:J),SUMIF('RAW DATA'!N:N,'RAW DATA'!B514,'RAW DATA'!J:J),SUMIF('RAW DATA'!O:O,'RAW DATA'!B514,'RAW DATA'!J:J),SUMIF('RAW DATA'!P:P,'RAW DATA'!B514,'RAW DATA'!J:J)))</f>
        <v/>
      </c>
      <c r="I514" s="4" t="str">
        <f>IF(SUMIF('RAW DATA'!M:M,'RAW DATA'!B514, 'RAW DATA'!K:K)=0, "", SUMIF('RAW DATA'!M:M,'RAW DATA'!B514, 'RAW DATA'!K:K))</f>
        <v/>
      </c>
      <c r="J514" s="29" t="str">
        <f>IF('RAW DATA'!B514&lt;&gt;"",IF(OR('RAW DATA'!H514=1,'RAW DATA'!H514=2),1,IF(ISNUMBER(FIND("Medic",'RAW DATA'!E514)),1,"")),"")</f>
        <v/>
      </c>
      <c r="K514" s="29" t="str">
        <f>IF(AND('RAW DATA'!$B514&lt;&gt;"",'RAW DATA'!L514=1),1,"")</f>
        <v/>
      </c>
      <c r="L514" s="24" t="str">
        <f t="shared" si="15"/>
        <v/>
      </c>
    </row>
    <row r="515" spans="2:12" x14ac:dyDescent="0.25">
      <c r="B515" s="27" t="str">
        <f>IF('RAW DATA'!$C517&lt;&gt;"",'RAW DATA'!$C517,"")</f>
        <v/>
      </c>
      <c r="C515" s="27" t="str">
        <f>IF('RAW DATA'!$D517&lt;&gt;"",'RAW DATA'!$D517,"")</f>
        <v/>
      </c>
      <c r="D515" s="1" t="str">
        <f>IF(AND($B514&lt;&gt;"", $B515=""), "TOTAL:", IF($D514="TOTAL:","VESSEL TARGET "&amp;'RAW DATA'!$E$2&amp;":",IF('RAW DATA'!$E515&lt;&gt;"",'RAW DATA'!$E515,"")))</f>
        <v/>
      </c>
      <c r="E515" s="29" t="str">
        <f t="shared" si="14"/>
        <v/>
      </c>
      <c r="F515" s="4" t="str">
        <f>IF($D514="TOTAL:",FIXED(ROUND(((SUM($F$4:$F513)/'RAW DATA'!$E$2)*100),1),1)&amp;"%",IF($D515="TOTAL:",SUM($F$4:$F514),IF(SUMIF('RAW DATA'!M:M,'RAW DATA'!B515,'RAW DATA'!H:H)=0,"",SUMIF('RAW DATA'!M:M,'RAW DATA'!B515,'RAW DATA'!H:H))))</f>
        <v/>
      </c>
      <c r="G515" s="4" t="str">
        <f>IF($D514="TOTAL:",FIXED(ROUND(((SUM($G$4:$G513)/'RAW DATA'!$E$2)*100),1),1)&amp;"%",IF($D515="TOTAL:",SUM($G$4:$G514),IF(SUMIF('RAW DATA'!M:M,'RAW DATA'!B515,'RAW DATA'!I:I)=0,"",SUMIF('RAW DATA'!M:M,'RAW DATA'!B515,'RAW DATA'!I:I))))</f>
        <v/>
      </c>
      <c r="H515" s="4" t="str">
        <f>IF(SUM(SUMIF('RAW DATA'!M:M,'RAW DATA'!B515,'RAW DATA'!J:J),SUMIF('RAW DATA'!N:N,'RAW DATA'!B515,'RAW DATA'!J:J),SUMIF('RAW DATA'!O:O,'RAW DATA'!B515,'RAW DATA'!J:J),SUMIF('RAW DATA'!P:P,'RAW DATA'!B515,'RAW DATA'!J:J))=0, "", SUM(SUMIF('RAW DATA'!M:M,'RAW DATA'!B515,'RAW DATA'!J:J),SUMIF('RAW DATA'!N:N,'RAW DATA'!B515,'RAW DATA'!J:J),SUMIF('RAW DATA'!O:O,'RAW DATA'!B515,'RAW DATA'!J:J),SUMIF('RAW DATA'!P:P,'RAW DATA'!B515,'RAW DATA'!J:J)))</f>
        <v/>
      </c>
      <c r="I515" s="4" t="str">
        <f>IF(SUMIF('RAW DATA'!M:M,'RAW DATA'!B515, 'RAW DATA'!K:K)=0, "", SUMIF('RAW DATA'!M:M,'RAW DATA'!B515, 'RAW DATA'!K:K))</f>
        <v/>
      </c>
      <c r="J515" s="29" t="str">
        <f>IF('RAW DATA'!B515&lt;&gt;"",IF(OR('RAW DATA'!H515=1,'RAW DATA'!H515=2),1,IF(ISNUMBER(FIND("Medic",'RAW DATA'!E515)),1,"")),"")</f>
        <v/>
      </c>
      <c r="K515" s="29" t="str">
        <f>IF(AND('RAW DATA'!$B515&lt;&gt;"",'RAW DATA'!L515=1),1,"")</f>
        <v/>
      </c>
      <c r="L515" s="24" t="str">
        <f t="shared" si="15"/>
        <v/>
      </c>
    </row>
    <row r="516" spans="2:12" x14ac:dyDescent="0.25">
      <c r="B516" s="27" t="str">
        <f>IF('RAW DATA'!$C518&lt;&gt;"",'RAW DATA'!$C518,"")</f>
        <v/>
      </c>
      <c r="C516" s="27" t="str">
        <f>IF('RAW DATA'!$D518&lt;&gt;"",'RAW DATA'!$D518,"")</f>
        <v/>
      </c>
      <c r="D516" s="1" t="str">
        <f>IF(AND($B515&lt;&gt;"", $B516=""), "TOTAL:", IF($D515="TOTAL:","VESSEL TARGET "&amp;'RAW DATA'!$E$2&amp;":",IF('RAW DATA'!$E516&lt;&gt;"",'RAW DATA'!$E516,"")))</f>
        <v/>
      </c>
      <c r="E516" s="29" t="str">
        <f t="shared" si="14"/>
        <v/>
      </c>
      <c r="F516" s="4" t="str">
        <f>IF($D515="TOTAL:",FIXED(ROUND(((SUM($F$4:$F514)/'RAW DATA'!$E$2)*100),1),1)&amp;"%",IF($D516="TOTAL:",SUM($F$4:$F515),IF(SUMIF('RAW DATA'!M:M,'RAW DATA'!B516,'RAW DATA'!H:H)=0,"",SUMIF('RAW DATA'!M:M,'RAW DATA'!B516,'RAW DATA'!H:H))))</f>
        <v/>
      </c>
      <c r="G516" s="4" t="str">
        <f>IF($D515="TOTAL:",FIXED(ROUND(((SUM($G$4:$G514)/'RAW DATA'!$E$2)*100),1),1)&amp;"%",IF($D516="TOTAL:",SUM($G$4:$G515),IF(SUMIF('RAW DATA'!M:M,'RAW DATA'!B516,'RAW DATA'!I:I)=0,"",SUMIF('RAW DATA'!M:M,'RAW DATA'!B516,'RAW DATA'!I:I))))</f>
        <v/>
      </c>
      <c r="H516" s="4" t="str">
        <f>IF(SUM(SUMIF('RAW DATA'!M:M,'RAW DATA'!B516,'RAW DATA'!J:J),SUMIF('RAW DATA'!N:N,'RAW DATA'!B516,'RAW DATA'!J:J),SUMIF('RAW DATA'!O:O,'RAW DATA'!B516,'RAW DATA'!J:J),SUMIF('RAW DATA'!P:P,'RAW DATA'!B516,'RAW DATA'!J:J))=0, "", SUM(SUMIF('RAW DATA'!M:M,'RAW DATA'!B516,'RAW DATA'!J:J),SUMIF('RAW DATA'!N:N,'RAW DATA'!B516,'RAW DATA'!J:J),SUMIF('RAW DATA'!O:O,'RAW DATA'!B516,'RAW DATA'!J:J),SUMIF('RAW DATA'!P:P,'RAW DATA'!B516,'RAW DATA'!J:J)))</f>
        <v/>
      </c>
      <c r="I516" s="4" t="str">
        <f>IF(SUMIF('RAW DATA'!M:M,'RAW DATA'!B516, 'RAW DATA'!K:K)=0, "", SUMIF('RAW DATA'!M:M,'RAW DATA'!B516, 'RAW DATA'!K:K))</f>
        <v/>
      </c>
      <c r="J516" s="29" t="str">
        <f>IF('RAW DATA'!B516&lt;&gt;"",IF(OR('RAW DATA'!H516=1,'RAW DATA'!H516=2),1,IF(ISNUMBER(FIND("Medic",'RAW DATA'!E516)),1,"")),"")</f>
        <v/>
      </c>
      <c r="K516" s="29" t="str">
        <f>IF(AND('RAW DATA'!$B516&lt;&gt;"",'RAW DATA'!L516=1),1,"")</f>
        <v/>
      </c>
      <c r="L516" s="24" t="str">
        <f t="shared" si="15"/>
        <v/>
      </c>
    </row>
    <row r="517" spans="2:12" x14ac:dyDescent="0.25">
      <c r="B517" s="27" t="str">
        <f>IF('RAW DATA'!$C519&lt;&gt;"",'RAW DATA'!$C519,"")</f>
        <v/>
      </c>
      <c r="C517" s="27" t="str">
        <f>IF('RAW DATA'!$D519&lt;&gt;"",'RAW DATA'!$D519,"")</f>
        <v/>
      </c>
      <c r="D517" s="1" t="str">
        <f>IF(AND($B516&lt;&gt;"", $B517=""), "TOTAL:", IF($D516="TOTAL:","VESSEL TARGET "&amp;'RAW DATA'!$E$2&amp;":",IF('RAW DATA'!$E517&lt;&gt;"",'RAW DATA'!$E517,"")))</f>
        <v/>
      </c>
      <c r="E517" s="29" t="str">
        <f t="shared" ref="E517:E580" si="16">IF(B517&lt;&gt;"",IF(SUM(FLOOR(SUM(F517)/3,1)*10,FLOOR(SUM(G517)/3,1)*10, IF(SUM(H517)&gt;=1,5,0), IF(SUM(I517)&gt;=2,5,0), IF(SUM(J517)&gt;=1,5,0), IF(SUM(K517)&gt;=1,15,0))&gt;0, SUM(FLOOR(SUM(F517)/3,1)*10,FLOOR(SUM(G517)/3,1)*10, IF(SUM(H517)&gt;=1,5,0), IF(SUM(I517)&gt;=2,5,0), IF(SUM(J517)&gt;=1,5,0), IF(SUM(K517)&gt;=1,15,0)),""),"")</f>
        <v/>
      </c>
      <c r="F517" s="4" t="str">
        <f>IF($D516="TOTAL:",FIXED(ROUND(((SUM($F$4:$F515)/'RAW DATA'!$E$2)*100),1),1)&amp;"%",IF($D517="TOTAL:",SUM($F$4:$F516),IF(SUMIF('RAW DATA'!M:M,'RAW DATA'!B517,'RAW DATA'!H:H)=0,"",SUMIF('RAW DATA'!M:M,'RAW DATA'!B517,'RAW DATA'!H:H))))</f>
        <v/>
      </c>
      <c r="G517" s="4" t="str">
        <f>IF($D516="TOTAL:",FIXED(ROUND(((SUM($G$4:$G515)/'RAW DATA'!$E$2)*100),1),1)&amp;"%",IF($D517="TOTAL:",SUM($G$4:$G516),IF(SUMIF('RAW DATA'!M:M,'RAW DATA'!B517,'RAW DATA'!I:I)=0,"",SUMIF('RAW DATA'!M:M,'RAW DATA'!B517,'RAW DATA'!I:I))))</f>
        <v/>
      </c>
      <c r="H517" s="4" t="str">
        <f>IF(SUM(SUMIF('RAW DATA'!M:M,'RAW DATA'!B517,'RAW DATA'!J:J),SUMIF('RAW DATA'!N:N,'RAW DATA'!B517,'RAW DATA'!J:J),SUMIF('RAW DATA'!O:O,'RAW DATA'!B517,'RAW DATA'!J:J),SUMIF('RAW DATA'!P:P,'RAW DATA'!B517,'RAW DATA'!J:J))=0, "", SUM(SUMIF('RAW DATA'!M:M,'RAW DATA'!B517,'RAW DATA'!J:J),SUMIF('RAW DATA'!N:N,'RAW DATA'!B517,'RAW DATA'!J:J),SUMIF('RAW DATA'!O:O,'RAW DATA'!B517,'RAW DATA'!J:J),SUMIF('RAW DATA'!P:P,'RAW DATA'!B517,'RAW DATA'!J:J)))</f>
        <v/>
      </c>
      <c r="I517" s="4" t="str">
        <f>IF(SUMIF('RAW DATA'!M:M,'RAW DATA'!B517, 'RAW DATA'!K:K)=0, "", SUMIF('RAW DATA'!M:M,'RAW DATA'!B517, 'RAW DATA'!K:K))</f>
        <v/>
      </c>
      <c r="J517" s="29" t="str">
        <f>IF('RAW DATA'!B517&lt;&gt;"",IF(OR('RAW DATA'!H517=1,'RAW DATA'!H517=2),1,IF(ISNUMBER(FIND("Medic",'RAW DATA'!E517)),1,"")),"")</f>
        <v/>
      </c>
      <c r="K517" s="29" t="str">
        <f>IF(AND('RAW DATA'!$B517&lt;&gt;"",'RAW DATA'!L517=1),1,"")</f>
        <v/>
      </c>
      <c r="L517" s="24" t="str">
        <f t="shared" ref="L517:L580" si="17">IF(OR($B517="", $F517="",$G517=""),"",IF(AND($F517&gt;=2,$G517&gt;=2),1,""))</f>
        <v/>
      </c>
    </row>
    <row r="518" spans="2:12" x14ac:dyDescent="0.25">
      <c r="B518" s="27" t="str">
        <f>IF('RAW DATA'!$C520&lt;&gt;"",'RAW DATA'!$C520,"")</f>
        <v/>
      </c>
      <c r="C518" s="27" t="str">
        <f>IF('RAW DATA'!$D520&lt;&gt;"",'RAW DATA'!$D520,"")</f>
        <v/>
      </c>
      <c r="D518" s="1" t="str">
        <f>IF(AND($B517&lt;&gt;"", $B518=""), "TOTAL:", IF($D517="TOTAL:","VESSEL TARGET "&amp;'RAW DATA'!$E$2&amp;":",IF('RAW DATA'!$E518&lt;&gt;"",'RAW DATA'!$E518,"")))</f>
        <v/>
      </c>
      <c r="E518" s="29" t="str">
        <f t="shared" si="16"/>
        <v/>
      </c>
      <c r="F518" s="4" t="str">
        <f>IF($D517="TOTAL:",FIXED(ROUND(((SUM($F$4:$F516)/'RAW DATA'!$E$2)*100),1),1)&amp;"%",IF($D518="TOTAL:",SUM($F$4:$F517),IF(SUMIF('RAW DATA'!M:M,'RAW DATA'!B518,'RAW DATA'!H:H)=0,"",SUMIF('RAW DATA'!M:M,'RAW DATA'!B518,'RAW DATA'!H:H))))</f>
        <v/>
      </c>
      <c r="G518" s="4" t="str">
        <f>IF($D517="TOTAL:",FIXED(ROUND(((SUM($G$4:$G516)/'RAW DATA'!$E$2)*100),1),1)&amp;"%",IF($D518="TOTAL:",SUM($G$4:$G517),IF(SUMIF('RAW DATA'!M:M,'RAW DATA'!B518,'RAW DATA'!I:I)=0,"",SUMIF('RAW DATA'!M:M,'RAW DATA'!B518,'RAW DATA'!I:I))))</f>
        <v/>
      </c>
      <c r="H518" s="4" t="str">
        <f>IF(SUM(SUMIF('RAW DATA'!M:M,'RAW DATA'!B518,'RAW DATA'!J:J),SUMIF('RAW DATA'!N:N,'RAW DATA'!B518,'RAW DATA'!J:J),SUMIF('RAW DATA'!O:O,'RAW DATA'!B518,'RAW DATA'!J:J),SUMIF('RAW DATA'!P:P,'RAW DATA'!B518,'RAW DATA'!J:J))=0, "", SUM(SUMIF('RAW DATA'!M:M,'RAW DATA'!B518,'RAW DATA'!J:J),SUMIF('RAW DATA'!N:N,'RAW DATA'!B518,'RAW DATA'!J:J),SUMIF('RAW DATA'!O:O,'RAW DATA'!B518,'RAW DATA'!J:J),SUMIF('RAW DATA'!P:P,'RAW DATA'!B518,'RAW DATA'!J:J)))</f>
        <v/>
      </c>
      <c r="I518" s="4" t="str">
        <f>IF(SUMIF('RAW DATA'!M:M,'RAW DATA'!B518, 'RAW DATA'!K:K)=0, "", SUMIF('RAW DATA'!M:M,'RAW DATA'!B518, 'RAW DATA'!K:K))</f>
        <v/>
      </c>
      <c r="J518" s="29" t="str">
        <f>IF('RAW DATA'!B518&lt;&gt;"",IF(OR('RAW DATA'!H518=1,'RAW DATA'!H518=2),1,IF(ISNUMBER(FIND("Medic",'RAW DATA'!E518)),1,"")),"")</f>
        <v/>
      </c>
      <c r="K518" s="29" t="str">
        <f>IF(AND('RAW DATA'!$B518&lt;&gt;"",'RAW DATA'!L518=1),1,"")</f>
        <v/>
      </c>
      <c r="L518" s="24" t="str">
        <f t="shared" si="17"/>
        <v/>
      </c>
    </row>
    <row r="519" spans="2:12" x14ac:dyDescent="0.25">
      <c r="B519" s="27" t="str">
        <f>IF('RAW DATA'!$C521&lt;&gt;"",'RAW DATA'!$C521,"")</f>
        <v/>
      </c>
      <c r="C519" s="27" t="str">
        <f>IF('RAW DATA'!$D521&lt;&gt;"",'RAW DATA'!$D521,"")</f>
        <v/>
      </c>
      <c r="D519" s="1" t="str">
        <f>IF(AND($B518&lt;&gt;"", $B519=""), "TOTAL:", IF($D518="TOTAL:","VESSEL TARGET "&amp;'RAW DATA'!$E$2&amp;":",IF('RAW DATA'!$E519&lt;&gt;"",'RAW DATA'!$E519,"")))</f>
        <v/>
      </c>
      <c r="E519" s="29" t="str">
        <f t="shared" si="16"/>
        <v/>
      </c>
      <c r="F519" s="4" t="str">
        <f>IF($D518="TOTAL:",FIXED(ROUND(((SUM($F$4:$F517)/'RAW DATA'!$E$2)*100),1),1)&amp;"%",IF($D519="TOTAL:",SUM($F$4:$F518),IF(SUMIF('RAW DATA'!M:M,'RAW DATA'!B519,'RAW DATA'!H:H)=0,"",SUMIF('RAW DATA'!M:M,'RAW DATA'!B519,'RAW DATA'!H:H))))</f>
        <v/>
      </c>
      <c r="G519" s="4" t="str">
        <f>IF($D518="TOTAL:",FIXED(ROUND(((SUM($G$4:$G517)/'RAW DATA'!$E$2)*100),1),1)&amp;"%",IF($D519="TOTAL:",SUM($G$4:$G518),IF(SUMIF('RAW DATA'!M:M,'RAW DATA'!B519,'RAW DATA'!I:I)=0,"",SUMIF('RAW DATA'!M:M,'RAW DATA'!B519,'RAW DATA'!I:I))))</f>
        <v/>
      </c>
      <c r="H519" s="4" t="str">
        <f>IF(SUM(SUMIF('RAW DATA'!M:M,'RAW DATA'!B519,'RAW DATA'!J:J),SUMIF('RAW DATA'!N:N,'RAW DATA'!B519,'RAW DATA'!J:J),SUMIF('RAW DATA'!O:O,'RAW DATA'!B519,'RAW DATA'!J:J),SUMIF('RAW DATA'!P:P,'RAW DATA'!B519,'RAW DATA'!J:J))=0, "", SUM(SUMIF('RAW DATA'!M:M,'RAW DATA'!B519,'RAW DATA'!J:J),SUMIF('RAW DATA'!N:N,'RAW DATA'!B519,'RAW DATA'!J:J),SUMIF('RAW DATA'!O:O,'RAW DATA'!B519,'RAW DATA'!J:J),SUMIF('RAW DATA'!P:P,'RAW DATA'!B519,'RAW DATA'!J:J)))</f>
        <v/>
      </c>
      <c r="I519" s="4" t="str">
        <f>IF(SUMIF('RAW DATA'!M:M,'RAW DATA'!B519, 'RAW DATA'!K:K)=0, "", SUMIF('RAW DATA'!M:M,'RAW DATA'!B519, 'RAW DATA'!K:K))</f>
        <v/>
      </c>
      <c r="J519" s="29" t="str">
        <f>IF('RAW DATA'!B519&lt;&gt;"",IF(OR('RAW DATA'!H519=1,'RAW DATA'!H519=2),1,IF(ISNUMBER(FIND("Medic",'RAW DATA'!E519)),1,"")),"")</f>
        <v/>
      </c>
      <c r="K519" s="29" t="str">
        <f>IF(AND('RAW DATA'!$B519&lt;&gt;"",'RAW DATA'!L519=1),1,"")</f>
        <v/>
      </c>
      <c r="L519" s="24" t="str">
        <f t="shared" si="17"/>
        <v/>
      </c>
    </row>
    <row r="520" spans="2:12" x14ac:dyDescent="0.25">
      <c r="B520" s="27" t="str">
        <f>IF('RAW DATA'!$C522&lt;&gt;"",'RAW DATA'!$C522,"")</f>
        <v/>
      </c>
      <c r="C520" s="27" t="str">
        <f>IF('RAW DATA'!$D522&lt;&gt;"",'RAW DATA'!$D522,"")</f>
        <v/>
      </c>
      <c r="D520" s="1" t="str">
        <f>IF(AND($B519&lt;&gt;"", $B520=""), "TOTAL:", IF($D519="TOTAL:","VESSEL TARGET "&amp;'RAW DATA'!$E$2&amp;":",IF('RAW DATA'!$E520&lt;&gt;"",'RAW DATA'!$E520,"")))</f>
        <v/>
      </c>
      <c r="E520" s="29" t="str">
        <f t="shared" si="16"/>
        <v/>
      </c>
      <c r="F520" s="4" t="str">
        <f>IF($D519="TOTAL:",FIXED(ROUND(((SUM($F$4:$F518)/'RAW DATA'!$E$2)*100),1),1)&amp;"%",IF($D520="TOTAL:",SUM($F$4:$F519),IF(SUMIF('RAW DATA'!M:M,'RAW DATA'!B520,'RAW DATA'!H:H)=0,"",SUMIF('RAW DATA'!M:M,'RAW DATA'!B520,'RAW DATA'!H:H))))</f>
        <v/>
      </c>
      <c r="G520" s="4" t="str">
        <f>IF($D519="TOTAL:",FIXED(ROUND(((SUM($G$4:$G518)/'RAW DATA'!$E$2)*100),1),1)&amp;"%",IF($D520="TOTAL:",SUM($G$4:$G519),IF(SUMIF('RAW DATA'!M:M,'RAW DATA'!B520,'RAW DATA'!I:I)=0,"",SUMIF('RAW DATA'!M:M,'RAW DATA'!B520,'RAW DATA'!I:I))))</f>
        <v/>
      </c>
      <c r="H520" s="4" t="str">
        <f>IF(SUM(SUMIF('RAW DATA'!M:M,'RAW DATA'!B520,'RAW DATA'!J:J),SUMIF('RAW DATA'!N:N,'RAW DATA'!B520,'RAW DATA'!J:J),SUMIF('RAW DATA'!O:O,'RAW DATA'!B520,'RAW DATA'!J:J),SUMIF('RAW DATA'!P:P,'RAW DATA'!B520,'RAW DATA'!J:J))=0, "", SUM(SUMIF('RAW DATA'!M:M,'RAW DATA'!B520,'RAW DATA'!J:J),SUMIF('RAW DATA'!N:N,'RAW DATA'!B520,'RAW DATA'!J:J),SUMIF('RAW DATA'!O:O,'RAW DATA'!B520,'RAW DATA'!J:J),SUMIF('RAW DATA'!P:P,'RAW DATA'!B520,'RAW DATA'!J:J)))</f>
        <v/>
      </c>
      <c r="I520" s="4" t="str">
        <f>IF(SUMIF('RAW DATA'!M:M,'RAW DATA'!B520, 'RAW DATA'!K:K)=0, "", SUMIF('RAW DATA'!M:M,'RAW DATA'!B520, 'RAW DATA'!K:K))</f>
        <v/>
      </c>
      <c r="J520" s="29" t="str">
        <f>IF('RAW DATA'!B520&lt;&gt;"",IF(OR('RAW DATA'!H520=1,'RAW DATA'!H520=2),1,IF(ISNUMBER(FIND("Medic",'RAW DATA'!E520)),1,"")),"")</f>
        <v/>
      </c>
      <c r="K520" s="29" t="str">
        <f>IF(AND('RAW DATA'!$B520&lt;&gt;"",'RAW DATA'!L520=1),1,"")</f>
        <v/>
      </c>
      <c r="L520" s="24" t="str">
        <f t="shared" si="17"/>
        <v/>
      </c>
    </row>
    <row r="521" spans="2:12" x14ac:dyDescent="0.25">
      <c r="B521" s="27" t="str">
        <f>IF('RAW DATA'!$C523&lt;&gt;"",'RAW DATA'!$C523,"")</f>
        <v/>
      </c>
      <c r="C521" s="27" t="str">
        <f>IF('RAW DATA'!$D523&lt;&gt;"",'RAW DATA'!$D523,"")</f>
        <v/>
      </c>
      <c r="D521" s="1" t="str">
        <f>IF(AND($B520&lt;&gt;"", $B521=""), "TOTAL:", IF($D520="TOTAL:","VESSEL TARGET "&amp;'RAW DATA'!$E$2&amp;":",IF('RAW DATA'!$E521&lt;&gt;"",'RAW DATA'!$E521,"")))</f>
        <v/>
      </c>
      <c r="E521" s="29" t="str">
        <f t="shared" si="16"/>
        <v/>
      </c>
      <c r="F521" s="4" t="str">
        <f>IF($D520="TOTAL:",FIXED(ROUND(((SUM($F$4:$F519)/'RAW DATA'!$E$2)*100),1),1)&amp;"%",IF($D521="TOTAL:",SUM($F$4:$F520),IF(SUMIF('RAW DATA'!M:M,'RAW DATA'!B521,'RAW DATA'!H:H)=0,"",SUMIF('RAW DATA'!M:M,'RAW DATA'!B521,'RAW DATA'!H:H))))</f>
        <v/>
      </c>
      <c r="G521" s="4" t="str">
        <f>IF($D520="TOTAL:",FIXED(ROUND(((SUM($G$4:$G519)/'RAW DATA'!$E$2)*100),1),1)&amp;"%",IF($D521="TOTAL:",SUM($G$4:$G520),IF(SUMIF('RAW DATA'!M:M,'RAW DATA'!B521,'RAW DATA'!I:I)=0,"",SUMIF('RAW DATA'!M:M,'RAW DATA'!B521,'RAW DATA'!I:I))))</f>
        <v/>
      </c>
      <c r="H521" s="4" t="str">
        <f>IF(SUM(SUMIF('RAW DATA'!M:M,'RAW DATA'!B521,'RAW DATA'!J:J),SUMIF('RAW DATA'!N:N,'RAW DATA'!B521,'RAW DATA'!J:J),SUMIF('RAW DATA'!O:O,'RAW DATA'!B521,'RAW DATA'!J:J),SUMIF('RAW DATA'!P:P,'RAW DATA'!B521,'RAW DATA'!J:J))=0, "", SUM(SUMIF('RAW DATA'!M:M,'RAW DATA'!B521,'RAW DATA'!J:J),SUMIF('RAW DATA'!N:N,'RAW DATA'!B521,'RAW DATA'!J:J),SUMIF('RAW DATA'!O:O,'RAW DATA'!B521,'RAW DATA'!J:J),SUMIF('RAW DATA'!P:P,'RAW DATA'!B521,'RAW DATA'!J:J)))</f>
        <v/>
      </c>
      <c r="I521" s="4" t="str">
        <f>IF(SUMIF('RAW DATA'!M:M,'RAW DATA'!B521, 'RAW DATA'!K:K)=0, "", SUMIF('RAW DATA'!M:M,'RAW DATA'!B521, 'RAW DATA'!K:K))</f>
        <v/>
      </c>
      <c r="J521" s="29" t="str">
        <f>IF('RAW DATA'!B521&lt;&gt;"",IF(OR('RAW DATA'!H521=1,'RAW DATA'!H521=2),1,IF(ISNUMBER(FIND("Medic",'RAW DATA'!E521)),1,"")),"")</f>
        <v/>
      </c>
      <c r="K521" s="29" t="str">
        <f>IF(AND('RAW DATA'!$B521&lt;&gt;"",'RAW DATA'!L521=1),1,"")</f>
        <v/>
      </c>
      <c r="L521" s="24" t="str">
        <f t="shared" si="17"/>
        <v/>
      </c>
    </row>
    <row r="522" spans="2:12" x14ac:dyDescent="0.25">
      <c r="B522" s="27" t="str">
        <f>IF('RAW DATA'!$C524&lt;&gt;"",'RAW DATA'!$C524,"")</f>
        <v/>
      </c>
      <c r="C522" s="27" t="str">
        <f>IF('RAW DATA'!$D524&lt;&gt;"",'RAW DATA'!$D524,"")</f>
        <v/>
      </c>
      <c r="D522" s="1" t="str">
        <f>IF(AND($B521&lt;&gt;"", $B522=""), "TOTAL:", IF($D521="TOTAL:","VESSEL TARGET "&amp;'RAW DATA'!$E$2&amp;":",IF('RAW DATA'!$E522&lt;&gt;"",'RAW DATA'!$E522,"")))</f>
        <v/>
      </c>
      <c r="E522" s="29" t="str">
        <f t="shared" si="16"/>
        <v/>
      </c>
      <c r="F522" s="4" t="str">
        <f>IF($D521="TOTAL:",FIXED(ROUND(((SUM($F$4:$F520)/'RAW DATA'!$E$2)*100),1),1)&amp;"%",IF($D522="TOTAL:",SUM($F$4:$F521),IF(SUMIF('RAW DATA'!M:M,'RAW DATA'!B522,'RAW DATA'!H:H)=0,"",SUMIF('RAW DATA'!M:M,'RAW DATA'!B522,'RAW DATA'!H:H))))</f>
        <v/>
      </c>
      <c r="G522" s="4" t="str">
        <f>IF($D521="TOTAL:",FIXED(ROUND(((SUM($G$4:$G520)/'RAW DATA'!$E$2)*100),1),1)&amp;"%",IF($D522="TOTAL:",SUM($G$4:$G521),IF(SUMIF('RAW DATA'!M:M,'RAW DATA'!B522,'RAW DATA'!I:I)=0,"",SUMIF('RAW DATA'!M:M,'RAW DATA'!B522,'RAW DATA'!I:I))))</f>
        <v/>
      </c>
      <c r="H522" s="4" t="str">
        <f>IF(SUM(SUMIF('RAW DATA'!M:M,'RAW DATA'!B522,'RAW DATA'!J:J),SUMIF('RAW DATA'!N:N,'RAW DATA'!B522,'RAW DATA'!J:J),SUMIF('RAW DATA'!O:O,'RAW DATA'!B522,'RAW DATA'!J:J),SUMIF('RAW DATA'!P:P,'RAW DATA'!B522,'RAW DATA'!J:J))=0, "", SUM(SUMIF('RAW DATA'!M:M,'RAW DATA'!B522,'RAW DATA'!J:J),SUMIF('RAW DATA'!N:N,'RAW DATA'!B522,'RAW DATA'!J:J),SUMIF('RAW DATA'!O:O,'RAW DATA'!B522,'RAW DATA'!J:J),SUMIF('RAW DATA'!P:P,'RAW DATA'!B522,'RAW DATA'!J:J)))</f>
        <v/>
      </c>
      <c r="I522" s="4" t="str">
        <f>IF(SUMIF('RAW DATA'!M:M,'RAW DATA'!B522, 'RAW DATA'!K:K)=0, "", SUMIF('RAW DATA'!M:M,'RAW DATA'!B522, 'RAW DATA'!K:K))</f>
        <v/>
      </c>
      <c r="J522" s="29" t="str">
        <f>IF('RAW DATA'!B522&lt;&gt;"",IF(OR('RAW DATA'!H522=1,'RAW DATA'!H522=2),1,IF(ISNUMBER(FIND("Medic",'RAW DATA'!E522)),1,"")),"")</f>
        <v/>
      </c>
      <c r="K522" s="29" t="str">
        <f>IF(AND('RAW DATA'!$B522&lt;&gt;"",'RAW DATA'!L522=1),1,"")</f>
        <v/>
      </c>
      <c r="L522" s="24" t="str">
        <f t="shared" si="17"/>
        <v/>
      </c>
    </row>
    <row r="523" spans="2:12" x14ac:dyDescent="0.25">
      <c r="B523" s="27" t="str">
        <f>IF('RAW DATA'!$C525&lt;&gt;"",'RAW DATA'!$C525,"")</f>
        <v/>
      </c>
      <c r="C523" s="27" t="str">
        <f>IF('RAW DATA'!$D525&lt;&gt;"",'RAW DATA'!$D525,"")</f>
        <v/>
      </c>
      <c r="D523" s="1" t="str">
        <f>IF(AND($B522&lt;&gt;"", $B523=""), "TOTAL:", IF($D522="TOTAL:","VESSEL TARGET "&amp;'RAW DATA'!$E$2&amp;":",IF('RAW DATA'!$E523&lt;&gt;"",'RAW DATA'!$E523,"")))</f>
        <v/>
      </c>
      <c r="E523" s="29" t="str">
        <f t="shared" si="16"/>
        <v/>
      </c>
      <c r="F523" s="4" t="str">
        <f>IF($D522="TOTAL:",FIXED(ROUND(((SUM($F$4:$F521)/'RAW DATA'!$E$2)*100),1),1)&amp;"%",IF($D523="TOTAL:",SUM($F$4:$F522),IF(SUMIF('RAW DATA'!M:M,'RAW DATA'!B523,'RAW DATA'!H:H)=0,"",SUMIF('RAW DATA'!M:M,'RAW DATA'!B523,'RAW DATA'!H:H))))</f>
        <v/>
      </c>
      <c r="G523" s="4" t="str">
        <f>IF($D522="TOTAL:",FIXED(ROUND(((SUM($G$4:$G521)/'RAW DATA'!$E$2)*100),1),1)&amp;"%",IF($D523="TOTAL:",SUM($G$4:$G522),IF(SUMIF('RAW DATA'!M:M,'RAW DATA'!B523,'RAW DATA'!I:I)=0,"",SUMIF('RAW DATA'!M:M,'RAW DATA'!B523,'RAW DATA'!I:I))))</f>
        <v/>
      </c>
      <c r="H523" s="4" t="str">
        <f>IF(SUM(SUMIF('RAW DATA'!M:M,'RAW DATA'!B523,'RAW DATA'!J:J),SUMIF('RAW DATA'!N:N,'RAW DATA'!B523,'RAW DATA'!J:J),SUMIF('RAW DATA'!O:O,'RAW DATA'!B523,'RAW DATA'!J:J),SUMIF('RAW DATA'!P:P,'RAW DATA'!B523,'RAW DATA'!J:J))=0, "", SUM(SUMIF('RAW DATA'!M:M,'RAW DATA'!B523,'RAW DATA'!J:J),SUMIF('RAW DATA'!N:N,'RAW DATA'!B523,'RAW DATA'!J:J),SUMIF('RAW DATA'!O:O,'RAW DATA'!B523,'RAW DATA'!J:J),SUMIF('RAW DATA'!P:P,'RAW DATA'!B523,'RAW DATA'!J:J)))</f>
        <v/>
      </c>
      <c r="I523" s="4" t="str">
        <f>IF(SUMIF('RAW DATA'!M:M,'RAW DATA'!B523, 'RAW DATA'!K:K)=0, "", SUMIF('RAW DATA'!M:M,'RAW DATA'!B523, 'RAW DATA'!K:K))</f>
        <v/>
      </c>
      <c r="J523" s="29" t="str">
        <f>IF('RAW DATA'!B523&lt;&gt;"",IF(OR('RAW DATA'!H523=1,'RAW DATA'!H523=2),1,IF(ISNUMBER(FIND("Medic",'RAW DATA'!E523)),1,"")),"")</f>
        <v/>
      </c>
      <c r="K523" s="29" t="str">
        <f>IF(AND('RAW DATA'!$B523&lt;&gt;"",'RAW DATA'!L523=1),1,"")</f>
        <v/>
      </c>
      <c r="L523" s="24" t="str">
        <f t="shared" si="17"/>
        <v/>
      </c>
    </row>
    <row r="524" spans="2:12" x14ac:dyDescent="0.25">
      <c r="B524" s="27" t="str">
        <f>IF('RAW DATA'!$C526&lt;&gt;"",'RAW DATA'!$C526,"")</f>
        <v/>
      </c>
      <c r="C524" s="27" t="str">
        <f>IF('RAW DATA'!$D526&lt;&gt;"",'RAW DATA'!$D526,"")</f>
        <v/>
      </c>
      <c r="D524" s="1" t="str">
        <f>IF(AND($B523&lt;&gt;"", $B524=""), "TOTAL:", IF($D523="TOTAL:","VESSEL TARGET "&amp;'RAW DATA'!$E$2&amp;":",IF('RAW DATA'!$E524&lt;&gt;"",'RAW DATA'!$E524,"")))</f>
        <v/>
      </c>
      <c r="E524" s="29" t="str">
        <f t="shared" si="16"/>
        <v/>
      </c>
      <c r="F524" s="4" t="str">
        <f>IF($D523="TOTAL:",FIXED(ROUND(((SUM($F$4:$F522)/'RAW DATA'!$E$2)*100),1),1)&amp;"%",IF($D524="TOTAL:",SUM($F$4:$F523),IF(SUMIF('RAW DATA'!M:M,'RAW DATA'!B524,'RAW DATA'!H:H)=0,"",SUMIF('RAW DATA'!M:M,'RAW DATA'!B524,'RAW DATA'!H:H))))</f>
        <v/>
      </c>
      <c r="G524" s="4" t="str">
        <f>IF($D523="TOTAL:",FIXED(ROUND(((SUM($G$4:$G522)/'RAW DATA'!$E$2)*100),1),1)&amp;"%",IF($D524="TOTAL:",SUM($G$4:$G523),IF(SUMIF('RAW DATA'!M:M,'RAW DATA'!B524,'RAW DATA'!I:I)=0,"",SUMIF('RAW DATA'!M:M,'RAW DATA'!B524,'RAW DATA'!I:I))))</f>
        <v/>
      </c>
      <c r="H524" s="4" t="str">
        <f>IF(SUM(SUMIF('RAW DATA'!M:M,'RAW DATA'!B524,'RAW DATA'!J:J),SUMIF('RAW DATA'!N:N,'RAW DATA'!B524,'RAW DATA'!J:J),SUMIF('RAW DATA'!O:O,'RAW DATA'!B524,'RAW DATA'!J:J),SUMIF('RAW DATA'!P:P,'RAW DATA'!B524,'RAW DATA'!J:J))=0, "", SUM(SUMIF('RAW DATA'!M:M,'RAW DATA'!B524,'RAW DATA'!J:J),SUMIF('RAW DATA'!N:N,'RAW DATA'!B524,'RAW DATA'!J:J),SUMIF('RAW DATA'!O:O,'RAW DATA'!B524,'RAW DATA'!J:J),SUMIF('RAW DATA'!P:P,'RAW DATA'!B524,'RAW DATA'!J:J)))</f>
        <v/>
      </c>
      <c r="I524" s="4" t="str">
        <f>IF(SUMIF('RAW DATA'!M:M,'RAW DATA'!B524, 'RAW DATA'!K:K)=0, "", SUMIF('RAW DATA'!M:M,'RAW DATA'!B524, 'RAW DATA'!K:K))</f>
        <v/>
      </c>
      <c r="J524" s="29" t="str">
        <f>IF('RAW DATA'!B524&lt;&gt;"",IF(OR('RAW DATA'!H524=1,'RAW DATA'!H524=2),1,IF(ISNUMBER(FIND("Medic",'RAW DATA'!E524)),1,"")),"")</f>
        <v/>
      </c>
      <c r="K524" s="29" t="str">
        <f>IF(AND('RAW DATA'!$B524&lt;&gt;"",'RAW DATA'!L524=1),1,"")</f>
        <v/>
      </c>
      <c r="L524" s="24" t="str">
        <f t="shared" si="17"/>
        <v/>
      </c>
    </row>
    <row r="525" spans="2:12" x14ac:dyDescent="0.25">
      <c r="B525" s="27" t="str">
        <f>IF('RAW DATA'!$C527&lt;&gt;"",'RAW DATA'!$C527,"")</f>
        <v/>
      </c>
      <c r="C525" s="27" t="str">
        <f>IF('RAW DATA'!$D527&lt;&gt;"",'RAW DATA'!$D527,"")</f>
        <v/>
      </c>
      <c r="D525" s="1" t="str">
        <f>IF(AND($B524&lt;&gt;"", $B525=""), "TOTAL:", IF($D524="TOTAL:","VESSEL TARGET "&amp;'RAW DATA'!$E$2&amp;":",IF('RAW DATA'!$E525&lt;&gt;"",'RAW DATA'!$E525,"")))</f>
        <v/>
      </c>
      <c r="E525" s="29" t="str">
        <f t="shared" si="16"/>
        <v/>
      </c>
      <c r="F525" s="4" t="str">
        <f>IF($D524="TOTAL:",FIXED(ROUND(((SUM($F$4:$F523)/'RAW DATA'!$E$2)*100),1),1)&amp;"%",IF($D525="TOTAL:",SUM($F$4:$F524),IF(SUMIF('RAW DATA'!M:M,'RAW DATA'!B525,'RAW DATA'!H:H)=0,"",SUMIF('RAW DATA'!M:M,'RAW DATA'!B525,'RAW DATA'!H:H))))</f>
        <v/>
      </c>
      <c r="G525" s="4" t="str">
        <f>IF($D524="TOTAL:",FIXED(ROUND(((SUM($G$4:$G523)/'RAW DATA'!$E$2)*100),1),1)&amp;"%",IF($D525="TOTAL:",SUM($G$4:$G524),IF(SUMIF('RAW DATA'!M:M,'RAW DATA'!B525,'RAW DATA'!I:I)=0,"",SUMIF('RAW DATA'!M:M,'RAW DATA'!B525,'RAW DATA'!I:I))))</f>
        <v/>
      </c>
      <c r="H525" s="4" t="str">
        <f>IF(SUM(SUMIF('RAW DATA'!M:M,'RAW DATA'!B525,'RAW DATA'!J:J),SUMIF('RAW DATA'!N:N,'RAW DATA'!B525,'RAW DATA'!J:J),SUMIF('RAW DATA'!O:O,'RAW DATA'!B525,'RAW DATA'!J:J),SUMIF('RAW DATA'!P:P,'RAW DATA'!B525,'RAW DATA'!J:J))=0, "", SUM(SUMIF('RAW DATA'!M:M,'RAW DATA'!B525,'RAW DATA'!J:J),SUMIF('RAW DATA'!N:N,'RAW DATA'!B525,'RAW DATA'!J:J),SUMIF('RAW DATA'!O:O,'RAW DATA'!B525,'RAW DATA'!J:J),SUMIF('RAW DATA'!P:P,'RAW DATA'!B525,'RAW DATA'!J:J)))</f>
        <v/>
      </c>
      <c r="I525" s="4" t="str">
        <f>IF(SUMIF('RAW DATA'!M:M,'RAW DATA'!B525, 'RAW DATA'!K:K)=0, "", SUMIF('RAW DATA'!M:M,'RAW DATA'!B525, 'RAW DATA'!K:K))</f>
        <v/>
      </c>
      <c r="J525" s="29" t="str">
        <f>IF('RAW DATA'!B525&lt;&gt;"",IF(OR('RAW DATA'!H525=1,'RAW DATA'!H525=2),1,IF(ISNUMBER(FIND("Medic",'RAW DATA'!E525)),1,"")),"")</f>
        <v/>
      </c>
      <c r="K525" s="29" t="str">
        <f>IF(AND('RAW DATA'!$B525&lt;&gt;"",'RAW DATA'!L525=1),1,"")</f>
        <v/>
      </c>
      <c r="L525" s="24" t="str">
        <f t="shared" si="17"/>
        <v/>
      </c>
    </row>
    <row r="526" spans="2:12" x14ac:dyDescent="0.25">
      <c r="B526" s="27" t="str">
        <f>IF('RAW DATA'!$C528&lt;&gt;"",'RAW DATA'!$C528,"")</f>
        <v/>
      </c>
      <c r="C526" s="27" t="str">
        <f>IF('RAW DATA'!$D528&lt;&gt;"",'RAW DATA'!$D528,"")</f>
        <v/>
      </c>
      <c r="D526" s="1" t="str">
        <f>IF(AND($B525&lt;&gt;"", $B526=""), "TOTAL:", IF($D525="TOTAL:","VESSEL TARGET "&amp;'RAW DATA'!$E$2&amp;":",IF('RAW DATA'!$E526&lt;&gt;"",'RAW DATA'!$E526,"")))</f>
        <v/>
      </c>
      <c r="E526" s="29" t="str">
        <f t="shared" si="16"/>
        <v/>
      </c>
      <c r="F526" s="4" t="str">
        <f>IF($D525="TOTAL:",FIXED(ROUND(((SUM($F$4:$F524)/'RAW DATA'!$E$2)*100),1),1)&amp;"%",IF($D526="TOTAL:",SUM($F$4:$F525),IF(SUMIF('RAW DATA'!M:M,'RAW DATA'!B526,'RAW DATA'!H:H)=0,"",SUMIF('RAW DATA'!M:M,'RAW DATA'!B526,'RAW DATA'!H:H))))</f>
        <v/>
      </c>
      <c r="G526" s="4" t="str">
        <f>IF($D525="TOTAL:",FIXED(ROUND(((SUM($G$4:$G524)/'RAW DATA'!$E$2)*100),1),1)&amp;"%",IF($D526="TOTAL:",SUM($G$4:$G525),IF(SUMIF('RAW DATA'!M:M,'RAW DATA'!B526,'RAW DATA'!I:I)=0,"",SUMIF('RAW DATA'!M:M,'RAW DATA'!B526,'RAW DATA'!I:I))))</f>
        <v/>
      </c>
      <c r="H526" s="4" t="str">
        <f>IF(SUM(SUMIF('RAW DATA'!M:M,'RAW DATA'!B526,'RAW DATA'!J:J),SUMIF('RAW DATA'!N:N,'RAW DATA'!B526,'RAW DATA'!J:J),SUMIF('RAW DATA'!O:O,'RAW DATA'!B526,'RAW DATA'!J:J),SUMIF('RAW DATA'!P:P,'RAW DATA'!B526,'RAW DATA'!J:J))=0, "", SUM(SUMIF('RAW DATA'!M:M,'RAW DATA'!B526,'RAW DATA'!J:J),SUMIF('RAW DATA'!N:N,'RAW DATA'!B526,'RAW DATA'!J:J),SUMIF('RAW DATA'!O:O,'RAW DATA'!B526,'RAW DATA'!J:J),SUMIF('RAW DATA'!P:P,'RAW DATA'!B526,'RAW DATA'!J:J)))</f>
        <v/>
      </c>
      <c r="I526" s="4" t="str">
        <f>IF(SUMIF('RAW DATA'!M:M,'RAW DATA'!B526, 'RAW DATA'!K:K)=0, "", SUMIF('RAW DATA'!M:M,'RAW DATA'!B526, 'RAW DATA'!K:K))</f>
        <v/>
      </c>
      <c r="J526" s="29" t="str">
        <f>IF('RAW DATA'!B526&lt;&gt;"",IF(OR('RAW DATA'!H526=1,'RAW DATA'!H526=2),1,IF(ISNUMBER(FIND("Medic",'RAW DATA'!E526)),1,"")),"")</f>
        <v/>
      </c>
      <c r="K526" s="29" t="str">
        <f>IF(AND('RAW DATA'!$B526&lt;&gt;"",'RAW DATA'!L526=1),1,"")</f>
        <v/>
      </c>
      <c r="L526" s="24" t="str">
        <f t="shared" si="17"/>
        <v/>
      </c>
    </row>
    <row r="527" spans="2:12" x14ac:dyDescent="0.25">
      <c r="B527" s="27" t="str">
        <f>IF('RAW DATA'!$C529&lt;&gt;"",'RAW DATA'!$C529,"")</f>
        <v/>
      </c>
      <c r="C527" s="27" t="str">
        <f>IF('RAW DATA'!$D529&lt;&gt;"",'RAW DATA'!$D529,"")</f>
        <v/>
      </c>
      <c r="D527" s="1" t="str">
        <f>IF(AND($B526&lt;&gt;"", $B527=""), "TOTAL:", IF($D526="TOTAL:","VESSEL TARGET "&amp;'RAW DATA'!$E$2&amp;":",IF('RAW DATA'!$E527&lt;&gt;"",'RAW DATA'!$E527,"")))</f>
        <v/>
      </c>
      <c r="E527" s="29" t="str">
        <f t="shared" si="16"/>
        <v/>
      </c>
      <c r="F527" s="4" t="str">
        <f>IF($D526="TOTAL:",FIXED(ROUND(((SUM($F$4:$F525)/'RAW DATA'!$E$2)*100),1),1)&amp;"%",IF($D527="TOTAL:",SUM($F$4:$F526),IF(SUMIF('RAW DATA'!M:M,'RAW DATA'!B527,'RAW DATA'!H:H)=0,"",SUMIF('RAW DATA'!M:M,'RAW DATA'!B527,'RAW DATA'!H:H))))</f>
        <v/>
      </c>
      <c r="G527" s="4" t="str">
        <f>IF($D526="TOTAL:",FIXED(ROUND(((SUM($G$4:$G525)/'RAW DATA'!$E$2)*100),1),1)&amp;"%",IF($D527="TOTAL:",SUM($G$4:$G526),IF(SUMIF('RAW DATA'!M:M,'RAW DATA'!B527,'RAW DATA'!I:I)=0,"",SUMIF('RAW DATA'!M:M,'RAW DATA'!B527,'RAW DATA'!I:I))))</f>
        <v/>
      </c>
      <c r="H527" s="4" t="str">
        <f>IF(SUM(SUMIF('RAW DATA'!M:M,'RAW DATA'!B527,'RAW DATA'!J:J),SUMIF('RAW DATA'!N:N,'RAW DATA'!B527,'RAW DATA'!J:J),SUMIF('RAW DATA'!O:O,'RAW DATA'!B527,'RAW DATA'!J:J),SUMIF('RAW DATA'!P:P,'RAW DATA'!B527,'RAW DATA'!J:J))=0, "", SUM(SUMIF('RAW DATA'!M:M,'RAW DATA'!B527,'RAW DATA'!J:J),SUMIF('RAW DATA'!N:N,'RAW DATA'!B527,'RAW DATA'!J:J),SUMIF('RAW DATA'!O:O,'RAW DATA'!B527,'RAW DATA'!J:J),SUMIF('RAW DATA'!P:P,'RAW DATA'!B527,'RAW DATA'!J:J)))</f>
        <v/>
      </c>
      <c r="I527" s="4" t="str">
        <f>IF(SUMIF('RAW DATA'!M:M,'RAW DATA'!B527, 'RAW DATA'!K:K)=0, "", SUMIF('RAW DATA'!M:M,'RAW DATA'!B527, 'RAW DATA'!K:K))</f>
        <v/>
      </c>
      <c r="J527" s="29" t="str">
        <f>IF('RAW DATA'!B527&lt;&gt;"",IF(OR('RAW DATA'!H527=1,'RAW DATA'!H527=2),1,IF(ISNUMBER(FIND("Medic",'RAW DATA'!E527)),1,"")),"")</f>
        <v/>
      </c>
      <c r="K527" s="29" t="str">
        <f>IF(AND('RAW DATA'!$B527&lt;&gt;"",'RAW DATA'!L527=1),1,"")</f>
        <v/>
      </c>
      <c r="L527" s="24" t="str">
        <f t="shared" si="17"/>
        <v/>
      </c>
    </row>
    <row r="528" spans="2:12" x14ac:dyDescent="0.25">
      <c r="B528" s="27" t="str">
        <f>IF('RAW DATA'!$C530&lt;&gt;"",'RAW DATA'!$C530,"")</f>
        <v/>
      </c>
      <c r="C528" s="27" t="str">
        <f>IF('RAW DATA'!$D530&lt;&gt;"",'RAW DATA'!$D530,"")</f>
        <v/>
      </c>
      <c r="D528" s="1" t="str">
        <f>IF(AND($B527&lt;&gt;"", $B528=""), "TOTAL:", IF($D527="TOTAL:","VESSEL TARGET "&amp;'RAW DATA'!$E$2&amp;":",IF('RAW DATA'!$E528&lt;&gt;"",'RAW DATA'!$E528,"")))</f>
        <v/>
      </c>
      <c r="E528" s="29" t="str">
        <f t="shared" si="16"/>
        <v/>
      </c>
      <c r="F528" s="4" t="str">
        <f>IF($D527="TOTAL:",FIXED(ROUND(((SUM($F$4:$F526)/'RAW DATA'!$E$2)*100),1),1)&amp;"%",IF($D528="TOTAL:",SUM($F$4:$F527),IF(SUMIF('RAW DATA'!M:M,'RAW DATA'!B528,'RAW DATA'!H:H)=0,"",SUMIF('RAW DATA'!M:M,'RAW DATA'!B528,'RAW DATA'!H:H))))</f>
        <v/>
      </c>
      <c r="G528" s="4" t="str">
        <f>IF($D527="TOTAL:",FIXED(ROUND(((SUM($G$4:$G526)/'RAW DATA'!$E$2)*100),1),1)&amp;"%",IF($D528="TOTAL:",SUM($G$4:$G527),IF(SUMIF('RAW DATA'!M:M,'RAW DATA'!B528,'RAW DATA'!I:I)=0,"",SUMIF('RAW DATA'!M:M,'RAW DATA'!B528,'RAW DATA'!I:I))))</f>
        <v/>
      </c>
      <c r="H528" s="4" t="str">
        <f>IF(SUM(SUMIF('RAW DATA'!M:M,'RAW DATA'!B528,'RAW DATA'!J:J),SUMIF('RAW DATA'!N:N,'RAW DATA'!B528,'RAW DATA'!J:J),SUMIF('RAW DATA'!O:O,'RAW DATA'!B528,'RAW DATA'!J:J),SUMIF('RAW DATA'!P:P,'RAW DATA'!B528,'RAW DATA'!J:J))=0, "", SUM(SUMIF('RAW DATA'!M:M,'RAW DATA'!B528,'RAW DATA'!J:J),SUMIF('RAW DATA'!N:N,'RAW DATA'!B528,'RAW DATA'!J:J),SUMIF('RAW DATA'!O:O,'RAW DATA'!B528,'RAW DATA'!J:J),SUMIF('RAW DATA'!P:P,'RAW DATA'!B528,'RAW DATA'!J:J)))</f>
        <v/>
      </c>
      <c r="I528" s="4" t="str">
        <f>IF(SUMIF('RAW DATA'!M:M,'RAW DATA'!B528, 'RAW DATA'!K:K)=0, "", SUMIF('RAW DATA'!M:M,'RAW DATA'!B528, 'RAW DATA'!K:K))</f>
        <v/>
      </c>
      <c r="J528" s="29" t="str">
        <f>IF('RAW DATA'!B528&lt;&gt;"",IF(OR('RAW DATA'!H528=1,'RAW DATA'!H528=2),1,IF(ISNUMBER(FIND("Medic",'RAW DATA'!E528)),1,"")),"")</f>
        <v/>
      </c>
      <c r="K528" s="29" t="str">
        <f>IF(AND('RAW DATA'!$B528&lt;&gt;"",'RAW DATA'!L528=1),1,"")</f>
        <v/>
      </c>
      <c r="L528" s="24" t="str">
        <f t="shared" si="17"/>
        <v/>
      </c>
    </row>
    <row r="529" spans="2:12" x14ac:dyDescent="0.25">
      <c r="B529" s="27" t="str">
        <f>IF('RAW DATA'!$C531&lt;&gt;"",'RAW DATA'!$C531,"")</f>
        <v/>
      </c>
      <c r="C529" s="27" t="str">
        <f>IF('RAW DATA'!$D531&lt;&gt;"",'RAW DATA'!$D531,"")</f>
        <v/>
      </c>
      <c r="D529" s="1" t="str">
        <f>IF(AND($B528&lt;&gt;"", $B529=""), "TOTAL:", IF($D528="TOTAL:","VESSEL TARGET "&amp;'RAW DATA'!$E$2&amp;":",IF('RAW DATA'!$E529&lt;&gt;"",'RAW DATA'!$E529,"")))</f>
        <v/>
      </c>
      <c r="E529" s="29" t="str">
        <f t="shared" si="16"/>
        <v/>
      </c>
      <c r="F529" s="4" t="str">
        <f>IF($D528="TOTAL:",FIXED(ROUND(((SUM($F$4:$F527)/'RAW DATA'!$E$2)*100),1),1)&amp;"%",IF($D529="TOTAL:",SUM($F$4:$F528),IF(SUMIF('RAW DATA'!M:M,'RAW DATA'!B529,'RAW DATA'!H:H)=0,"",SUMIF('RAW DATA'!M:M,'RAW DATA'!B529,'RAW DATA'!H:H))))</f>
        <v/>
      </c>
      <c r="G529" s="4" t="str">
        <f>IF($D528="TOTAL:",FIXED(ROUND(((SUM($G$4:$G527)/'RAW DATA'!$E$2)*100),1),1)&amp;"%",IF($D529="TOTAL:",SUM($G$4:$G528),IF(SUMIF('RAW DATA'!M:M,'RAW DATA'!B529,'RAW DATA'!I:I)=0,"",SUMIF('RAW DATA'!M:M,'RAW DATA'!B529,'RAW DATA'!I:I))))</f>
        <v/>
      </c>
      <c r="H529" s="4" t="str">
        <f>IF(SUM(SUMIF('RAW DATA'!M:M,'RAW DATA'!B529,'RAW DATA'!J:J),SUMIF('RAW DATA'!N:N,'RAW DATA'!B529,'RAW DATA'!J:J),SUMIF('RAW DATA'!O:O,'RAW DATA'!B529,'RAW DATA'!J:J),SUMIF('RAW DATA'!P:P,'RAW DATA'!B529,'RAW DATA'!J:J))=0, "", SUM(SUMIF('RAW DATA'!M:M,'RAW DATA'!B529,'RAW DATA'!J:J),SUMIF('RAW DATA'!N:N,'RAW DATA'!B529,'RAW DATA'!J:J),SUMIF('RAW DATA'!O:O,'RAW DATA'!B529,'RAW DATA'!J:J),SUMIF('RAW DATA'!P:P,'RAW DATA'!B529,'RAW DATA'!J:J)))</f>
        <v/>
      </c>
      <c r="I529" s="4" t="str">
        <f>IF(SUMIF('RAW DATA'!M:M,'RAW DATA'!B529, 'RAW DATA'!K:K)=0, "", SUMIF('RAW DATA'!M:M,'RAW DATA'!B529, 'RAW DATA'!K:K))</f>
        <v/>
      </c>
      <c r="J529" s="29" t="str">
        <f>IF('RAW DATA'!B529&lt;&gt;"",IF(OR('RAW DATA'!H529=1,'RAW DATA'!H529=2),1,IF(ISNUMBER(FIND("Medic",'RAW DATA'!E529)),1,"")),"")</f>
        <v/>
      </c>
      <c r="K529" s="29" t="str">
        <f>IF(AND('RAW DATA'!$B529&lt;&gt;"",'RAW DATA'!L529=1),1,"")</f>
        <v/>
      </c>
      <c r="L529" s="24" t="str">
        <f t="shared" si="17"/>
        <v/>
      </c>
    </row>
    <row r="530" spans="2:12" x14ac:dyDescent="0.25">
      <c r="B530" s="27" t="str">
        <f>IF('RAW DATA'!$C532&lt;&gt;"",'RAW DATA'!$C532,"")</f>
        <v/>
      </c>
      <c r="C530" s="27" t="str">
        <f>IF('RAW DATA'!$D532&lt;&gt;"",'RAW DATA'!$D532,"")</f>
        <v/>
      </c>
      <c r="D530" s="1" t="str">
        <f>IF(AND($B529&lt;&gt;"", $B530=""), "TOTAL:", IF($D529="TOTAL:","VESSEL TARGET "&amp;'RAW DATA'!$E$2&amp;":",IF('RAW DATA'!$E530&lt;&gt;"",'RAW DATA'!$E530,"")))</f>
        <v/>
      </c>
      <c r="E530" s="29" t="str">
        <f t="shared" si="16"/>
        <v/>
      </c>
      <c r="F530" s="4" t="str">
        <f>IF($D529="TOTAL:",FIXED(ROUND(((SUM($F$4:$F528)/'RAW DATA'!$E$2)*100),1),1)&amp;"%",IF($D530="TOTAL:",SUM($F$4:$F529),IF(SUMIF('RAW DATA'!M:M,'RAW DATA'!B530,'RAW DATA'!H:H)=0,"",SUMIF('RAW DATA'!M:M,'RAW DATA'!B530,'RAW DATA'!H:H))))</f>
        <v/>
      </c>
      <c r="G530" s="4" t="str">
        <f>IF($D529="TOTAL:",FIXED(ROUND(((SUM($G$4:$G528)/'RAW DATA'!$E$2)*100),1),1)&amp;"%",IF($D530="TOTAL:",SUM($G$4:$G529),IF(SUMIF('RAW DATA'!M:M,'RAW DATA'!B530,'RAW DATA'!I:I)=0,"",SUMIF('RAW DATA'!M:M,'RAW DATA'!B530,'RAW DATA'!I:I))))</f>
        <v/>
      </c>
      <c r="H530" s="4" t="str">
        <f>IF(SUM(SUMIF('RAW DATA'!M:M,'RAW DATA'!B530,'RAW DATA'!J:J),SUMIF('RAW DATA'!N:N,'RAW DATA'!B530,'RAW DATA'!J:J),SUMIF('RAW DATA'!O:O,'RAW DATA'!B530,'RAW DATA'!J:J),SUMIF('RAW DATA'!P:P,'RAW DATA'!B530,'RAW DATA'!J:J))=0, "", SUM(SUMIF('RAW DATA'!M:M,'RAW DATA'!B530,'RAW DATA'!J:J),SUMIF('RAW DATA'!N:N,'RAW DATA'!B530,'RAW DATA'!J:J),SUMIF('RAW DATA'!O:O,'RAW DATA'!B530,'RAW DATA'!J:J),SUMIF('RAW DATA'!P:P,'RAW DATA'!B530,'RAW DATA'!J:J)))</f>
        <v/>
      </c>
      <c r="I530" s="4" t="str">
        <f>IF(SUMIF('RAW DATA'!M:M,'RAW DATA'!B530, 'RAW DATA'!K:K)=0, "", SUMIF('RAW DATA'!M:M,'RAW DATA'!B530, 'RAW DATA'!K:K))</f>
        <v/>
      </c>
      <c r="J530" s="29" t="str">
        <f>IF('RAW DATA'!B530&lt;&gt;"",IF(OR('RAW DATA'!H530=1,'RAW DATA'!H530=2),1,IF(ISNUMBER(FIND("Medic",'RAW DATA'!E530)),1,"")),"")</f>
        <v/>
      </c>
      <c r="K530" s="29" t="str">
        <f>IF(AND('RAW DATA'!$B530&lt;&gt;"",'RAW DATA'!L530=1),1,"")</f>
        <v/>
      </c>
      <c r="L530" s="24" t="str">
        <f t="shared" si="17"/>
        <v/>
      </c>
    </row>
    <row r="531" spans="2:12" x14ac:dyDescent="0.25">
      <c r="B531" s="27" t="str">
        <f>IF('RAW DATA'!$C533&lt;&gt;"",'RAW DATA'!$C533,"")</f>
        <v/>
      </c>
      <c r="C531" s="27" t="str">
        <f>IF('RAW DATA'!$D533&lt;&gt;"",'RAW DATA'!$D533,"")</f>
        <v/>
      </c>
      <c r="D531" s="1" t="str">
        <f>IF(AND($B530&lt;&gt;"", $B531=""), "TOTAL:", IF($D530="TOTAL:","VESSEL TARGET "&amp;'RAW DATA'!$E$2&amp;":",IF('RAW DATA'!$E531&lt;&gt;"",'RAW DATA'!$E531,"")))</f>
        <v/>
      </c>
      <c r="E531" s="29" t="str">
        <f t="shared" si="16"/>
        <v/>
      </c>
      <c r="F531" s="4" t="str">
        <f>IF($D530="TOTAL:",FIXED(ROUND(((SUM($F$4:$F529)/'RAW DATA'!$E$2)*100),1),1)&amp;"%",IF($D531="TOTAL:",SUM($F$4:$F530),IF(SUMIF('RAW DATA'!M:M,'RAW DATA'!B531,'RAW DATA'!H:H)=0,"",SUMIF('RAW DATA'!M:M,'RAW DATA'!B531,'RAW DATA'!H:H))))</f>
        <v/>
      </c>
      <c r="G531" s="4" t="str">
        <f>IF($D530="TOTAL:",FIXED(ROUND(((SUM($G$4:$G529)/'RAW DATA'!$E$2)*100),1),1)&amp;"%",IF($D531="TOTAL:",SUM($G$4:$G530),IF(SUMIF('RAW DATA'!M:M,'RAW DATA'!B531,'RAW DATA'!I:I)=0,"",SUMIF('RAW DATA'!M:M,'RAW DATA'!B531,'RAW DATA'!I:I))))</f>
        <v/>
      </c>
      <c r="H531" s="4" t="str">
        <f>IF(SUM(SUMIF('RAW DATA'!M:M,'RAW DATA'!B531,'RAW DATA'!J:J),SUMIF('RAW DATA'!N:N,'RAW DATA'!B531,'RAW DATA'!J:J),SUMIF('RAW DATA'!O:O,'RAW DATA'!B531,'RAW DATA'!J:J),SUMIF('RAW DATA'!P:P,'RAW DATA'!B531,'RAW DATA'!J:J))=0, "", SUM(SUMIF('RAW DATA'!M:M,'RAW DATA'!B531,'RAW DATA'!J:J),SUMIF('RAW DATA'!N:N,'RAW DATA'!B531,'RAW DATA'!J:J),SUMIF('RAW DATA'!O:O,'RAW DATA'!B531,'RAW DATA'!J:J),SUMIF('RAW DATA'!P:P,'RAW DATA'!B531,'RAW DATA'!J:J)))</f>
        <v/>
      </c>
      <c r="I531" s="4" t="str">
        <f>IF(SUMIF('RAW DATA'!M:M,'RAW DATA'!B531, 'RAW DATA'!K:K)=0, "", SUMIF('RAW DATA'!M:M,'RAW DATA'!B531, 'RAW DATA'!K:K))</f>
        <v/>
      </c>
      <c r="J531" s="29" t="str">
        <f>IF('RAW DATA'!B531&lt;&gt;"",IF(OR('RAW DATA'!H531=1,'RAW DATA'!H531=2),1,IF(ISNUMBER(FIND("Medic",'RAW DATA'!E531)),1,"")),"")</f>
        <v/>
      </c>
      <c r="K531" s="29" t="str">
        <f>IF(AND('RAW DATA'!$B531&lt;&gt;"",'RAW DATA'!L531=1),1,"")</f>
        <v/>
      </c>
      <c r="L531" s="24" t="str">
        <f t="shared" si="17"/>
        <v/>
      </c>
    </row>
    <row r="532" spans="2:12" x14ac:dyDescent="0.25">
      <c r="B532" s="27" t="str">
        <f>IF('RAW DATA'!$C534&lt;&gt;"",'RAW DATA'!$C534,"")</f>
        <v/>
      </c>
      <c r="C532" s="27" t="str">
        <f>IF('RAW DATA'!$D534&lt;&gt;"",'RAW DATA'!$D534,"")</f>
        <v/>
      </c>
      <c r="D532" s="1" t="str">
        <f>IF(AND($B531&lt;&gt;"", $B532=""), "TOTAL:", IF($D531="TOTAL:","VESSEL TARGET "&amp;'RAW DATA'!$E$2&amp;":",IF('RAW DATA'!$E532&lt;&gt;"",'RAW DATA'!$E532,"")))</f>
        <v/>
      </c>
      <c r="E532" s="29" t="str">
        <f t="shared" si="16"/>
        <v/>
      </c>
      <c r="F532" s="4" t="str">
        <f>IF($D531="TOTAL:",FIXED(ROUND(((SUM($F$4:$F530)/'RAW DATA'!$E$2)*100),1),1)&amp;"%",IF($D532="TOTAL:",SUM($F$4:$F531),IF(SUMIF('RAW DATA'!M:M,'RAW DATA'!B532,'RAW DATA'!H:H)=0,"",SUMIF('RAW DATA'!M:M,'RAW DATA'!B532,'RAW DATA'!H:H))))</f>
        <v/>
      </c>
      <c r="G532" s="4" t="str">
        <f>IF($D531="TOTAL:",FIXED(ROUND(((SUM($G$4:$G530)/'RAW DATA'!$E$2)*100),1),1)&amp;"%",IF($D532="TOTAL:",SUM($G$4:$G531),IF(SUMIF('RAW DATA'!M:M,'RAW DATA'!B532,'RAW DATA'!I:I)=0,"",SUMIF('RAW DATA'!M:M,'RAW DATA'!B532,'RAW DATA'!I:I))))</f>
        <v/>
      </c>
      <c r="H532" s="4" t="str">
        <f>IF(SUM(SUMIF('RAW DATA'!M:M,'RAW DATA'!B532,'RAW DATA'!J:J),SUMIF('RAW DATA'!N:N,'RAW DATA'!B532,'RAW DATA'!J:J),SUMIF('RAW DATA'!O:O,'RAW DATA'!B532,'RAW DATA'!J:J),SUMIF('RAW DATA'!P:P,'RAW DATA'!B532,'RAW DATA'!J:J))=0, "", SUM(SUMIF('RAW DATA'!M:M,'RAW DATA'!B532,'RAW DATA'!J:J),SUMIF('RAW DATA'!N:N,'RAW DATA'!B532,'RAW DATA'!J:J),SUMIF('RAW DATA'!O:O,'RAW DATA'!B532,'RAW DATA'!J:J),SUMIF('RAW DATA'!P:P,'RAW DATA'!B532,'RAW DATA'!J:J)))</f>
        <v/>
      </c>
      <c r="I532" s="4" t="str">
        <f>IF(SUMIF('RAW DATA'!M:M,'RAW DATA'!B532, 'RAW DATA'!K:K)=0, "", SUMIF('RAW DATA'!M:M,'RAW DATA'!B532, 'RAW DATA'!K:K))</f>
        <v/>
      </c>
      <c r="J532" s="29" t="str">
        <f>IF('RAW DATA'!B532&lt;&gt;"",IF(OR('RAW DATA'!H532=1,'RAW DATA'!H532=2),1,IF(ISNUMBER(FIND("Medic",'RAW DATA'!E532)),1,"")),"")</f>
        <v/>
      </c>
      <c r="K532" s="29" t="str">
        <f>IF(AND('RAW DATA'!$B532&lt;&gt;"",'RAW DATA'!L532=1),1,"")</f>
        <v/>
      </c>
      <c r="L532" s="24" t="str">
        <f t="shared" si="17"/>
        <v/>
      </c>
    </row>
    <row r="533" spans="2:12" x14ac:dyDescent="0.25">
      <c r="B533" s="27" t="str">
        <f>IF('RAW DATA'!$C535&lt;&gt;"",'RAW DATA'!$C535,"")</f>
        <v/>
      </c>
      <c r="C533" s="27" t="str">
        <f>IF('RAW DATA'!$D535&lt;&gt;"",'RAW DATA'!$D535,"")</f>
        <v/>
      </c>
      <c r="D533" s="1" t="str">
        <f>IF(AND($B532&lt;&gt;"", $B533=""), "TOTAL:", IF($D532="TOTAL:","VESSEL TARGET "&amp;'RAW DATA'!$E$2&amp;":",IF('RAW DATA'!$E533&lt;&gt;"",'RAW DATA'!$E533,"")))</f>
        <v/>
      </c>
      <c r="E533" s="29" t="str">
        <f t="shared" si="16"/>
        <v/>
      </c>
      <c r="F533" s="4" t="str">
        <f>IF($D532="TOTAL:",FIXED(ROUND(((SUM($F$4:$F531)/'RAW DATA'!$E$2)*100),1),1)&amp;"%",IF($D533="TOTAL:",SUM($F$4:$F532),IF(SUMIF('RAW DATA'!M:M,'RAW DATA'!B533,'RAW DATA'!H:H)=0,"",SUMIF('RAW DATA'!M:M,'RAW DATA'!B533,'RAW DATA'!H:H))))</f>
        <v/>
      </c>
      <c r="G533" s="4" t="str">
        <f>IF($D532="TOTAL:",FIXED(ROUND(((SUM($G$4:$G531)/'RAW DATA'!$E$2)*100),1),1)&amp;"%",IF($D533="TOTAL:",SUM($G$4:$G532),IF(SUMIF('RAW DATA'!M:M,'RAW DATA'!B533,'RAW DATA'!I:I)=0,"",SUMIF('RAW DATA'!M:M,'RAW DATA'!B533,'RAW DATA'!I:I))))</f>
        <v/>
      </c>
      <c r="H533" s="4" t="str">
        <f>IF(SUM(SUMIF('RAW DATA'!M:M,'RAW DATA'!B533,'RAW DATA'!J:J),SUMIF('RAW DATA'!N:N,'RAW DATA'!B533,'RAW DATA'!J:J),SUMIF('RAW DATA'!O:O,'RAW DATA'!B533,'RAW DATA'!J:J),SUMIF('RAW DATA'!P:P,'RAW DATA'!B533,'RAW DATA'!J:J))=0, "", SUM(SUMIF('RAW DATA'!M:M,'RAW DATA'!B533,'RAW DATA'!J:J),SUMIF('RAW DATA'!N:N,'RAW DATA'!B533,'RAW DATA'!J:J),SUMIF('RAW DATA'!O:O,'RAW DATA'!B533,'RAW DATA'!J:J),SUMIF('RAW DATA'!P:P,'RAW DATA'!B533,'RAW DATA'!J:J)))</f>
        <v/>
      </c>
      <c r="I533" s="4" t="str">
        <f>IF(SUMIF('RAW DATA'!M:M,'RAW DATA'!B533, 'RAW DATA'!K:K)=0, "", SUMIF('RAW DATA'!M:M,'RAW DATA'!B533, 'RAW DATA'!K:K))</f>
        <v/>
      </c>
      <c r="J533" s="29" t="str">
        <f>IF('RAW DATA'!B533&lt;&gt;"",IF(OR('RAW DATA'!H533=1,'RAW DATA'!H533=2),1,IF(ISNUMBER(FIND("Medic",'RAW DATA'!E533)),1,"")),"")</f>
        <v/>
      </c>
      <c r="K533" s="29" t="str">
        <f>IF(AND('RAW DATA'!$B533&lt;&gt;"",'RAW DATA'!L533=1),1,"")</f>
        <v/>
      </c>
      <c r="L533" s="24" t="str">
        <f t="shared" si="17"/>
        <v/>
      </c>
    </row>
    <row r="534" spans="2:12" x14ac:dyDescent="0.25">
      <c r="B534" s="27" t="str">
        <f>IF('RAW DATA'!$C536&lt;&gt;"",'RAW DATA'!$C536,"")</f>
        <v/>
      </c>
      <c r="C534" s="27" t="str">
        <f>IF('RAW DATA'!$D536&lt;&gt;"",'RAW DATA'!$D536,"")</f>
        <v/>
      </c>
      <c r="D534" s="1" t="str">
        <f>IF(AND($B533&lt;&gt;"", $B534=""), "TOTAL:", IF($D533="TOTAL:","VESSEL TARGET "&amp;'RAW DATA'!$E$2&amp;":",IF('RAW DATA'!$E534&lt;&gt;"",'RAW DATA'!$E534,"")))</f>
        <v/>
      </c>
      <c r="E534" s="29" t="str">
        <f t="shared" si="16"/>
        <v/>
      </c>
      <c r="F534" s="4" t="str">
        <f>IF($D533="TOTAL:",FIXED(ROUND(((SUM($F$4:$F532)/'RAW DATA'!$E$2)*100),1),1)&amp;"%",IF($D534="TOTAL:",SUM($F$4:$F533),IF(SUMIF('RAW DATA'!M:M,'RAW DATA'!B534,'RAW DATA'!H:H)=0,"",SUMIF('RAW DATA'!M:M,'RAW DATA'!B534,'RAW DATA'!H:H))))</f>
        <v/>
      </c>
      <c r="G534" s="4" t="str">
        <f>IF($D533="TOTAL:",FIXED(ROUND(((SUM($G$4:$G532)/'RAW DATA'!$E$2)*100),1),1)&amp;"%",IF($D534="TOTAL:",SUM($G$4:$G533),IF(SUMIF('RAW DATA'!M:M,'RAW DATA'!B534,'RAW DATA'!I:I)=0,"",SUMIF('RAW DATA'!M:M,'RAW DATA'!B534,'RAW DATA'!I:I))))</f>
        <v/>
      </c>
      <c r="H534" s="4" t="str">
        <f>IF(SUM(SUMIF('RAW DATA'!M:M,'RAW DATA'!B534,'RAW DATA'!J:J),SUMIF('RAW DATA'!N:N,'RAW DATA'!B534,'RAW DATA'!J:J),SUMIF('RAW DATA'!O:O,'RAW DATA'!B534,'RAW DATA'!J:J),SUMIF('RAW DATA'!P:P,'RAW DATA'!B534,'RAW DATA'!J:J))=0, "", SUM(SUMIF('RAW DATA'!M:M,'RAW DATA'!B534,'RAW DATA'!J:J),SUMIF('RAW DATA'!N:N,'RAW DATA'!B534,'RAW DATA'!J:J),SUMIF('RAW DATA'!O:O,'RAW DATA'!B534,'RAW DATA'!J:J),SUMIF('RAW DATA'!P:P,'RAW DATA'!B534,'RAW DATA'!J:J)))</f>
        <v/>
      </c>
      <c r="I534" s="4" t="str">
        <f>IF(SUMIF('RAW DATA'!M:M,'RAW DATA'!B534, 'RAW DATA'!K:K)=0, "", SUMIF('RAW DATA'!M:M,'RAW DATA'!B534, 'RAW DATA'!K:K))</f>
        <v/>
      </c>
      <c r="J534" s="29" t="str">
        <f>IF('RAW DATA'!B534&lt;&gt;"",IF(OR('RAW DATA'!H534=1,'RAW DATA'!H534=2),1,IF(ISNUMBER(FIND("Medic",'RAW DATA'!E534)),1,"")),"")</f>
        <v/>
      </c>
      <c r="K534" s="29" t="str">
        <f>IF(AND('RAW DATA'!$B534&lt;&gt;"",'RAW DATA'!L534=1),1,"")</f>
        <v/>
      </c>
      <c r="L534" s="24" t="str">
        <f t="shared" si="17"/>
        <v/>
      </c>
    </row>
    <row r="535" spans="2:12" x14ac:dyDescent="0.25">
      <c r="B535" s="27" t="str">
        <f>IF('RAW DATA'!$C537&lt;&gt;"",'RAW DATA'!$C537,"")</f>
        <v/>
      </c>
      <c r="C535" s="27" t="str">
        <f>IF('RAW DATA'!$D537&lt;&gt;"",'RAW DATA'!$D537,"")</f>
        <v/>
      </c>
      <c r="D535" s="1" t="str">
        <f>IF(AND($B534&lt;&gt;"", $B535=""), "TOTAL:", IF($D534="TOTAL:","VESSEL TARGET "&amp;'RAW DATA'!$E$2&amp;":",IF('RAW DATA'!$E535&lt;&gt;"",'RAW DATA'!$E535,"")))</f>
        <v/>
      </c>
      <c r="E535" s="29" t="str">
        <f t="shared" si="16"/>
        <v/>
      </c>
      <c r="F535" s="4" t="str">
        <f>IF($D534="TOTAL:",FIXED(ROUND(((SUM($F$4:$F533)/'RAW DATA'!$E$2)*100),1),1)&amp;"%",IF($D535="TOTAL:",SUM($F$4:$F534),IF(SUMIF('RAW DATA'!M:M,'RAW DATA'!B535,'RAW DATA'!H:H)=0,"",SUMIF('RAW DATA'!M:M,'RAW DATA'!B535,'RAW DATA'!H:H))))</f>
        <v/>
      </c>
      <c r="G535" s="4" t="str">
        <f>IF($D534="TOTAL:",FIXED(ROUND(((SUM($G$4:$G533)/'RAW DATA'!$E$2)*100),1),1)&amp;"%",IF($D535="TOTAL:",SUM($G$4:$G534),IF(SUMIF('RAW DATA'!M:M,'RAW DATA'!B535,'RAW DATA'!I:I)=0,"",SUMIF('RAW DATA'!M:M,'RAW DATA'!B535,'RAW DATA'!I:I))))</f>
        <v/>
      </c>
      <c r="H535" s="4" t="str">
        <f>IF(SUM(SUMIF('RAW DATA'!M:M,'RAW DATA'!B535,'RAW DATA'!J:J),SUMIF('RAW DATA'!N:N,'RAW DATA'!B535,'RAW DATA'!J:J),SUMIF('RAW DATA'!O:O,'RAW DATA'!B535,'RAW DATA'!J:J),SUMIF('RAW DATA'!P:P,'RAW DATA'!B535,'RAW DATA'!J:J))=0, "", SUM(SUMIF('RAW DATA'!M:M,'RAW DATA'!B535,'RAW DATA'!J:J),SUMIF('RAW DATA'!N:N,'RAW DATA'!B535,'RAW DATA'!J:J),SUMIF('RAW DATA'!O:O,'RAW DATA'!B535,'RAW DATA'!J:J),SUMIF('RAW DATA'!P:P,'RAW DATA'!B535,'RAW DATA'!J:J)))</f>
        <v/>
      </c>
      <c r="I535" s="4" t="str">
        <f>IF(SUMIF('RAW DATA'!M:M,'RAW DATA'!B535, 'RAW DATA'!K:K)=0, "", SUMIF('RAW DATA'!M:M,'RAW DATA'!B535, 'RAW DATA'!K:K))</f>
        <v/>
      </c>
      <c r="J535" s="29" t="str">
        <f>IF('RAW DATA'!B535&lt;&gt;"",IF(OR('RAW DATA'!H535=1,'RAW DATA'!H535=2),1,IF(ISNUMBER(FIND("Medic",'RAW DATA'!E535)),1,"")),"")</f>
        <v/>
      </c>
      <c r="K535" s="29" t="str">
        <f>IF(AND('RAW DATA'!$B535&lt;&gt;"",'RAW DATA'!L535=1),1,"")</f>
        <v/>
      </c>
      <c r="L535" s="24" t="str">
        <f t="shared" si="17"/>
        <v/>
      </c>
    </row>
    <row r="536" spans="2:12" x14ac:dyDescent="0.25">
      <c r="B536" s="27" t="str">
        <f>IF('RAW DATA'!$C538&lt;&gt;"",'RAW DATA'!$C538,"")</f>
        <v/>
      </c>
      <c r="C536" s="27" t="str">
        <f>IF('RAW DATA'!$D538&lt;&gt;"",'RAW DATA'!$D538,"")</f>
        <v/>
      </c>
      <c r="D536" s="1" t="str">
        <f>IF(AND($B535&lt;&gt;"", $B536=""), "TOTAL:", IF($D535="TOTAL:","VESSEL TARGET "&amp;'RAW DATA'!$E$2&amp;":",IF('RAW DATA'!$E536&lt;&gt;"",'RAW DATA'!$E536,"")))</f>
        <v/>
      </c>
      <c r="E536" s="29" t="str">
        <f t="shared" si="16"/>
        <v/>
      </c>
      <c r="F536" s="4" t="str">
        <f>IF($D535="TOTAL:",FIXED(ROUND(((SUM($F$4:$F534)/'RAW DATA'!$E$2)*100),1),1)&amp;"%",IF($D536="TOTAL:",SUM($F$4:$F535),IF(SUMIF('RAW DATA'!M:M,'RAW DATA'!B536,'RAW DATA'!H:H)=0,"",SUMIF('RAW DATA'!M:M,'RAW DATA'!B536,'RAW DATA'!H:H))))</f>
        <v/>
      </c>
      <c r="G536" s="4" t="str">
        <f>IF($D535="TOTAL:",FIXED(ROUND(((SUM($G$4:$G534)/'RAW DATA'!$E$2)*100),1),1)&amp;"%",IF($D536="TOTAL:",SUM($G$4:$G535),IF(SUMIF('RAW DATA'!M:M,'RAW DATA'!B536,'RAW DATA'!I:I)=0,"",SUMIF('RAW DATA'!M:M,'RAW DATA'!B536,'RAW DATA'!I:I))))</f>
        <v/>
      </c>
      <c r="H536" s="4" t="str">
        <f>IF(SUM(SUMIF('RAW DATA'!M:M,'RAW DATA'!B536,'RAW DATA'!J:J),SUMIF('RAW DATA'!N:N,'RAW DATA'!B536,'RAW DATA'!J:J),SUMIF('RAW DATA'!O:O,'RAW DATA'!B536,'RAW DATA'!J:J),SUMIF('RAW DATA'!P:P,'RAW DATA'!B536,'RAW DATA'!J:J))=0, "", SUM(SUMIF('RAW DATA'!M:M,'RAW DATA'!B536,'RAW DATA'!J:J),SUMIF('RAW DATA'!N:N,'RAW DATA'!B536,'RAW DATA'!J:J),SUMIF('RAW DATA'!O:O,'RAW DATA'!B536,'RAW DATA'!J:J),SUMIF('RAW DATA'!P:P,'RAW DATA'!B536,'RAW DATA'!J:J)))</f>
        <v/>
      </c>
      <c r="I536" s="4" t="str">
        <f>IF(SUMIF('RAW DATA'!M:M,'RAW DATA'!B536, 'RAW DATA'!K:K)=0, "", SUMIF('RAW DATA'!M:M,'RAW DATA'!B536, 'RAW DATA'!K:K))</f>
        <v/>
      </c>
      <c r="J536" s="29" t="str">
        <f>IF('RAW DATA'!B536&lt;&gt;"",IF(OR('RAW DATA'!H536=1,'RAW DATA'!H536=2),1,IF(ISNUMBER(FIND("Medic",'RAW DATA'!E536)),1,"")),"")</f>
        <v/>
      </c>
      <c r="K536" s="29" t="str">
        <f>IF(AND('RAW DATA'!$B536&lt;&gt;"",'RAW DATA'!L536=1),1,"")</f>
        <v/>
      </c>
      <c r="L536" s="24" t="str">
        <f t="shared" si="17"/>
        <v/>
      </c>
    </row>
    <row r="537" spans="2:12" x14ac:dyDescent="0.25">
      <c r="B537" s="27" t="str">
        <f>IF('RAW DATA'!$C539&lt;&gt;"",'RAW DATA'!$C539,"")</f>
        <v/>
      </c>
      <c r="C537" s="27" t="str">
        <f>IF('RAW DATA'!$D539&lt;&gt;"",'RAW DATA'!$D539,"")</f>
        <v/>
      </c>
      <c r="D537" s="1" t="str">
        <f>IF(AND($B536&lt;&gt;"", $B537=""), "TOTAL:", IF($D536="TOTAL:","VESSEL TARGET "&amp;'RAW DATA'!$E$2&amp;":",IF('RAW DATA'!$E537&lt;&gt;"",'RAW DATA'!$E537,"")))</f>
        <v/>
      </c>
      <c r="E537" s="29" t="str">
        <f t="shared" si="16"/>
        <v/>
      </c>
      <c r="F537" s="4" t="str">
        <f>IF($D536="TOTAL:",FIXED(ROUND(((SUM($F$4:$F535)/'RAW DATA'!$E$2)*100),1),1)&amp;"%",IF($D537="TOTAL:",SUM($F$4:$F536),IF(SUMIF('RAW DATA'!M:M,'RAW DATA'!B537,'RAW DATA'!H:H)=0,"",SUMIF('RAW DATA'!M:M,'RAW DATA'!B537,'RAW DATA'!H:H))))</f>
        <v/>
      </c>
      <c r="G537" s="4" t="str">
        <f>IF($D536="TOTAL:",FIXED(ROUND(((SUM($G$4:$G535)/'RAW DATA'!$E$2)*100),1),1)&amp;"%",IF($D537="TOTAL:",SUM($G$4:$G536),IF(SUMIF('RAW DATA'!M:M,'RAW DATA'!B537,'RAW DATA'!I:I)=0,"",SUMIF('RAW DATA'!M:M,'RAW DATA'!B537,'RAW DATA'!I:I))))</f>
        <v/>
      </c>
      <c r="H537" s="4" t="str">
        <f>IF(SUM(SUMIF('RAW DATA'!M:M,'RAW DATA'!B537,'RAW DATA'!J:J),SUMIF('RAW DATA'!N:N,'RAW DATA'!B537,'RAW DATA'!J:J),SUMIF('RAW DATA'!O:O,'RAW DATA'!B537,'RAW DATA'!J:J),SUMIF('RAW DATA'!P:P,'RAW DATA'!B537,'RAW DATA'!J:J))=0, "", SUM(SUMIF('RAW DATA'!M:M,'RAW DATA'!B537,'RAW DATA'!J:J),SUMIF('RAW DATA'!N:N,'RAW DATA'!B537,'RAW DATA'!J:J),SUMIF('RAW DATA'!O:O,'RAW DATA'!B537,'RAW DATA'!J:J),SUMIF('RAW DATA'!P:P,'RAW DATA'!B537,'RAW DATA'!J:J)))</f>
        <v/>
      </c>
      <c r="I537" s="4" t="str">
        <f>IF(SUMIF('RAW DATA'!M:M,'RAW DATA'!B537, 'RAW DATA'!K:K)=0, "", SUMIF('RAW DATA'!M:M,'RAW DATA'!B537, 'RAW DATA'!K:K))</f>
        <v/>
      </c>
      <c r="J537" s="29" t="str">
        <f>IF('RAW DATA'!B537&lt;&gt;"",IF(OR('RAW DATA'!H537=1,'RAW DATA'!H537=2),1,IF(ISNUMBER(FIND("Medic",'RAW DATA'!E537)),1,"")),"")</f>
        <v/>
      </c>
      <c r="K537" s="29" t="str">
        <f>IF(AND('RAW DATA'!$B537&lt;&gt;"",'RAW DATA'!L537=1),1,"")</f>
        <v/>
      </c>
      <c r="L537" s="24" t="str">
        <f t="shared" si="17"/>
        <v/>
      </c>
    </row>
    <row r="538" spans="2:12" x14ac:dyDescent="0.25">
      <c r="B538" s="27" t="str">
        <f>IF('RAW DATA'!$C540&lt;&gt;"",'RAW DATA'!$C540,"")</f>
        <v/>
      </c>
      <c r="C538" s="27" t="str">
        <f>IF('RAW DATA'!$D540&lt;&gt;"",'RAW DATA'!$D540,"")</f>
        <v/>
      </c>
      <c r="D538" s="1" t="str">
        <f>IF(AND($B537&lt;&gt;"", $B538=""), "TOTAL:", IF($D537="TOTAL:","VESSEL TARGET "&amp;'RAW DATA'!$E$2&amp;":",IF('RAW DATA'!$E538&lt;&gt;"",'RAW DATA'!$E538,"")))</f>
        <v/>
      </c>
      <c r="E538" s="29" t="str">
        <f t="shared" si="16"/>
        <v/>
      </c>
      <c r="F538" s="4" t="str">
        <f>IF($D537="TOTAL:",FIXED(ROUND(((SUM($F$4:$F536)/'RAW DATA'!$E$2)*100),1),1)&amp;"%",IF($D538="TOTAL:",SUM($F$4:$F537),IF(SUMIF('RAW DATA'!M:M,'RAW DATA'!B538,'RAW DATA'!H:H)=0,"",SUMIF('RAW DATA'!M:M,'RAW DATA'!B538,'RAW DATA'!H:H))))</f>
        <v/>
      </c>
      <c r="G538" s="4" t="str">
        <f>IF($D537="TOTAL:",FIXED(ROUND(((SUM($G$4:$G536)/'RAW DATA'!$E$2)*100),1),1)&amp;"%",IF($D538="TOTAL:",SUM($G$4:$G537),IF(SUMIF('RAW DATA'!M:M,'RAW DATA'!B538,'RAW DATA'!I:I)=0,"",SUMIF('RAW DATA'!M:M,'RAW DATA'!B538,'RAW DATA'!I:I))))</f>
        <v/>
      </c>
      <c r="H538" s="4" t="str">
        <f>IF(SUM(SUMIF('RAW DATA'!M:M,'RAW DATA'!B538,'RAW DATA'!J:J),SUMIF('RAW DATA'!N:N,'RAW DATA'!B538,'RAW DATA'!J:J),SUMIF('RAW DATA'!O:O,'RAW DATA'!B538,'RAW DATA'!J:J),SUMIF('RAW DATA'!P:P,'RAW DATA'!B538,'RAW DATA'!J:J))=0, "", SUM(SUMIF('RAW DATA'!M:M,'RAW DATA'!B538,'RAW DATA'!J:J),SUMIF('RAW DATA'!N:N,'RAW DATA'!B538,'RAW DATA'!J:J),SUMIF('RAW DATA'!O:O,'RAW DATA'!B538,'RAW DATA'!J:J),SUMIF('RAW DATA'!P:P,'RAW DATA'!B538,'RAW DATA'!J:J)))</f>
        <v/>
      </c>
      <c r="I538" s="4" t="str">
        <f>IF(SUMIF('RAW DATA'!M:M,'RAW DATA'!B538, 'RAW DATA'!K:K)=0, "", SUMIF('RAW DATA'!M:M,'RAW DATA'!B538, 'RAW DATA'!K:K))</f>
        <v/>
      </c>
      <c r="J538" s="29" t="str">
        <f>IF('RAW DATA'!B538&lt;&gt;"",IF(OR('RAW DATA'!H538=1,'RAW DATA'!H538=2),1,IF(ISNUMBER(FIND("Medic",'RAW DATA'!E538)),1,"")),"")</f>
        <v/>
      </c>
      <c r="K538" s="29" t="str">
        <f>IF(AND('RAW DATA'!$B538&lt;&gt;"",'RAW DATA'!L538=1),1,"")</f>
        <v/>
      </c>
      <c r="L538" s="24" t="str">
        <f t="shared" si="17"/>
        <v/>
      </c>
    </row>
    <row r="539" spans="2:12" x14ac:dyDescent="0.25">
      <c r="B539" s="27" t="str">
        <f>IF('RAW DATA'!$C541&lt;&gt;"",'RAW DATA'!$C541,"")</f>
        <v/>
      </c>
      <c r="C539" s="27" t="str">
        <f>IF('RAW DATA'!$D541&lt;&gt;"",'RAW DATA'!$D541,"")</f>
        <v/>
      </c>
      <c r="D539" s="1" t="str">
        <f>IF(AND($B538&lt;&gt;"", $B539=""), "TOTAL:", IF($D538="TOTAL:","VESSEL TARGET "&amp;'RAW DATA'!$E$2&amp;":",IF('RAW DATA'!$E539&lt;&gt;"",'RAW DATA'!$E539,"")))</f>
        <v/>
      </c>
      <c r="E539" s="29" t="str">
        <f t="shared" si="16"/>
        <v/>
      </c>
      <c r="F539" s="4" t="str">
        <f>IF($D538="TOTAL:",FIXED(ROUND(((SUM($F$4:$F537)/'RAW DATA'!$E$2)*100),1),1)&amp;"%",IF($D539="TOTAL:",SUM($F$4:$F538),IF(SUMIF('RAW DATA'!M:M,'RAW DATA'!B539,'RAW DATA'!H:H)=0,"",SUMIF('RAW DATA'!M:M,'RAW DATA'!B539,'RAW DATA'!H:H))))</f>
        <v/>
      </c>
      <c r="G539" s="4" t="str">
        <f>IF($D538="TOTAL:",FIXED(ROUND(((SUM($G$4:$G537)/'RAW DATA'!$E$2)*100),1),1)&amp;"%",IF($D539="TOTAL:",SUM($G$4:$G538),IF(SUMIF('RAW DATA'!M:M,'RAW DATA'!B539,'RAW DATA'!I:I)=0,"",SUMIF('RAW DATA'!M:M,'RAW DATA'!B539,'RAW DATA'!I:I))))</f>
        <v/>
      </c>
      <c r="H539" s="4" t="str">
        <f>IF(SUM(SUMIF('RAW DATA'!M:M,'RAW DATA'!B539,'RAW DATA'!J:J),SUMIF('RAW DATA'!N:N,'RAW DATA'!B539,'RAW DATA'!J:J),SUMIF('RAW DATA'!O:O,'RAW DATA'!B539,'RAW DATA'!J:J),SUMIF('RAW DATA'!P:P,'RAW DATA'!B539,'RAW DATA'!J:J))=0, "", SUM(SUMIF('RAW DATA'!M:M,'RAW DATA'!B539,'RAW DATA'!J:J),SUMIF('RAW DATA'!N:N,'RAW DATA'!B539,'RAW DATA'!J:J),SUMIF('RAW DATA'!O:O,'RAW DATA'!B539,'RAW DATA'!J:J),SUMIF('RAW DATA'!P:P,'RAW DATA'!B539,'RAW DATA'!J:J)))</f>
        <v/>
      </c>
      <c r="I539" s="4" t="str">
        <f>IF(SUMIF('RAW DATA'!M:M,'RAW DATA'!B539, 'RAW DATA'!K:K)=0, "", SUMIF('RAW DATA'!M:M,'RAW DATA'!B539, 'RAW DATA'!K:K))</f>
        <v/>
      </c>
      <c r="J539" s="29" t="str">
        <f>IF('RAW DATA'!B539&lt;&gt;"",IF(OR('RAW DATA'!H539=1,'RAW DATA'!H539=2),1,IF(ISNUMBER(FIND("Medic",'RAW DATA'!E539)),1,"")),"")</f>
        <v/>
      </c>
      <c r="K539" s="29" t="str">
        <f>IF(AND('RAW DATA'!$B539&lt;&gt;"",'RAW DATA'!L539=1),1,"")</f>
        <v/>
      </c>
      <c r="L539" s="24" t="str">
        <f t="shared" si="17"/>
        <v/>
      </c>
    </row>
    <row r="540" spans="2:12" x14ac:dyDescent="0.25">
      <c r="B540" s="27" t="str">
        <f>IF('RAW DATA'!$C542&lt;&gt;"",'RAW DATA'!$C542,"")</f>
        <v/>
      </c>
      <c r="C540" s="27" t="str">
        <f>IF('RAW DATA'!$D542&lt;&gt;"",'RAW DATA'!$D542,"")</f>
        <v/>
      </c>
      <c r="D540" s="1" t="str">
        <f>IF(AND($B539&lt;&gt;"", $B540=""), "TOTAL:", IF($D539="TOTAL:","VESSEL TARGET "&amp;'RAW DATA'!$E$2&amp;":",IF('RAW DATA'!$E540&lt;&gt;"",'RAW DATA'!$E540,"")))</f>
        <v/>
      </c>
      <c r="E540" s="29" t="str">
        <f t="shared" si="16"/>
        <v/>
      </c>
      <c r="F540" s="4" t="str">
        <f>IF($D539="TOTAL:",FIXED(ROUND(((SUM($F$4:$F538)/'RAW DATA'!$E$2)*100),1),1)&amp;"%",IF($D540="TOTAL:",SUM($F$4:$F539),IF(SUMIF('RAW DATA'!M:M,'RAW DATA'!B540,'RAW DATA'!H:H)=0,"",SUMIF('RAW DATA'!M:M,'RAW DATA'!B540,'RAW DATA'!H:H))))</f>
        <v/>
      </c>
      <c r="G540" s="4" t="str">
        <f>IF($D539="TOTAL:",FIXED(ROUND(((SUM($G$4:$G538)/'RAW DATA'!$E$2)*100),1),1)&amp;"%",IF($D540="TOTAL:",SUM($G$4:$G539),IF(SUMIF('RAW DATA'!M:M,'RAW DATA'!B540,'RAW DATA'!I:I)=0,"",SUMIF('RAW DATA'!M:M,'RAW DATA'!B540,'RAW DATA'!I:I))))</f>
        <v/>
      </c>
      <c r="H540" s="4" t="str">
        <f>IF(SUM(SUMIF('RAW DATA'!M:M,'RAW DATA'!B540,'RAW DATA'!J:J),SUMIF('RAW DATA'!N:N,'RAW DATA'!B540,'RAW DATA'!J:J),SUMIF('RAW DATA'!O:O,'RAW DATA'!B540,'RAW DATA'!J:J),SUMIF('RAW DATA'!P:P,'RAW DATA'!B540,'RAW DATA'!J:J))=0, "", SUM(SUMIF('RAW DATA'!M:M,'RAW DATA'!B540,'RAW DATA'!J:J),SUMIF('RAW DATA'!N:N,'RAW DATA'!B540,'RAW DATA'!J:J),SUMIF('RAW DATA'!O:O,'RAW DATA'!B540,'RAW DATA'!J:J),SUMIF('RAW DATA'!P:P,'RAW DATA'!B540,'RAW DATA'!J:J)))</f>
        <v/>
      </c>
      <c r="I540" s="4" t="str">
        <f>IF(SUMIF('RAW DATA'!M:M,'RAW DATA'!B540, 'RAW DATA'!K:K)=0, "", SUMIF('RAW DATA'!M:M,'RAW DATA'!B540, 'RAW DATA'!K:K))</f>
        <v/>
      </c>
      <c r="J540" s="29" t="str">
        <f>IF('RAW DATA'!B540&lt;&gt;"",IF(OR('RAW DATA'!H540=1,'RAW DATA'!H540=2),1,IF(ISNUMBER(FIND("Medic",'RAW DATA'!E540)),1,"")),"")</f>
        <v/>
      </c>
      <c r="K540" s="29" t="str">
        <f>IF(AND('RAW DATA'!$B540&lt;&gt;"",'RAW DATA'!L540=1),1,"")</f>
        <v/>
      </c>
      <c r="L540" s="24" t="str">
        <f t="shared" si="17"/>
        <v/>
      </c>
    </row>
    <row r="541" spans="2:12" x14ac:dyDescent="0.25">
      <c r="B541" s="27" t="str">
        <f>IF('RAW DATA'!$C543&lt;&gt;"",'RAW DATA'!$C543,"")</f>
        <v/>
      </c>
      <c r="C541" s="27" t="str">
        <f>IF('RAW DATA'!$D543&lt;&gt;"",'RAW DATA'!$D543,"")</f>
        <v/>
      </c>
      <c r="D541" s="1" t="str">
        <f>IF(AND($B540&lt;&gt;"", $B541=""), "TOTAL:", IF($D540="TOTAL:","VESSEL TARGET "&amp;'RAW DATA'!$E$2&amp;":",IF('RAW DATA'!$E541&lt;&gt;"",'RAW DATA'!$E541,"")))</f>
        <v/>
      </c>
      <c r="E541" s="29" t="str">
        <f t="shared" si="16"/>
        <v/>
      </c>
      <c r="F541" s="4" t="str">
        <f>IF($D540="TOTAL:",FIXED(ROUND(((SUM($F$4:$F539)/'RAW DATA'!$E$2)*100),1),1)&amp;"%",IF($D541="TOTAL:",SUM($F$4:$F540),IF(SUMIF('RAW DATA'!M:M,'RAW DATA'!B541,'RAW DATA'!H:H)=0,"",SUMIF('RAW DATA'!M:M,'RAW DATA'!B541,'RAW DATA'!H:H))))</f>
        <v/>
      </c>
      <c r="G541" s="4" t="str">
        <f>IF($D540="TOTAL:",FIXED(ROUND(((SUM($G$4:$G539)/'RAW DATA'!$E$2)*100),1),1)&amp;"%",IF($D541="TOTAL:",SUM($G$4:$G540),IF(SUMIF('RAW DATA'!M:M,'RAW DATA'!B541,'RAW DATA'!I:I)=0,"",SUMIF('RAW DATA'!M:M,'RAW DATA'!B541,'RAW DATA'!I:I))))</f>
        <v/>
      </c>
      <c r="H541" s="4" t="str">
        <f>IF(SUM(SUMIF('RAW DATA'!M:M,'RAW DATA'!B541,'RAW DATA'!J:J),SUMIF('RAW DATA'!N:N,'RAW DATA'!B541,'RAW DATA'!J:J),SUMIF('RAW DATA'!O:O,'RAW DATA'!B541,'RAW DATA'!J:J),SUMIF('RAW DATA'!P:P,'RAW DATA'!B541,'RAW DATA'!J:J))=0, "", SUM(SUMIF('RAW DATA'!M:M,'RAW DATA'!B541,'RAW DATA'!J:J),SUMIF('RAW DATA'!N:N,'RAW DATA'!B541,'RAW DATA'!J:J),SUMIF('RAW DATA'!O:O,'RAW DATA'!B541,'RAW DATA'!J:J),SUMIF('RAW DATA'!P:P,'RAW DATA'!B541,'RAW DATA'!J:J)))</f>
        <v/>
      </c>
      <c r="I541" s="4" t="str">
        <f>IF(SUMIF('RAW DATA'!M:M,'RAW DATA'!B541, 'RAW DATA'!K:K)=0, "", SUMIF('RAW DATA'!M:M,'RAW DATA'!B541, 'RAW DATA'!K:K))</f>
        <v/>
      </c>
      <c r="J541" s="29" t="str">
        <f>IF('RAW DATA'!B541&lt;&gt;"",IF(OR('RAW DATA'!H541=1,'RAW DATA'!H541=2),1,IF(ISNUMBER(FIND("Medic",'RAW DATA'!E541)),1,"")),"")</f>
        <v/>
      </c>
      <c r="K541" s="29" t="str">
        <f>IF(AND('RAW DATA'!$B541&lt;&gt;"",'RAW DATA'!L541=1),1,"")</f>
        <v/>
      </c>
      <c r="L541" s="24" t="str">
        <f t="shared" si="17"/>
        <v/>
      </c>
    </row>
    <row r="542" spans="2:12" x14ac:dyDescent="0.25">
      <c r="B542" s="27" t="str">
        <f>IF('RAW DATA'!$C544&lt;&gt;"",'RAW DATA'!$C544,"")</f>
        <v/>
      </c>
      <c r="C542" s="27" t="str">
        <f>IF('RAW DATA'!$D544&lt;&gt;"",'RAW DATA'!$D544,"")</f>
        <v/>
      </c>
      <c r="D542" s="1" t="str">
        <f>IF(AND($B541&lt;&gt;"", $B542=""), "TOTAL:", IF($D541="TOTAL:","VESSEL TARGET "&amp;'RAW DATA'!$E$2&amp;":",IF('RAW DATA'!$E542&lt;&gt;"",'RAW DATA'!$E542,"")))</f>
        <v/>
      </c>
      <c r="E542" s="29" t="str">
        <f t="shared" si="16"/>
        <v/>
      </c>
      <c r="F542" s="4" t="str">
        <f>IF($D541="TOTAL:",FIXED(ROUND(((SUM($F$4:$F540)/'RAW DATA'!$E$2)*100),1),1)&amp;"%",IF($D542="TOTAL:",SUM($F$4:$F541),IF(SUMIF('RAW DATA'!M:M,'RAW DATA'!B542,'RAW DATA'!H:H)=0,"",SUMIF('RAW DATA'!M:M,'RAW DATA'!B542,'RAW DATA'!H:H))))</f>
        <v/>
      </c>
      <c r="G542" s="4" t="str">
        <f>IF($D541="TOTAL:",FIXED(ROUND(((SUM($G$4:$G540)/'RAW DATA'!$E$2)*100),1),1)&amp;"%",IF($D542="TOTAL:",SUM($G$4:$G541),IF(SUMIF('RAW DATA'!M:M,'RAW DATA'!B542,'RAW DATA'!I:I)=0,"",SUMIF('RAW DATA'!M:M,'RAW DATA'!B542,'RAW DATA'!I:I))))</f>
        <v/>
      </c>
      <c r="H542" s="4" t="str">
        <f>IF(SUM(SUMIF('RAW DATA'!M:M,'RAW DATA'!B542,'RAW DATA'!J:J),SUMIF('RAW DATA'!N:N,'RAW DATA'!B542,'RAW DATA'!J:J),SUMIF('RAW DATA'!O:O,'RAW DATA'!B542,'RAW DATA'!J:J),SUMIF('RAW DATA'!P:P,'RAW DATA'!B542,'RAW DATA'!J:J))=0, "", SUM(SUMIF('RAW DATA'!M:M,'RAW DATA'!B542,'RAW DATA'!J:J),SUMIF('RAW DATA'!N:N,'RAW DATA'!B542,'RAW DATA'!J:J),SUMIF('RAW DATA'!O:O,'RAW DATA'!B542,'RAW DATA'!J:J),SUMIF('RAW DATA'!P:P,'RAW DATA'!B542,'RAW DATA'!J:J)))</f>
        <v/>
      </c>
      <c r="I542" s="4" t="str">
        <f>IF(SUMIF('RAW DATA'!M:M,'RAW DATA'!B542, 'RAW DATA'!K:K)=0, "", SUMIF('RAW DATA'!M:M,'RAW DATA'!B542, 'RAW DATA'!K:K))</f>
        <v/>
      </c>
      <c r="J542" s="29" t="str">
        <f>IF('RAW DATA'!B542&lt;&gt;"",IF(OR('RAW DATA'!H542=1,'RAW DATA'!H542=2),1,IF(ISNUMBER(FIND("Medic",'RAW DATA'!E542)),1,"")),"")</f>
        <v/>
      </c>
      <c r="K542" s="29" t="str">
        <f>IF(AND('RAW DATA'!$B542&lt;&gt;"",'RAW DATA'!L542=1),1,"")</f>
        <v/>
      </c>
      <c r="L542" s="24" t="str">
        <f t="shared" si="17"/>
        <v/>
      </c>
    </row>
    <row r="543" spans="2:12" x14ac:dyDescent="0.25">
      <c r="B543" s="27" t="str">
        <f>IF('RAW DATA'!$C545&lt;&gt;"",'RAW DATA'!$C545,"")</f>
        <v/>
      </c>
      <c r="C543" s="27" t="str">
        <f>IF('RAW DATA'!$D545&lt;&gt;"",'RAW DATA'!$D545,"")</f>
        <v/>
      </c>
      <c r="D543" s="1" t="str">
        <f>IF(AND($B542&lt;&gt;"", $B543=""), "TOTAL:", IF($D542="TOTAL:","VESSEL TARGET "&amp;'RAW DATA'!$E$2&amp;":",IF('RAW DATA'!$E543&lt;&gt;"",'RAW DATA'!$E543,"")))</f>
        <v/>
      </c>
      <c r="E543" s="29" t="str">
        <f t="shared" si="16"/>
        <v/>
      </c>
      <c r="F543" s="4" t="str">
        <f>IF($D542="TOTAL:",FIXED(ROUND(((SUM($F$4:$F541)/'RAW DATA'!$E$2)*100),1),1)&amp;"%",IF($D543="TOTAL:",SUM($F$4:$F542),IF(SUMIF('RAW DATA'!M:M,'RAW DATA'!B543,'RAW DATA'!H:H)=0,"",SUMIF('RAW DATA'!M:M,'RAW DATA'!B543,'RAW DATA'!H:H))))</f>
        <v/>
      </c>
      <c r="G543" s="4" t="str">
        <f>IF($D542="TOTAL:",FIXED(ROUND(((SUM($G$4:$G541)/'RAW DATA'!$E$2)*100),1),1)&amp;"%",IF($D543="TOTAL:",SUM($G$4:$G542),IF(SUMIF('RAW DATA'!M:M,'RAW DATA'!B543,'RAW DATA'!I:I)=0,"",SUMIF('RAW DATA'!M:M,'RAW DATA'!B543,'RAW DATA'!I:I))))</f>
        <v/>
      </c>
      <c r="H543" s="4" t="str">
        <f>IF(SUM(SUMIF('RAW DATA'!M:M,'RAW DATA'!B543,'RAW DATA'!J:J),SUMIF('RAW DATA'!N:N,'RAW DATA'!B543,'RAW DATA'!J:J),SUMIF('RAW DATA'!O:O,'RAW DATA'!B543,'RAW DATA'!J:J),SUMIF('RAW DATA'!P:P,'RAW DATA'!B543,'RAW DATA'!J:J))=0, "", SUM(SUMIF('RAW DATA'!M:M,'RAW DATA'!B543,'RAW DATA'!J:J),SUMIF('RAW DATA'!N:N,'RAW DATA'!B543,'RAW DATA'!J:J),SUMIF('RAW DATA'!O:O,'RAW DATA'!B543,'RAW DATA'!J:J),SUMIF('RAW DATA'!P:P,'RAW DATA'!B543,'RAW DATA'!J:J)))</f>
        <v/>
      </c>
      <c r="I543" s="4" t="str">
        <f>IF(SUMIF('RAW DATA'!M:M,'RAW DATA'!B543, 'RAW DATA'!K:K)=0, "", SUMIF('RAW DATA'!M:M,'RAW DATA'!B543, 'RAW DATA'!K:K))</f>
        <v/>
      </c>
      <c r="J543" s="29" t="str">
        <f>IF('RAW DATA'!B543&lt;&gt;"",IF(OR('RAW DATA'!H543=1,'RAW DATA'!H543=2),1,IF(ISNUMBER(FIND("Medic",'RAW DATA'!E543)),1,"")),"")</f>
        <v/>
      </c>
      <c r="K543" s="29" t="str">
        <f>IF(AND('RAW DATA'!$B543&lt;&gt;"",'RAW DATA'!L543=1),1,"")</f>
        <v/>
      </c>
      <c r="L543" s="24" t="str">
        <f t="shared" si="17"/>
        <v/>
      </c>
    </row>
    <row r="544" spans="2:12" x14ac:dyDescent="0.25">
      <c r="B544" s="27" t="str">
        <f>IF('RAW DATA'!$C546&lt;&gt;"",'RAW DATA'!$C546,"")</f>
        <v/>
      </c>
      <c r="C544" s="27" t="str">
        <f>IF('RAW DATA'!$D546&lt;&gt;"",'RAW DATA'!$D546,"")</f>
        <v/>
      </c>
      <c r="D544" s="1" t="str">
        <f>IF(AND($B543&lt;&gt;"", $B544=""), "TOTAL:", IF($D543="TOTAL:","VESSEL TARGET "&amp;'RAW DATA'!$E$2&amp;":",IF('RAW DATA'!$E544&lt;&gt;"",'RAW DATA'!$E544,"")))</f>
        <v/>
      </c>
      <c r="E544" s="29" t="str">
        <f t="shared" si="16"/>
        <v/>
      </c>
      <c r="F544" s="4" t="str">
        <f>IF($D543="TOTAL:",FIXED(ROUND(((SUM($F$4:$F542)/'RAW DATA'!$E$2)*100),1),1)&amp;"%",IF($D544="TOTAL:",SUM($F$4:$F543),IF(SUMIF('RAW DATA'!M:M,'RAW DATA'!B544,'RAW DATA'!H:H)=0,"",SUMIF('RAW DATA'!M:M,'RAW DATA'!B544,'RAW DATA'!H:H))))</f>
        <v/>
      </c>
      <c r="G544" s="4" t="str">
        <f>IF($D543="TOTAL:",FIXED(ROUND(((SUM($G$4:$G542)/'RAW DATA'!$E$2)*100),1),1)&amp;"%",IF($D544="TOTAL:",SUM($G$4:$G543),IF(SUMIF('RAW DATA'!M:M,'RAW DATA'!B544,'RAW DATA'!I:I)=0,"",SUMIF('RAW DATA'!M:M,'RAW DATA'!B544,'RAW DATA'!I:I))))</f>
        <v/>
      </c>
      <c r="H544" s="4" t="str">
        <f>IF(SUM(SUMIF('RAW DATA'!M:M,'RAW DATA'!B544,'RAW DATA'!J:J),SUMIF('RAW DATA'!N:N,'RAW DATA'!B544,'RAW DATA'!J:J),SUMIF('RAW DATA'!O:O,'RAW DATA'!B544,'RAW DATA'!J:J),SUMIF('RAW DATA'!P:P,'RAW DATA'!B544,'RAW DATA'!J:J))=0, "", SUM(SUMIF('RAW DATA'!M:M,'RAW DATA'!B544,'RAW DATA'!J:J),SUMIF('RAW DATA'!N:N,'RAW DATA'!B544,'RAW DATA'!J:J),SUMIF('RAW DATA'!O:O,'RAW DATA'!B544,'RAW DATA'!J:J),SUMIF('RAW DATA'!P:P,'RAW DATA'!B544,'RAW DATA'!J:J)))</f>
        <v/>
      </c>
      <c r="I544" s="4" t="str">
        <f>IF(SUMIF('RAW DATA'!M:M,'RAW DATA'!B544, 'RAW DATA'!K:K)=0, "", SUMIF('RAW DATA'!M:M,'RAW DATA'!B544, 'RAW DATA'!K:K))</f>
        <v/>
      </c>
      <c r="J544" s="29" t="str">
        <f>IF('RAW DATA'!B544&lt;&gt;"",IF(OR('RAW DATA'!H544=1,'RAW DATA'!H544=2),1,IF(ISNUMBER(FIND("Medic",'RAW DATA'!E544)),1,"")),"")</f>
        <v/>
      </c>
      <c r="K544" s="29" t="str">
        <f>IF(AND('RAW DATA'!$B544&lt;&gt;"",'RAW DATA'!L544=1),1,"")</f>
        <v/>
      </c>
      <c r="L544" s="24" t="str">
        <f t="shared" si="17"/>
        <v/>
      </c>
    </row>
    <row r="545" spans="2:12" x14ac:dyDescent="0.25">
      <c r="B545" s="27" t="str">
        <f>IF('RAW DATA'!$C547&lt;&gt;"",'RAW DATA'!$C547,"")</f>
        <v/>
      </c>
      <c r="C545" s="27" t="str">
        <f>IF('RAW DATA'!$D547&lt;&gt;"",'RAW DATA'!$D547,"")</f>
        <v/>
      </c>
      <c r="D545" s="1" t="str">
        <f>IF(AND($B544&lt;&gt;"", $B545=""), "TOTAL:", IF($D544="TOTAL:","VESSEL TARGET "&amp;'RAW DATA'!$E$2&amp;":",IF('RAW DATA'!$E545&lt;&gt;"",'RAW DATA'!$E545,"")))</f>
        <v/>
      </c>
      <c r="E545" s="29" t="str">
        <f t="shared" si="16"/>
        <v/>
      </c>
      <c r="F545" s="4" t="str">
        <f>IF($D544="TOTAL:",FIXED(ROUND(((SUM($F$4:$F543)/'RAW DATA'!$E$2)*100),1),1)&amp;"%",IF($D545="TOTAL:",SUM($F$4:$F544),IF(SUMIF('RAW DATA'!M:M,'RAW DATA'!B545,'RAW DATA'!H:H)=0,"",SUMIF('RAW DATA'!M:M,'RAW DATA'!B545,'RAW DATA'!H:H))))</f>
        <v/>
      </c>
      <c r="G545" s="4" t="str">
        <f>IF($D544="TOTAL:",FIXED(ROUND(((SUM($G$4:$G543)/'RAW DATA'!$E$2)*100),1),1)&amp;"%",IF($D545="TOTAL:",SUM($G$4:$G544),IF(SUMIF('RAW DATA'!M:M,'RAW DATA'!B545,'RAW DATA'!I:I)=0,"",SUMIF('RAW DATA'!M:M,'RAW DATA'!B545,'RAW DATA'!I:I))))</f>
        <v/>
      </c>
      <c r="H545" s="4" t="str">
        <f>IF(SUM(SUMIF('RAW DATA'!M:M,'RAW DATA'!B545,'RAW DATA'!J:J),SUMIF('RAW DATA'!N:N,'RAW DATA'!B545,'RAW DATA'!J:J),SUMIF('RAW DATA'!O:O,'RAW DATA'!B545,'RAW DATA'!J:J),SUMIF('RAW DATA'!P:P,'RAW DATA'!B545,'RAW DATA'!J:J))=0, "", SUM(SUMIF('RAW DATA'!M:M,'RAW DATA'!B545,'RAW DATA'!J:J),SUMIF('RAW DATA'!N:N,'RAW DATA'!B545,'RAW DATA'!J:J),SUMIF('RAW DATA'!O:O,'RAW DATA'!B545,'RAW DATA'!J:J),SUMIF('RAW DATA'!P:P,'RAW DATA'!B545,'RAW DATA'!J:J)))</f>
        <v/>
      </c>
      <c r="I545" s="4" t="str">
        <f>IF(SUMIF('RAW DATA'!M:M,'RAW DATA'!B545, 'RAW DATA'!K:K)=0, "", SUMIF('RAW DATA'!M:M,'RAW DATA'!B545, 'RAW DATA'!K:K))</f>
        <v/>
      </c>
      <c r="J545" s="29" t="str">
        <f>IF('RAW DATA'!B545&lt;&gt;"",IF(OR('RAW DATA'!H545=1,'RAW DATA'!H545=2),1,IF(ISNUMBER(FIND("Medic",'RAW DATA'!E545)),1,"")),"")</f>
        <v/>
      </c>
      <c r="K545" s="29" t="str">
        <f>IF(AND('RAW DATA'!$B545&lt;&gt;"",'RAW DATA'!L545=1),1,"")</f>
        <v/>
      </c>
      <c r="L545" s="24" t="str">
        <f t="shared" si="17"/>
        <v/>
      </c>
    </row>
    <row r="546" spans="2:12" x14ac:dyDescent="0.25">
      <c r="B546" s="27" t="str">
        <f>IF('RAW DATA'!$C548&lt;&gt;"",'RAW DATA'!$C548,"")</f>
        <v/>
      </c>
      <c r="C546" s="27" t="str">
        <f>IF('RAW DATA'!$D548&lt;&gt;"",'RAW DATA'!$D548,"")</f>
        <v/>
      </c>
      <c r="D546" s="1" t="str">
        <f>IF(AND($B545&lt;&gt;"", $B546=""), "TOTAL:", IF($D545="TOTAL:","VESSEL TARGET "&amp;'RAW DATA'!$E$2&amp;":",IF('RAW DATA'!$E546&lt;&gt;"",'RAW DATA'!$E546,"")))</f>
        <v/>
      </c>
      <c r="E546" s="29" t="str">
        <f t="shared" si="16"/>
        <v/>
      </c>
      <c r="F546" s="4" t="str">
        <f>IF($D545="TOTAL:",FIXED(ROUND(((SUM($F$4:$F544)/'RAW DATA'!$E$2)*100),1),1)&amp;"%",IF($D546="TOTAL:",SUM($F$4:$F545),IF(SUMIF('RAW DATA'!M:M,'RAW DATA'!B546,'RAW DATA'!H:H)=0,"",SUMIF('RAW DATA'!M:M,'RAW DATA'!B546,'RAW DATA'!H:H))))</f>
        <v/>
      </c>
      <c r="G546" s="4" t="str">
        <f>IF($D545="TOTAL:",FIXED(ROUND(((SUM($G$4:$G544)/'RAW DATA'!$E$2)*100),1),1)&amp;"%",IF($D546="TOTAL:",SUM($G$4:$G545),IF(SUMIF('RAW DATA'!M:M,'RAW DATA'!B546,'RAW DATA'!I:I)=0,"",SUMIF('RAW DATA'!M:M,'RAW DATA'!B546,'RAW DATA'!I:I))))</f>
        <v/>
      </c>
      <c r="H546" s="4" t="str">
        <f>IF(SUM(SUMIF('RAW DATA'!M:M,'RAW DATA'!B546,'RAW DATA'!J:J),SUMIF('RAW DATA'!N:N,'RAW DATA'!B546,'RAW DATA'!J:J),SUMIF('RAW DATA'!O:O,'RAW DATA'!B546,'RAW DATA'!J:J),SUMIF('RAW DATA'!P:P,'RAW DATA'!B546,'RAW DATA'!J:J))=0, "", SUM(SUMIF('RAW DATA'!M:M,'RAW DATA'!B546,'RAW DATA'!J:J),SUMIF('RAW DATA'!N:N,'RAW DATA'!B546,'RAW DATA'!J:J),SUMIF('RAW DATA'!O:O,'RAW DATA'!B546,'RAW DATA'!J:J),SUMIF('RAW DATA'!P:P,'RAW DATA'!B546,'RAW DATA'!J:J)))</f>
        <v/>
      </c>
      <c r="I546" s="4" t="str">
        <f>IF(SUMIF('RAW DATA'!M:M,'RAW DATA'!B546, 'RAW DATA'!K:K)=0, "", SUMIF('RAW DATA'!M:M,'RAW DATA'!B546, 'RAW DATA'!K:K))</f>
        <v/>
      </c>
      <c r="J546" s="29" t="str">
        <f>IF('RAW DATA'!B546&lt;&gt;"",IF(OR('RAW DATA'!H546=1,'RAW DATA'!H546=2),1,IF(ISNUMBER(FIND("Medic",'RAW DATA'!E546)),1,"")),"")</f>
        <v/>
      </c>
      <c r="K546" s="29" t="str">
        <f>IF(AND('RAW DATA'!$B546&lt;&gt;"",'RAW DATA'!L546=1),1,"")</f>
        <v/>
      </c>
      <c r="L546" s="24" t="str">
        <f t="shared" si="17"/>
        <v/>
      </c>
    </row>
    <row r="547" spans="2:12" x14ac:dyDescent="0.25">
      <c r="B547" s="27" t="str">
        <f>IF('RAW DATA'!$C549&lt;&gt;"",'RAW DATA'!$C549,"")</f>
        <v/>
      </c>
      <c r="C547" s="27" t="str">
        <f>IF('RAW DATA'!$D549&lt;&gt;"",'RAW DATA'!$D549,"")</f>
        <v/>
      </c>
      <c r="D547" s="1" t="str">
        <f>IF(AND($B546&lt;&gt;"", $B547=""), "TOTAL:", IF($D546="TOTAL:","VESSEL TARGET "&amp;'RAW DATA'!$E$2&amp;":",IF('RAW DATA'!$E547&lt;&gt;"",'RAW DATA'!$E547,"")))</f>
        <v/>
      </c>
      <c r="E547" s="29" t="str">
        <f t="shared" si="16"/>
        <v/>
      </c>
      <c r="F547" s="4" t="str">
        <f>IF($D546="TOTAL:",FIXED(ROUND(((SUM($F$4:$F545)/'RAW DATA'!$E$2)*100),1),1)&amp;"%",IF($D547="TOTAL:",SUM($F$4:$F546),IF(SUMIF('RAW DATA'!M:M,'RAW DATA'!B547,'RAW DATA'!H:H)=0,"",SUMIF('RAW DATA'!M:M,'RAW DATA'!B547,'RAW DATA'!H:H))))</f>
        <v/>
      </c>
      <c r="G547" s="4" t="str">
        <f>IF($D546="TOTAL:",FIXED(ROUND(((SUM($G$4:$G545)/'RAW DATA'!$E$2)*100),1),1)&amp;"%",IF($D547="TOTAL:",SUM($G$4:$G546),IF(SUMIF('RAW DATA'!M:M,'RAW DATA'!B547,'RAW DATA'!I:I)=0,"",SUMIF('RAW DATA'!M:M,'RAW DATA'!B547,'RAW DATA'!I:I))))</f>
        <v/>
      </c>
      <c r="H547" s="4" t="str">
        <f>IF(SUM(SUMIF('RAW DATA'!M:M,'RAW DATA'!B547,'RAW DATA'!J:J),SUMIF('RAW DATA'!N:N,'RAW DATA'!B547,'RAW DATA'!J:J),SUMIF('RAW DATA'!O:O,'RAW DATA'!B547,'RAW DATA'!J:J),SUMIF('RAW DATA'!P:P,'RAW DATA'!B547,'RAW DATA'!J:J))=0, "", SUM(SUMIF('RAW DATA'!M:M,'RAW DATA'!B547,'RAW DATA'!J:J),SUMIF('RAW DATA'!N:N,'RAW DATA'!B547,'RAW DATA'!J:J),SUMIF('RAW DATA'!O:O,'RAW DATA'!B547,'RAW DATA'!J:J),SUMIF('RAW DATA'!P:P,'RAW DATA'!B547,'RAW DATA'!J:J)))</f>
        <v/>
      </c>
      <c r="I547" s="4" t="str">
        <f>IF(SUMIF('RAW DATA'!M:M,'RAW DATA'!B547, 'RAW DATA'!K:K)=0, "", SUMIF('RAW DATA'!M:M,'RAW DATA'!B547, 'RAW DATA'!K:K))</f>
        <v/>
      </c>
      <c r="J547" s="29" t="str">
        <f>IF('RAW DATA'!B547&lt;&gt;"",IF(OR('RAW DATA'!H547=1,'RAW DATA'!H547=2),1,IF(ISNUMBER(FIND("Medic",'RAW DATA'!E547)),1,"")),"")</f>
        <v/>
      </c>
      <c r="K547" s="29" t="str">
        <f>IF(AND('RAW DATA'!$B547&lt;&gt;"",'RAW DATA'!L547=1),1,"")</f>
        <v/>
      </c>
      <c r="L547" s="24" t="str">
        <f t="shared" si="17"/>
        <v/>
      </c>
    </row>
    <row r="548" spans="2:12" x14ac:dyDescent="0.25">
      <c r="B548" s="27" t="str">
        <f>IF('RAW DATA'!$C550&lt;&gt;"",'RAW DATA'!$C550,"")</f>
        <v/>
      </c>
      <c r="C548" s="27" t="str">
        <f>IF('RAW DATA'!$D550&lt;&gt;"",'RAW DATA'!$D550,"")</f>
        <v/>
      </c>
      <c r="D548" s="1" t="str">
        <f>IF(AND($B547&lt;&gt;"", $B548=""), "TOTAL:", IF($D547="TOTAL:","VESSEL TARGET "&amp;'RAW DATA'!$E$2&amp;":",IF('RAW DATA'!$E548&lt;&gt;"",'RAW DATA'!$E548,"")))</f>
        <v/>
      </c>
      <c r="E548" s="29" t="str">
        <f t="shared" si="16"/>
        <v/>
      </c>
      <c r="F548" s="4" t="str">
        <f>IF($D547="TOTAL:",FIXED(ROUND(((SUM($F$4:$F546)/'RAW DATA'!$E$2)*100),1),1)&amp;"%",IF($D548="TOTAL:",SUM($F$4:$F547),IF(SUMIF('RAW DATA'!M:M,'RAW DATA'!B548,'RAW DATA'!H:H)=0,"",SUMIF('RAW DATA'!M:M,'RAW DATA'!B548,'RAW DATA'!H:H))))</f>
        <v/>
      </c>
      <c r="G548" s="4" t="str">
        <f>IF($D547="TOTAL:",FIXED(ROUND(((SUM($G$4:$G546)/'RAW DATA'!$E$2)*100),1),1)&amp;"%",IF($D548="TOTAL:",SUM($G$4:$G547),IF(SUMIF('RAW DATA'!M:M,'RAW DATA'!B548,'RAW DATA'!I:I)=0,"",SUMIF('RAW DATA'!M:M,'RAW DATA'!B548,'RAW DATA'!I:I))))</f>
        <v/>
      </c>
      <c r="H548" s="4" t="str">
        <f>IF(SUM(SUMIF('RAW DATA'!M:M,'RAW DATA'!B548,'RAW DATA'!J:J),SUMIF('RAW DATA'!N:N,'RAW DATA'!B548,'RAW DATA'!J:J),SUMIF('RAW DATA'!O:O,'RAW DATA'!B548,'RAW DATA'!J:J),SUMIF('RAW DATA'!P:P,'RAW DATA'!B548,'RAW DATA'!J:J))=0, "", SUM(SUMIF('RAW DATA'!M:M,'RAW DATA'!B548,'RAW DATA'!J:J),SUMIF('RAW DATA'!N:N,'RAW DATA'!B548,'RAW DATA'!J:J),SUMIF('RAW DATA'!O:O,'RAW DATA'!B548,'RAW DATA'!J:J),SUMIF('RAW DATA'!P:P,'RAW DATA'!B548,'RAW DATA'!J:J)))</f>
        <v/>
      </c>
      <c r="I548" s="4" t="str">
        <f>IF(SUMIF('RAW DATA'!M:M,'RAW DATA'!B548, 'RAW DATA'!K:K)=0, "", SUMIF('RAW DATA'!M:M,'RAW DATA'!B548, 'RAW DATA'!K:K))</f>
        <v/>
      </c>
      <c r="J548" s="29" t="str">
        <f>IF('RAW DATA'!B548&lt;&gt;"",IF(OR('RAW DATA'!H548=1,'RAW DATA'!H548=2),1,IF(ISNUMBER(FIND("Medic",'RAW DATA'!E548)),1,"")),"")</f>
        <v/>
      </c>
      <c r="K548" s="29" t="str">
        <f>IF(AND('RAW DATA'!$B548&lt;&gt;"",'RAW DATA'!L548=1),1,"")</f>
        <v/>
      </c>
      <c r="L548" s="24" t="str">
        <f t="shared" si="17"/>
        <v/>
      </c>
    </row>
    <row r="549" spans="2:12" x14ac:dyDescent="0.25">
      <c r="B549" s="27" t="str">
        <f>IF('RAW DATA'!$C551&lt;&gt;"",'RAW DATA'!$C551,"")</f>
        <v/>
      </c>
      <c r="C549" s="27" t="str">
        <f>IF('RAW DATA'!$D551&lt;&gt;"",'RAW DATA'!$D551,"")</f>
        <v/>
      </c>
      <c r="D549" s="1" t="str">
        <f>IF(AND($B548&lt;&gt;"", $B549=""), "TOTAL:", IF($D548="TOTAL:","VESSEL TARGET "&amp;'RAW DATA'!$E$2&amp;":",IF('RAW DATA'!$E549&lt;&gt;"",'RAW DATA'!$E549,"")))</f>
        <v/>
      </c>
      <c r="E549" s="29" t="str">
        <f t="shared" si="16"/>
        <v/>
      </c>
      <c r="F549" s="4" t="str">
        <f>IF($D548="TOTAL:",FIXED(ROUND(((SUM($F$4:$F547)/'RAW DATA'!$E$2)*100),1),1)&amp;"%",IF($D549="TOTAL:",SUM($F$4:$F548),IF(SUMIF('RAW DATA'!M:M,'RAW DATA'!B549,'RAW DATA'!H:H)=0,"",SUMIF('RAW DATA'!M:M,'RAW DATA'!B549,'RAW DATA'!H:H))))</f>
        <v/>
      </c>
      <c r="G549" s="4" t="str">
        <f>IF($D548="TOTAL:",FIXED(ROUND(((SUM($G$4:$G547)/'RAW DATA'!$E$2)*100),1),1)&amp;"%",IF($D549="TOTAL:",SUM($G$4:$G548),IF(SUMIF('RAW DATA'!M:M,'RAW DATA'!B549,'RAW DATA'!I:I)=0,"",SUMIF('RAW DATA'!M:M,'RAW DATA'!B549,'RAW DATA'!I:I))))</f>
        <v/>
      </c>
      <c r="H549" s="4" t="str">
        <f>IF(SUM(SUMIF('RAW DATA'!M:M,'RAW DATA'!B549,'RAW DATA'!J:J),SUMIF('RAW DATA'!N:N,'RAW DATA'!B549,'RAW DATA'!J:J),SUMIF('RAW DATA'!O:O,'RAW DATA'!B549,'RAW DATA'!J:J),SUMIF('RAW DATA'!P:P,'RAW DATA'!B549,'RAW DATA'!J:J))=0, "", SUM(SUMIF('RAW DATA'!M:M,'RAW DATA'!B549,'RAW DATA'!J:J),SUMIF('RAW DATA'!N:N,'RAW DATA'!B549,'RAW DATA'!J:J),SUMIF('RAW DATA'!O:O,'RAW DATA'!B549,'RAW DATA'!J:J),SUMIF('RAW DATA'!P:P,'RAW DATA'!B549,'RAW DATA'!J:J)))</f>
        <v/>
      </c>
      <c r="I549" s="4" t="str">
        <f>IF(SUMIF('RAW DATA'!M:M,'RAW DATA'!B549, 'RAW DATA'!K:K)=0, "", SUMIF('RAW DATA'!M:M,'RAW DATA'!B549, 'RAW DATA'!K:K))</f>
        <v/>
      </c>
      <c r="J549" s="29" t="str">
        <f>IF('RAW DATA'!B549&lt;&gt;"",IF(OR('RAW DATA'!H549=1,'RAW DATA'!H549=2),1,IF(ISNUMBER(FIND("Medic",'RAW DATA'!E549)),1,"")),"")</f>
        <v/>
      </c>
      <c r="K549" s="29" t="str">
        <f>IF(AND('RAW DATA'!$B549&lt;&gt;"",'RAW DATA'!L549=1),1,"")</f>
        <v/>
      </c>
      <c r="L549" s="24" t="str">
        <f t="shared" si="17"/>
        <v/>
      </c>
    </row>
    <row r="550" spans="2:12" x14ac:dyDescent="0.25">
      <c r="B550" s="27" t="str">
        <f>IF('RAW DATA'!$C552&lt;&gt;"",'RAW DATA'!$C552,"")</f>
        <v/>
      </c>
      <c r="C550" s="27" t="str">
        <f>IF('RAW DATA'!$D552&lt;&gt;"",'RAW DATA'!$D552,"")</f>
        <v/>
      </c>
      <c r="D550" s="1" t="str">
        <f>IF(AND($B549&lt;&gt;"", $B550=""), "TOTAL:", IF($D549="TOTAL:","VESSEL TARGET "&amp;'RAW DATA'!$E$2&amp;":",IF('RAW DATA'!$E550&lt;&gt;"",'RAW DATA'!$E550,"")))</f>
        <v/>
      </c>
      <c r="E550" s="29" t="str">
        <f t="shared" si="16"/>
        <v/>
      </c>
      <c r="F550" s="4" t="str">
        <f>IF($D549="TOTAL:",FIXED(ROUND(((SUM($F$4:$F548)/'RAW DATA'!$E$2)*100),1),1)&amp;"%",IF($D550="TOTAL:",SUM($F$4:$F549),IF(SUMIF('RAW DATA'!M:M,'RAW DATA'!B550,'RAW DATA'!H:H)=0,"",SUMIF('RAW DATA'!M:M,'RAW DATA'!B550,'RAW DATA'!H:H))))</f>
        <v/>
      </c>
      <c r="G550" s="4" t="str">
        <f>IF($D549="TOTAL:",FIXED(ROUND(((SUM($G$4:$G548)/'RAW DATA'!$E$2)*100),1),1)&amp;"%",IF($D550="TOTAL:",SUM($G$4:$G549),IF(SUMIF('RAW DATA'!M:M,'RAW DATA'!B550,'RAW DATA'!I:I)=0,"",SUMIF('RAW DATA'!M:M,'RAW DATA'!B550,'RAW DATA'!I:I))))</f>
        <v/>
      </c>
      <c r="H550" s="4" t="str">
        <f>IF(SUM(SUMIF('RAW DATA'!M:M,'RAW DATA'!B550,'RAW DATA'!J:J),SUMIF('RAW DATA'!N:N,'RAW DATA'!B550,'RAW DATA'!J:J),SUMIF('RAW DATA'!O:O,'RAW DATA'!B550,'RAW DATA'!J:J),SUMIF('RAW DATA'!P:P,'RAW DATA'!B550,'RAW DATA'!J:J))=0, "", SUM(SUMIF('RAW DATA'!M:M,'RAW DATA'!B550,'RAW DATA'!J:J),SUMIF('RAW DATA'!N:N,'RAW DATA'!B550,'RAW DATA'!J:J),SUMIF('RAW DATA'!O:O,'RAW DATA'!B550,'RAW DATA'!J:J),SUMIF('RAW DATA'!P:P,'RAW DATA'!B550,'RAW DATA'!J:J)))</f>
        <v/>
      </c>
      <c r="I550" s="4" t="str">
        <f>IF(SUMIF('RAW DATA'!M:M,'RAW DATA'!B550, 'RAW DATA'!K:K)=0, "", SUMIF('RAW DATA'!M:M,'RAW DATA'!B550, 'RAW DATA'!K:K))</f>
        <v/>
      </c>
      <c r="J550" s="29" t="str">
        <f>IF('RAW DATA'!B550&lt;&gt;"",IF(OR('RAW DATA'!H550=1,'RAW DATA'!H550=2),1,IF(ISNUMBER(FIND("Medic",'RAW DATA'!E550)),1,"")),"")</f>
        <v/>
      </c>
      <c r="K550" s="29" t="str">
        <f>IF(AND('RAW DATA'!$B550&lt;&gt;"",'RAW DATA'!L550=1),1,"")</f>
        <v/>
      </c>
      <c r="L550" s="24" t="str">
        <f t="shared" si="17"/>
        <v/>
      </c>
    </row>
    <row r="551" spans="2:12" x14ac:dyDescent="0.25">
      <c r="B551" s="27" t="str">
        <f>IF('RAW DATA'!$C553&lt;&gt;"",'RAW DATA'!$C553,"")</f>
        <v/>
      </c>
      <c r="C551" s="27" t="str">
        <f>IF('RAW DATA'!$D553&lt;&gt;"",'RAW DATA'!$D553,"")</f>
        <v/>
      </c>
      <c r="D551" s="1" t="str">
        <f>IF(AND($B550&lt;&gt;"", $B551=""), "TOTAL:", IF($D550="TOTAL:","VESSEL TARGET "&amp;'RAW DATA'!$E$2&amp;":",IF('RAW DATA'!$E551&lt;&gt;"",'RAW DATA'!$E551,"")))</f>
        <v/>
      </c>
      <c r="E551" s="29" t="str">
        <f t="shared" si="16"/>
        <v/>
      </c>
      <c r="F551" s="4" t="str">
        <f>IF($D550="TOTAL:",FIXED(ROUND(((SUM($F$4:$F549)/'RAW DATA'!$E$2)*100),1),1)&amp;"%",IF($D551="TOTAL:",SUM($F$4:$F550),IF(SUMIF('RAW DATA'!M:M,'RAW DATA'!B551,'RAW DATA'!H:H)=0,"",SUMIF('RAW DATA'!M:M,'RAW DATA'!B551,'RAW DATA'!H:H))))</f>
        <v/>
      </c>
      <c r="G551" s="4" t="str">
        <f>IF($D550="TOTAL:",FIXED(ROUND(((SUM($G$4:$G549)/'RAW DATA'!$E$2)*100),1),1)&amp;"%",IF($D551="TOTAL:",SUM($G$4:$G550),IF(SUMIF('RAW DATA'!M:M,'RAW DATA'!B551,'RAW DATA'!I:I)=0,"",SUMIF('RAW DATA'!M:M,'RAW DATA'!B551,'RAW DATA'!I:I))))</f>
        <v/>
      </c>
      <c r="H551" s="4" t="str">
        <f>IF(SUM(SUMIF('RAW DATA'!M:M,'RAW DATA'!B551,'RAW DATA'!J:J),SUMIF('RAW DATA'!N:N,'RAW DATA'!B551,'RAW DATA'!J:J),SUMIF('RAW DATA'!O:O,'RAW DATA'!B551,'RAW DATA'!J:J),SUMIF('RAW DATA'!P:P,'RAW DATA'!B551,'RAW DATA'!J:J))=0, "", SUM(SUMIF('RAW DATA'!M:M,'RAW DATA'!B551,'RAW DATA'!J:J),SUMIF('RAW DATA'!N:N,'RAW DATA'!B551,'RAW DATA'!J:J),SUMIF('RAW DATA'!O:O,'RAW DATA'!B551,'RAW DATA'!J:J),SUMIF('RAW DATA'!P:P,'RAW DATA'!B551,'RAW DATA'!J:J)))</f>
        <v/>
      </c>
      <c r="I551" s="4" t="str">
        <f>IF(SUMIF('RAW DATA'!M:M,'RAW DATA'!B551, 'RAW DATA'!K:K)=0, "", SUMIF('RAW DATA'!M:M,'RAW DATA'!B551, 'RAW DATA'!K:K))</f>
        <v/>
      </c>
      <c r="J551" s="29" t="str">
        <f>IF('RAW DATA'!B551&lt;&gt;"",IF(OR('RAW DATA'!H551=1,'RAW DATA'!H551=2),1,IF(ISNUMBER(FIND("Medic",'RAW DATA'!E551)),1,"")),"")</f>
        <v/>
      </c>
      <c r="K551" s="29" t="str">
        <f>IF(AND('RAW DATA'!$B551&lt;&gt;"",'RAW DATA'!L551=1),1,"")</f>
        <v/>
      </c>
      <c r="L551" s="24" t="str">
        <f t="shared" si="17"/>
        <v/>
      </c>
    </row>
    <row r="552" spans="2:12" x14ac:dyDescent="0.25">
      <c r="B552" s="27" t="str">
        <f>IF('RAW DATA'!$C554&lt;&gt;"",'RAW DATA'!$C554,"")</f>
        <v/>
      </c>
      <c r="C552" s="27" t="str">
        <f>IF('RAW DATA'!$D554&lt;&gt;"",'RAW DATA'!$D554,"")</f>
        <v/>
      </c>
      <c r="D552" s="1" t="str">
        <f>IF(AND($B551&lt;&gt;"", $B552=""), "TOTAL:", IF($D551="TOTAL:","VESSEL TARGET "&amp;'RAW DATA'!$E$2&amp;":",IF('RAW DATA'!$E552&lt;&gt;"",'RAW DATA'!$E552,"")))</f>
        <v/>
      </c>
      <c r="E552" s="29" t="str">
        <f t="shared" si="16"/>
        <v/>
      </c>
      <c r="F552" s="4" t="str">
        <f>IF($D551="TOTAL:",FIXED(ROUND(((SUM($F$4:$F550)/'RAW DATA'!$E$2)*100),1),1)&amp;"%",IF($D552="TOTAL:",SUM($F$4:$F551),IF(SUMIF('RAW DATA'!M:M,'RAW DATA'!B552,'RAW DATA'!H:H)=0,"",SUMIF('RAW DATA'!M:M,'RAW DATA'!B552,'RAW DATA'!H:H))))</f>
        <v/>
      </c>
      <c r="G552" s="4" t="str">
        <f>IF($D551="TOTAL:",FIXED(ROUND(((SUM($G$4:$G550)/'RAW DATA'!$E$2)*100),1),1)&amp;"%",IF($D552="TOTAL:",SUM($G$4:$G551),IF(SUMIF('RAW DATA'!M:M,'RAW DATA'!B552,'RAW DATA'!I:I)=0,"",SUMIF('RAW DATA'!M:M,'RAW DATA'!B552,'RAW DATA'!I:I))))</f>
        <v/>
      </c>
      <c r="H552" s="4" t="str">
        <f>IF(SUM(SUMIF('RAW DATA'!M:M,'RAW DATA'!B552,'RAW DATA'!J:J),SUMIF('RAW DATA'!N:N,'RAW DATA'!B552,'RAW DATA'!J:J),SUMIF('RAW DATA'!O:O,'RAW DATA'!B552,'RAW DATA'!J:J),SUMIF('RAW DATA'!P:P,'RAW DATA'!B552,'RAW DATA'!J:J))=0, "", SUM(SUMIF('RAW DATA'!M:M,'RAW DATA'!B552,'RAW DATA'!J:J),SUMIF('RAW DATA'!N:N,'RAW DATA'!B552,'RAW DATA'!J:J),SUMIF('RAW DATA'!O:O,'RAW DATA'!B552,'RAW DATA'!J:J),SUMIF('RAW DATA'!P:P,'RAW DATA'!B552,'RAW DATA'!J:J)))</f>
        <v/>
      </c>
      <c r="I552" s="4" t="str">
        <f>IF(SUMIF('RAW DATA'!M:M,'RAW DATA'!B552, 'RAW DATA'!K:K)=0, "", SUMIF('RAW DATA'!M:M,'RAW DATA'!B552, 'RAW DATA'!K:K))</f>
        <v/>
      </c>
      <c r="J552" s="29" t="str">
        <f>IF('RAW DATA'!B552&lt;&gt;"",IF(OR('RAW DATA'!H552=1,'RAW DATA'!H552=2),1,IF(ISNUMBER(FIND("Medic",'RAW DATA'!E552)),1,"")),"")</f>
        <v/>
      </c>
      <c r="K552" s="29" t="str">
        <f>IF(AND('RAW DATA'!$B552&lt;&gt;"",'RAW DATA'!L552=1),1,"")</f>
        <v/>
      </c>
      <c r="L552" s="24" t="str">
        <f t="shared" si="17"/>
        <v/>
      </c>
    </row>
    <row r="553" spans="2:12" x14ac:dyDescent="0.25">
      <c r="B553" s="27" t="str">
        <f>IF('RAW DATA'!$C555&lt;&gt;"",'RAW DATA'!$C555,"")</f>
        <v/>
      </c>
      <c r="C553" s="27" t="str">
        <f>IF('RAW DATA'!$D555&lt;&gt;"",'RAW DATA'!$D555,"")</f>
        <v/>
      </c>
      <c r="D553" s="1" t="str">
        <f>IF(AND($B552&lt;&gt;"", $B553=""), "TOTAL:", IF($D552="TOTAL:","VESSEL TARGET "&amp;'RAW DATA'!$E$2&amp;":",IF('RAW DATA'!$E553&lt;&gt;"",'RAW DATA'!$E553,"")))</f>
        <v/>
      </c>
      <c r="E553" s="29" t="str">
        <f t="shared" si="16"/>
        <v/>
      </c>
      <c r="F553" s="4" t="str">
        <f>IF($D552="TOTAL:",FIXED(ROUND(((SUM($F$4:$F551)/'RAW DATA'!$E$2)*100),1),1)&amp;"%",IF($D553="TOTAL:",SUM($F$4:$F552),IF(SUMIF('RAW DATA'!M:M,'RAW DATA'!B553,'RAW DATA'!H:H)=0,"",SUMIF('RAW DATA'!M:M,'RAW DATA'!B553,'RAW DATA'!H:H))))</f>
        <v/>
      </c>
      <c r="G553" s="4" t="str">
        <f>IF($D552="TOTAL:",FIXED(ROUND(((SUM($G$4:$G551)/'RAW DATA'!$E$2)*100),1),1)&amp;"%",IF($D553="TOTAL:",SUM($G$4:$G552),IF(SUMIF('RAW DATA'!M:M,'RAW DATA'!B553,'RAW DATA'!I:I)=0,"",SUMIF('RAW DATA'!M:M,'RAW DATA'!B553,'RAW DATA'!I:I))))</f>
        <v/>
      </c>
      <c r="H553" s="4" t="str">
        <f>IF(SUM(SUMIF('RAW DATA'!M:M,'RAW DATA'!B553,'RAW DATA'!J:J),SUMIF('RAW DATA'!N:N,'RAW DATA'!B553,'RAW DATA'!J:J),SUMIF('RAW DATA'!O:O,'RAW DATA'!B553,'RAW DATA'!J:J),SUMIF('RAW DATA'!P:P,'RAW DATA'!B553,'RAW DATA'!J:J))=0, "", SUM(SUMIF('RAW DATA'!M:M,'RAW DATA'!B553,'RAW DATA'!J:J),SUMIF('RAW DATA'!N:N,'RAW DATA'!B553,'RAW DATA'!J:J),SUMIF('RAW DATA'!O:O,'RAW DATA'!B553,'RAW DATA'!J:J),SUMIF('RAW DATA'!P:P,'RAW DATA'!B553,'RAW DATA'!J:J)))</f>
        <v/>
      </c>
      <c r="I553" s="4" t="str">
        <f>IF(SUMIF('RAW DATA'!M:M,'RAW DATA'!B553, 'RAW DATA'!K:K)=0, "", SUMIF('RAW DATA'!M:M,'RAW DATA'!B553, 'RAW DATA'!K:K))</f>
        <v/>
      </c>
      <c r="J553" s="29" t="str">
        <f>IF('RAW DATA'!B553&lt;&gt;"",IF(OR('RAW DATA'!H553=1,'RAW DATA'!H553=2),1,IF(ISNUMBER(FIND("Medic",'RAW DATA'!E553)),1,"")),"")</f>
        <v/>
      </c>
      <c r="K553" s="29" t="str">
        <f>IF(AND('RAW DATA'!$B553&lt;&gt;"",'RAW DATA'!L553=1),1,"")</f>
        <v/>
      </c>
      <c r="L553" s="24" t="str">
        <f t="shared" si="17"/>
        <v/>
      </c>
    </row>
    <row r="554" spans="2:12" x14ac:dyDescent="0.25">
      <c r="B554" s="27" t="str">
        <f>IF('RAW DATA'!$C556&lt;&gt;"",'RAW DATA'!$C556,"")</f>
        <v/>
      </c>
      <c r="C554" s="27" t="str">
        <f>IF('RAW DATA'!$D556&lt;&gt;"",'RAW DATA'!$D556,"")</f>
        <v/>
      </c>
      <c r="D554" s="1" t="str">
        <f>IF(AND($B553&lt;&gt;"", $B554=""), "TOTAL:", IF($D553="TOTAL:","VESSEL TARGET "&amp;'RAW DATA'!$E$2&amp;":",IF('RAW DATA'!$E554&lt;&gt;"",'RAW DATA'!$E554,"")))</f>
        <v/>
      </c>
      <c r="E554" s="29" t="str">
        <f t="shared" si="16"/>
        <v/>
      </c>
      <c r="F554" s="4" t="str">
        <f>IF($D553="TOTAL:",FIXED(ROUND(((SUM($F$4:$F552)/'RAW DATA'!$E$2)*100),1),1)&amp;"%",IF($D554="TOTAL:",SUM($F$4:$F553),IF(SUMIF('RAW DATA'!M:M,'RAW DATA'!B554,'RAW DATA'!H:H)=0,"",SUMIF('RAW DATA'!M:M,'RAW DATA'!B554,'RAW DATA'!H:H))))</f>
        <v/>
      </c>
      <c r="G554" s="4" t="str">
        <f>IF($D553="TOTAL:",FIXED(ROUND(((SUM($G$4:$G552)/'RAW DATA'!$E$2)*100),1),1)&amp;"%",IF($D554="TOTAL:",SUM($G$4:$G553),IF(SUMIF('RAW DATA'!M:M,'RAW DATA'!B554,'RAW DATA'!I:I)=0,"",SUMIF('RAW DATA'!M:M,'RAW DATA'!B554,'RAW DATA'!I:I))))</f>
        <v/>
      </c>
      <c r="H554" s="4" t="str">
        <f>IF(SUM(SUMIF('RAW DATA'!M:M,'RAW DATA'!B554,'RAW DATA'!J:J),SUMIF('RAW DATA'!N:N,'RAW DATA'!B554,'RAW DATA'!J:J),SUMIF('RAW DATA'!O:O,'RAW DATA'!B554,'RAW DATA'!J:J),SUMIF('RAW DATA'!P:P,'RAW DATA'!B554,'RAW DATA'!J:J))=0, "", SUM(SUMIF('RAW DATA'!M:M,'RAW DATA'!B554,'RAW DATA'!J:J),SUMIF('RAW DATA'!N:N,'RAW DATA'!B554,'RAW DATA'!J:J),SUMIF('RAW DATA'!O:O,'RAW DATA'!B554,'RAW DATA'!J:J),SUMIF('RAW DATA'!P:P,'RAW DATA'!B554,'RAW DATA'!J:J)))</f>
        <v/>
      </c>
      <c r="I554" s="4" t="str">
        <f>IF(SUMIF('RAW DATA'!M:M,'RAW DATA'!B554, 'RAW DATA'!K:K)=0, "", SUMIF('RAW DATA'!M:M,'RAW DATA'!B554, 'RAW DATA'!K:K))</f>
        <v/>
      </c>
      <c r="J554" s="29" t="str">
        <f>IF('RAW DATA'!B554&lt;&gt;"",IF(OR('RAW DATA'!H554=1,'RAW DATA'!H554=2),1,IF(ISNUMBER(FIND("Medic",'RAW DATA'!E554)),1,"")),"")</f>
        <v/>
      </c>
      <c r="K554" s="29" t="str">
        <f>IF(AND('RAW DATA'!$B554&lt;&gt;"",'RAW DATA'!L554=1),1,"")</f>
        <v/>
      </c>
      <c r="L554" s="24" t="str">
        <f t="shared" si="17"/>
        <v/>
      </c>
    </row>
    <row r="555" spans="2:12" x14ac:dyDescent="0.25">
      <c r="B555" s="27" t="str">
        <f>IF('RAW DATA'!$C557&lt;&gt;"",'RAW DATA'!$C557,"")</f>
        <v/>
      </c>
      <c r="C555" s="27" t="str">
        <f>IF('RAW DATA'!$D557&lt;&gt;"",'RAW DATA'!$D557,"")</f>
        <v/>
      </c>
      <c r="D555" s="1" t="str">
        <f>IF(AND($B554&lt;&gt;"", $B555=""), "TOTAL:", IF($D554="TOTAL:","VESSEL TARGET "&amp;'RAW DATA'!$E$2&amp;":",IF('RAW DATA'!$E555&lt;&gt;"",'RAW DATA'!$E555,"")))</f>
        <v/>
      </c>
      <c r="E555" s="29" t="str">
        <f t="shared" si="16"/>
        <v/>
      </c>
      <c r="F555" s="4" t="str">
        <f>IF($D554="TOTAL:",FIXED(ROUND(((SUM($F$4:$F553)/'RAW DATA'!$E$2)*100),1),1)&amp;"%",IF($D555="TOTAL:",SUM($F$4:$F554),IF(SUMIF('RAW DATA'!M:M,'RAW DATA'!B555,'RAW DATA'!H:H)=0,"",SUMIF('RAW DATA'!M:M,'RAW DATA'!B555,'RAW DATA'!H:H))))</f>
        <v/>
      </c>
      <c r="G555" s="4" t="str">
        <f>IF($D554="TOTAL:",FIXED(ROUND(((SUM($G$4:$G553)/'RAW DATA'!$E$2)*100),1),1)&amp;"%",IF($D555="TOTAL:",SUM($G$4:$G554),IF(SUMIF('RAW DATA'!M:M,'RAW DATA'!B555,'RAW DATA'!I:I)=0,"",SUMIF('RAW DATA'!M:M,'RAW DATA'!B555,'RAW DATA'!I:I))))</f>
        <v/>
      </c>
      <c r="H555" s="4" t="str">
        <f>IF(SUM(SUMIF('RAW DATA'!M:M,'RAW DATA'!B555,'RAW DATA'!J:J),SUMIF('RAW DATA'!N:N,'RAW DATA'!B555,'RAW DATA'!J:J),SUMIF('RAW DATA'!O:O,'RAW DATA'!B555,'RAW DATA'!J:J),SUMIF('RAW DATA'!P:P,'RAW DATA'!B555,'RAW DATA'!J:J))=0, "", SUM(SUMIF('RAW DATA'!M:M,'RAW DATA'!B555,'RAW DATA'!J:J),SUMIF('RAW DATA'!N:N,'RAW DATA'!B555,'RAW DATA'!J:J),SUMIF('RAW DATA'!O:O,'RAW DATA'!B555,'RAW DATA'!J:J),SUMIF('RAW DATA'!P:P,'RAW DATA'!B555,'RAW DATA'!J:J)))</f>
        <v/>
      </c>
      <c r="I555" s="4" t="str">
        <f>IF(SUMIF('RAW DATA'!M:M,'RAW DATA'!B555, 'RAW DATA'!K:K)=0, "", SUMIF('RAW DATA'!M:M,'RAW DATA'!B555, 'RAW DATA'!K:K))</f>
        <v/>
      </c>
      <c r="J555" s="29" t="str">
        <f>IF('RAW DATA'!B555&lt;&gt;"",IF(OR('RAW DATA'!H555=1,'RAW DATA'!H555=2),1,IF(ISNUMBER(FIND("Medic",'RAW DATA'!E555)),1,"")),"")</f>
        <v/>
      </c>
      <c r="K555" s="29" t="str">
        <f>IF(AND('RAW DATA'!$B555&lt;&gt;"",'RAW DATA'!L555=1),1,"")</f>
        <v/>
      </c>
      <c r="L555" s="24" t="str">
        <f t="shared" si="17"/>
        <v/>
      </c>
    </row>
    <row r="556" spans="2:12" x14ac:dyDescent="0.25">
      <c r="B556" s="27" t="str">
        <f>IF('RAW DATA'!$C558&lt;&gt;"",'RAW DATA'!$C558,"")</f>
        <v/>
      </c>
      <c r="C556" s="27" t="str">
        <f>IF('RAW DATA'!$D558&lt;&gt;"",'RAW DATA'!$D558,"")</f>
        <v/>
      </c>
      <c r="D556" s="1" t="str">
        <f>IF(AND($B555&lt;&gt;"", $B556=""), "TOTAL:", IF($D555="TOTAL:","VESSEL TARGET "&amp;'RAW DATA'!$E$2&amp;":",IF('RAW DATA'!$E556&lt;&gt;"",'RAW DATA'!$E556,"")))</f>
        <v/>
      </c>
      <c r="E556" s="29" t="str">
        <f t="shared" si="16"/>
        <v/>
      </c>
      <c r="F556" s="4" t="str">
        <f>IF($D555="TOTAL:",FIXED(ROUND(((SUM($F$4:$F554)/'RAW DATA'!$E$2)*100),1),1)&amp;"%",IF($D556="TOTAL:",SUM($F$4:$F555),IF(SUMIF('RAW DATA'!M:M,'RAW DATA'!B556,'RAW DATA'!H:H)=0,"",SUMIF('RAW DATA'!M:M,'RAW DATA'!B556,'RAW DATA'!H:H))))</f>
        <v/>
      </c>
      <c r="G556" s="4" t="str">
        <f>IF($D555="TOTAL:",FIXED(ROUND(((SUM($G$4:$G554)/'RAW DATA'!$E$2)*100),1),1)&amp;"%",IF($D556="TOTAL:",SUM($G$4:$G555),IF(SUMIF('RAW DATA'!M:M,'RAW DATA'!B556,'RAW DATA'!I:I)=0,"",SUMIF('RAW DATA'!M:M,'RAW DATA'!B556,'RAW DATA'!I:I))))</f>
        <v/>
      </c>
      <c r="H556" s="4" t="str">
        <f>IF(SUM(SUMIF('RAW DATA'!M:M,'RAW DATA'!B556,'RAW DATA'!J:J),SUMIF('RAW DATA'!N:N,'RAW DATA'!B556,'RAW DATA'!J:J),SUMIF('RAW DATA'!O:O,'RAW DATA'!B556,'RAW DATA'!J:J),SUMIF('RAW DATA'!P:P,'RAW DATA'!B556,'RAW DATA'!J:J))=0, "", SUM(SUMIF('RAW DATA'!M:M,'RAW DATA'!B556,'RAW DATA'!J:J),SUMIF('RAW DATA'!N:N,'RAW DATA'!B556,'RAW DATA'!J:J),SUMIF('RAW DATA'!O:O,'RAW DATA'!B556,'RAW DATA'!J:J),SUMIF('RAW DATA'!P:P,'RAW DATA'!B556,'RAW DATA'!J:J)))</f>
        <v/>
      </c>
      <c r="I556" s="4" t="str">
        <f>IF(SUMIF('RAW DATA'!M:M,'RAW DATA'!B556, 'RAW DATA'!K:K)=0, "", SUMIF('RAW DATA'!M:M,'RAW DATA'!B556, 'RAW DATA'!K:K))</f>
        <v/>
      </c>
      <c r="J556" s="29" t="str">
        <f>IF('RAW DATA'!B556&lt;&gt;"",IF(OR('RAW DATA'!H556=1,'RAW DATA'!H556=2),1,IF(ISNUMBER(FIND("Medic",'RAW DATA'!E556)),1,"")),"")</f>
        <v/>
      </c>
      <c r="K556" s="29" t="str">
        <f>IF(AND('RAW DATA'!$B556&lt;&gt;"",'RAW DATA'!L556=1),1,"")</f>
        <v/>
      </c>
      <c r="L556" s="24" t="str">
        <f t="shared" si="17"/>
        <v/>
      </c>
    </row>
    <row r="557" spans="2:12" x14ac:dyDescent="0.25">
      <c r="B557" s="27" t="str">
        <f>IF('RAW DATA'!$C559&lt;&gt;"",'RAW DATA'!$C559,"")</f>
        <v/>
      </c>
      <c r="C557" s="27" t="str">
        <f>IF('RAW DATA'!$D559&lt;&gt;"",'RAW DATA'!$D559,"")</f>
        <v/>
      </c>
      <c r="D557" s="1" t="str">
        <f>IF(AND($B556&lt;&gt;"", $B557=""), "TOTAL:", IF($D556="TOTAL:","VESSEL TARGET "&amp;'RAW DATA'!$E$2&amp;":",IF('RAW DATA'!$E557&lt;&gt;"",'RAW DATA'!$E557,"")))</f>
        <v/>
      </c>
      <c r="E557" s="29" t="str">
        <f t="shared" si="16"/>
        <v/>
      </c>
      <c r="F557" s="4" t="str">
        <f>IF($D556="TOTAL:",FIXED(ROUND(((SUM($F$4:$F555)/'RAW DATA'!$E$2)*100),1),1)&amp;"%",IF($D557="TOTAL:",SUM($F$4:$F556),IF(SUMIF('RAW DATA'!M:M,'RAW DATA'!B557,'RAW DATA'!H:H)=0,"",SUMIF('RAW DATA'!M:M,'RAW DATA'!B557,'RAW DATA'!H:H))))</f>
        <v/>
      </c>
      <c r="G557" s="4" t="str">
        <f>IF($D556="TOTAL:",FIXED(ROUND(((SUM($G$4:$G555)/'RAW DATA'!$E$2)*100),1),1)&amp;"%",IF($D557="TOTAL:",SUM($G$4:$G556),IF(SUMIF('RAW DATA'!M:M,'RAW DATA'!B557,'RAW DATA'!I:I)=0,"",SUMIF('RAW DATA'!M:M,'RAW DATA'!B557,'RAW DATA'!I:I))))</f>
        <v/>
      </c>
      <c r="H557" s="4" t="str">
        <f>IF(SUM(SUMIF('RAW DATA'!M:M,'RAW DATA'!B557,'RAW DATA'!J:J),SUMIF('RAW DATA'!N:N,'RAW DATA'!B557,'RAW DATA'!J:J),SUMIF('RAW DATA'!O:O,'RAW DATA'!B557,'RAW DATA'!J:J),SUMIF('RAW DATA'!P:P,'RAW DATA'!B557,'RAW DATA'!J:J))=0, "", SUM(SUMIF('RAW DATA'!M:M,'RAW DATA'!B557,'RAW DATA'!J:J),SUMIF('RAW DATA'!N:N,'RAW DATA'!B557,'RAW DATA'!J:J),SUMIF('RAW DATA'!O:O,'RAW DATA'!B557,'RAW DATA'!J:J),SUMIF('RAW DATA'!P:P,'RAW DATA'!B557,'RAW DATA'!J:J)))</f>
        <v/>
      </c>
      <c r="I557" s="4" t="str">
        <f>IF(SUMIF('RAW DATA'!M:M,'RAW DATA'!B557, 'RAW DATA'!K:K)=0, "", SUMIF('RAW DATA'!M:M,'RAW DATA'!B557, 'RAW DATA'!K:K))</f>
        <v/>
      </c>
      <c r="J557" s="29" t="str">
        <f>IF('RAW DATA'!B557&lt;&gt;"",IF(OR('RAW DATA'!H557=1,'RAW DATA'!H557=2),1,IF(ISNUMBER(FIND("Medic",'RAW DATA'!E557)),1,"")),"")</f>
        <v/>
      </c>
      <c r="K557" s="29" t="str">
        <f>IF(AND('RAW DATA'!$B557&lt;&gt;"",'RAW DATA'!L557=1),1,"")</f>
        <v/>
      </c>
      <c r="L557" s="24" t="str">
        <f t="shared" si="17"/>
        <v/>
      </c>
    </row>
    <row r="558" spans="2:12" x14ac:dyDescent="0.25">
      <c r="B558" s="27" t="str">
        <f>IF('RAW DATA'!$C560&lt;&gt;"",'RAW DATA'!$C560,"")</f>
        <v/>
      </c>
      <c r="C558" s="27" t="str">
        <f>IF('RAW DATA'!$D560&lt;&gt;"",'RAW DATA'!$D560,"")</f>
        <v/>
      </c>
      <c r="D558" s="1" t="str">
        <f>IF(AND($B557&lt;&gt;"", $B558=""), "TOTAL:", IF($D557="TOTAL:","VESSEL TARGET "&amp;'RAW DATA'!$E$2&amp;":",IF('RAW DATA'!$E558&lt;&gt;"",'RAW DATA'!$E558,"")))</f>
        <v/>
      </c>
      <c r="E558" s="29" t="str">
        <f t="shared" si="16"/>
        <v/>
      </c>
      <c r="F558" s="4" t="str">
        <f>IF($D557="TOTAL:",FIXED(ROUND(((SUM($F$4:$F556)/'RAW DATA'!$E$2)*100),1),1)&amp;"%",IF($D558="TOTAL:",SUM($F$4:$F557),IF(SUMIF('RAW DATA'!M:M,'RAW DATA'!B558,'RAW DATA'!H:H)=0,"",SUMIF('RAW DATA'!M:M,'RAW DATA'!B558,'RAW DATA'!H:H))))</f>
        <v/>
      </c>
      <c r="G558" s="4" t="str">
        <f>IF($D557="TOTAL:",FIXED(ROUND(((SUM($G$4:$G556)/'RAW DATA'!$E$2)*100),1),1)&amp;"%",IF($D558="TOTAL:",SUM($G$4:$G557),IF(SUMIF('RAW DATA'!M:M,'RAW DATA'!B558,'RAW DATA'!I:I)=0,"",SUMIF('RAW DATA'!M:M,'RAW DATA'!B558,'RAW DATA'!I:I))))</f>
        <v/>
      </c>
      <c r="H558" s="4" t="str">
        <f>IF(SUM(SUMIF('RAW DATA'!M:M,'RAW DATA'!B558,'RAW DATA'!J:J),SUMIF('RAW DATA'!N:N,'RAW DATA'!B558,'RAW DATA'!J:J),SUMIF('RAW DATA'!O:O,'RAW DATA'!B558,'RAW DATA'!J:J),SUMIF('RAW DATA'!P:P,'RAW DATA'!B558,'RAW DATA'!J:J))=0, "", SUM(SUMIF('RAW DATA'!M:M,'RAW DATA'!B558,'RAW DATA'!J:J),SUMIF('RAW DATA'!N:N,'RAW DATA'!B558,'RAW DATA'!J:J),SUMIF('RAW DATA'!O:O,'RAW DATA'!B558,'RAW DATA'!J:J),SUMIF('RAW DATA'!P:P,'RAW DATA'!B558,'RAW DATA'!J:J)))</f>
        <v/>
      </c>
      <c r="I558" s="4" t="str">
        <f>IF(SUMIF('RAW DATA'!M:M,'RAW DATA'!B558, 'RAW DATA'!K:K)=0, "", SUMIF('RAW DATA'!M:M,'RAW DATA'!B558, 'RAW DATA'!K:K))</f>
        <v/>
      </c>
      <c r="J558" s="29" t="str">
        <f>IF('RAW DATA'!B558&lt;&gt;"",IF(OR('RAW DATA'!H558=1,'RAW DATA'!H558=2),1,IF(ISNUMBER(FIND("Medic",'RAW DATA'!E558)),1,"")),"")</f>
        <v/>
      </c>
      <c r="K558" s="29" t="str">
        <f>IF(AND('RAW DATA'!$B558&lt;&gt;"",'RAW DATA'!L558=1),1,"")</f>
        <v/>
      </c>
      <c r="L558" s="24" t="str">
        <f t="shared" si="17"/>
        <v/>
      </c>
    </row>
    <row r="559" spans="2:12" x14ac:dyDescent="0.25">
      <c r="B559" s="27" t="str">
        <f>IF('RAW DATA'!$C561&lt;&gt;"",'RAW DATA'!$C561,"")</f>
        <v/>
      </c>
      <c r="C559" s="27" t="str">
        <f>IF('RAW DATA'!$D561&lt;&gt;"",'RAW DATA'!$D561,"")</f>
        <v/>
      </c>
      <c r="D559" s="1" t="str">
        <f>IF(AND($B558&lt;&gt;"", $B559=""), "TOTAL:", IF($D558="TOTAL:","VESSEL TARGET "&amp;'RAW DATA'!$E$2&amp;":",IF('RAW DATA'!$E559&lt;&gt;"",'RAW DATA'!$E559,"")))</f>
        <v/>
      </c>
      <c r="E559" s="29" t="str">
        <f t="shared" si="16"/>
        <v/>
      </c>
      <c r="F559" s="4" t="str">
        <f>IF($D558="TOTAL:",FIXED(ROUND(((SUM($F$4:$F557)/'RAW DATA'!$E$2)*100),1),1)&amp;"%",IF($D559="TOTAL:",SUM($F$4:$F558),IF(SUMIF('RAW DATA'!M:M,'RAW DATA'!B559,'RAW DATA'!H:H)=0,"",SUMIF('RAW DATA'!M:M,'RAW DATA'!B559,'RAW DATA'!H:H))))</f>
        <v/>
      </c>
      <c r="G559" s="4" t="str">
        <f>IF($D558="TOTAL:",FIXED(ROUND(((SUM($G$4:$G557)/'RAW DATA'!$E$2)*100),1),1)&amp;"%",IF($D559="TOTAL:",SUM($G$4:$G558),IF(SUMIF('RAW DATA'!M:M,'RAW DATA'!B559,'RAW DATA'!I:I)=0,"",SUMIF('RAW DATA'!M:M,'RAW DATA'!B559,'RAW DATA'!I:I))))</f>
        <v/>
      </c>
      <c r="H559" s="4" t="str">
        <f>IF(SUM(SUMIF('RAW DATA'!M:M,'RAW DATA'!B559,'RAW DATA'!J:J),SUMIF('RAW DATA'!N:N,'RAW DATA'!B559,'RAW DATA'!J:J),SUMIF('RAW DATA'!O:O,'RAW DATA'!B559,'RAW DATA'!J:J),SUMIF('RAW DATA'!P:P,'RAW DATA'!B559,'RAW DATA'!J:J))=0, "", SUM(SUMIF('RAW DATA'!M:M,'RAW DATA'!B559,'RAW DATA'!J:J),SUMIF('RAW DATA'!N:N,'RAW DATA'!B559,'RAW DATA'!J:J),SUMIF('RAW DATA'!O:O,'RAW DATA'!B559,'RAW DATA'!J:J),SUMIF('RAW DATA'!P:P,'RAW DATA'!B559,'RAW DATA'!J:J)))</f>
        <v/>
      </c>
      <c r="I559" s="4" t="str">
        <f>IF(SUMIF('RAW DATA'!M:M,'RAW DATA'!B559, 'RAW DATA'!K:K)=0, "", SUMIF('RAW DATA'!M:M,'RAW DATA'!B559, 'RAW DATA'!K:K))</f>
        <v/>
      </c>
      <c r="J559" s="29" t="str">
        <f>IF('RAW DATA'!B559&lt;&gt;"",IF(OR('RAW DATA'!H559=1,'RAW DATA'!H559=2),1,IF(ISNUMBER(FIND("Medic",'RAW DATA'!E559)),1,"")),"")</f>
        <v/>
      </c>
      <c r="K559" s="29" t="str">
        <f>IF(AND('RAW DATA'!$B559&lt;&gt;"",'RAW DATA'!L559=1),1,"")</f>
        <v/>
      </c>
      <c r="L559" s="24" t="str">
        <f t="shared" si="17"/>
        <v/>
      </c>
    </row>
    <row r="560" spans="2:12" x14ac:dyDescent="0.25">
      <c r="B560" s="27" t="str">
        <f>IF('RAW DATA'!$C562&lt;&gt;"",'RAW DATA'!$C562,"")</f>
        <v/>
      </c>
      <c r="C560" s="27" t="str">
        <f>IF('RAW DATA'!$D562&lt;&gt;"",'RAW DATA'!$D562,"")</f>
        <v/>
      </c>
      <c r="D560" s="1" t="str">
        <f>IF(AND($B559&lt;&gt;"", $B560=""), "TOTAL:", IF($D559="TOTAL:","VESSEL TARGET "&amp;'RAW DATA'!$E$2&amp;":",IF('RAW DATA'!$E560&lt;&gt;"",'RAW DATA'!$E560,"")))</f>
        <v/>
      </c>
      <c r="E560" s="29" t="str">
        <f t="shared" si="16"/>
        <v/>
      </c>
      <c r="F560" s="4" t="str">
        <f>IF($D559="TOTAL:",FIXED(ROUND(((SUM($F$4:$F558)/'RAW DATA'!$E$2)*100),1),1)&amp;"%",IF($D560="TOTAL:",SUM($F$4:$F559),IF(SUMIF('RAW DATA'!M:M,'RAW DATA'!B560,'RAW DATA'!H:H)=0,"",SUMIF('RAW DATA'!M:M,'RAW DATA'!B560,'RAW DATA'!H:H))))</f>
        <v/>
      </c>
      <c r="G560" s="4" t="str">
        <f>IF($D559="TOTAL:",FIXED(ROUND(((SUM($G$4:$G558)/'RAW DATA'!$E$2)*100),1),1)&amp;"%",IF($D560="TOTAL:",SUM($G$4:$G559),IF(SUMIF('RAW DATA'!M:M,'RAW DATA'!B560,'RAW DATA'!I:I)=0,"",SUMIF('RAW DATA'!M:M,'RAW DATA'!B560,'RAW DATA'!I:I))))</f>
        <v/>
      </c>
      <c r="H560" s="4" t="str">
        <f>IF(SUM(SUMIF('RAW DATA'!M:M,'RAW DATA'!B560,'RAW DATA'!J:J),SUMIF('RAW DATA'!N:N,'RAW DATA'!B560,'RAW DATA'!J:J),SUMIF('RAW DATA'!O:O,'RAW DATA'!B560,'RAW DATA'!J:J),SUMIF('RAW DATA'!P:P,'RAW DATA'!B560,'RAW DATA'!J:J))=0, "", SUM(SUMIF('RAW DATA'!M:M,'RAW DATA'!B560,'RAW DATA'!J:J),SUMIF('RAW DATA'!N:N,'RAW DATA'!B560,'RAW DATA'!J:J),SUMIF('RAW DATA'!O:O,'RAW DATA'!B560,'RAW DATA'!J:J),SUMIF('RAW DATA'!P:P,'RAW DATA'!B560,'RAW DATA'!J:J)))</f>
        <v/>
      </c>
      <c r="I560" s="4" t="str">
        <f>IF(SUMIF('RAW DATA'!M:M,'RAW DATA'!B560, 'RAW DATA'!K:K)=0, "", SUMIF('RAW DATA'!M:M,'RAW DATA'!B560, 'RAW DATA'!K:K))</f>
        <v/>
      </c>
      <c r="J560" s="29" t="str">
        <f>IF('RAW DATA'!B560&lt;&gt;"",IF(OR('RAW DATA'!H560=1,'RAW DATA'!H560=2),1,IF(ISNUMBER(FIND("Medic",'RAW DATA'!E560)),1,"")),"")</f>
        <v/>
      </c>
      <c r="K560" s="29" t="str">
        <f>IF(AND('RAW DATA'!$B560&lt;&gt;"",'RAW DATA'!L560=1),1,"")</f>
        <v/>
      </c>
      <c r="L560" s="24" t="str">
        <f t="shared" si="17"/>
        <v/>
      </c>
    </row>
    <row r="561" spans="2:12" x14ac:dyDescent="0.25">
      <c r="B561" s="27" t="str">
        <f>IF('RAW DATA'!$C563&lt;&gt;"",'RAW DATA'!$C563,"")</f>
        <v/>
      </c>
      <c r="C561" s="27" t="str">
        <f>IF('RAW DATA'!$D563&lt;&gt;"",'RAW DATA'!$D563,"")</f>
        <v/>
      </c>
      <c r="D561" s="1" t="str">
        <f>IF(AND($B560&lt;&gt;"", $B561=""), "TOTAL:", IF($D560="TOTAL:","VESSEL TARGET "&amp;'RAW DATA'!$E$2&amp;":",IF('RAW DATA'!$E561&lt;&gt;"",'RAW DATA'!$E561,"")))</f>
        <v/>
      </c>
      <c r="E561" s="29" t="str">
        <f t="shared" si="16"/>
        <v/>
      </c>
      <c r="F561" s="4" t="str">
        <f>IF($D560="TOTAL:",FIXED(ROUND(((SUM($F$4:$F559)/'RAW DATA'!$E$2)*100),1),1)&amp;"%",IF($D561="TOTAL:",SUM($F$4:$F560),IF(SUMIF('RAW DATA'!M:M,'RAW DATA'!B561,'RAW DATA'!H:H)=0,"",SUMIF('RAW DATA'!M:M,'RAW DATA'!B561,'RAW DATA'!H:H))))</f>
        <v/>
      </c>
      <c r="G561" s="4" t="str">
        <f>IF($D560="TOTAL:",FIXED(ROUND(((SUM($G$4:$G559)/'RAW DATA'!$E$2)*100),1),1)&amp;"%",IF($D561="TOTAL:",SUM($G$4:$G560),IF(SUMIF('RAW DATA'!M:M,'RAW DATA'!B561,'RAW DATA'!I:I)=0,"",SUMIF('RAW DATA'!M:M,'RAW DATA'!B561,'RAW DATA'!I:I))))</f>
        <v/>
      </c>
      <c r="H561" s="4" t="str">
        <f>IF(SUM(SUMIF('RAW DATA'!M:M,'RAW DATA'!B561,'RAW DATA'!J:J),SUMIF('RAW DATA'!N:N,'RAW DATA'!B561,'RAW DATA'!J:J),SUMIF('RAW DATA'!O:O,'RAW DATA'!B561,'RAW DATA'!J:J),SUMIF('RAW DATA'!P:P,'RAW DATA'!B561,'RAW DATA'!J:J))=0, "", SUM(SUMIF('RAW DATA'!M:M,'RAW DATA'!B561,'RAW DATA'!J:J),SUMIF('RAW DATA'!N:N,'RAW DATA'!B561,'RAW DATA'!J:J),SUMIF('RAW DATA'!O:O,'RAW DATA'!B561,'RAW DATA'!J:J),SUMIF('RAW DATA'!P:P,'RAW DATA'!B561,'RAW DATA'!J:J)))</f>
        <v/>
      </c>
      <c r="I561" s="4" t="str">
        <f>IF(SUMIF('RAW DATA'!M:M,'RAW DATA'!B561, 'RAW DATA'!K:K)=0, "", SUMIF('RAW DATA'!M:M,'RAW DATA'!B561, 'RAW DATA'!K:K))</f>
        <v/>
      </c>
      <c r="J561" s="29" t="str">
        <f>IF('RAW DATA'!B561&lt;&gt;"",IF(OR('RAW DATA'!H561=1,'RAW DATA'!H561=2),1,IF(ISNUMBER(FIND("Medic",'RAW DATA'!E561)),1,"")),"")</f>
        <v/>
      </c>
      <c r="K561" s="29" t="str">
        <f>IF(AND('RAW DATA'!$B561&lt;&gt;"",'RAW DATA'!L561=1),1,"")</f>
        <v/>
      </c>
      <c r="L561" s="24" t="str">
        <f t="shared" si="17"/>
        <v/>
      </c>
    </row>
    <row r="562" spans="2:12" x14ac:dyDescent="0.25">
      <c r="B562" s="27" t="str">
        <f>IF('RAW DATA'!$C564&lt;&gt;"",'RAW DATA'!$C564,"")</f>
        <v/>
      </c>
      <c r="C562" s="27" t="str">
        <f>IF('RAW DATA'!$D564&lt;&gt;"",'RAW DATA'!$D564,"")</f>
        <v/>
      </c>
      <c r="D562" s="1" t="str">
        <f>IF(AND($B561&lt;&gt;"", $B562=""), "TOTAL:", IF($D561="TOTAL:","VESSEL TARGET "&amp;'RAW DATA'!$E$2&amp;":",IF('RAW DATA'!$E562&lt;&gt;"",'RAW DATA'!$E562,"")))</f>
        <v/>
      </c>
      <c r="E562" s="29" t="str">
        <f t="shared" si="16"/>
        <v/>
      </c>
      <c r="F562" s="4" t="str">
        <f>IF($D561="TOTAL:",FIXED(ROUND(((SUM($F$4:$F560)/'RAW DATA'!$E$2)*100),1),1)&amp;"%",IF($D562="TOTAL:",SUM($F$4:$F561),IF(SUMIF('RAW DATA'!M:M,'RAW DATA'!B562,'RAW DATA'!H:H)=0,"",SUMIF('RAW DATA'!M:M,'RAW DATA'!B562,'RAW DATA'!H:H))))</f>
        <v/>
      </c>
      <c r="G562" s="4" t="str">
        <f>IF($D561="TOTAL:",FIXED(ROUND(((SUM($G$4:$G560)/'RAW DATA'!$E$2)*100),1),1)&amp;"%",IF($D562="TOTAL:",SUM($G$4:$G561),IF(SUMIF('RAW DATA'!M:M,'RAW DATA'!B562,'RAW DATA'!I:I)=0,"",SUMIF('RAW DATA'!M:M,'RAW DATA'!B562,'RAW DATA'!I:I))))</f>
        <v/>
      </c>
      <c r="H562" s="4" t="str">
        <f>IF(SUM(SUMIF('RAW DATA'!M:M,'RAW DATA'!B562,'RAW DATA'!J:J),SUMIF('RAW DATA'!N:N,'RAW DATA'!B562,'RAW DATA'!J:J),SUMIF('RAW DATA'!O:O,'RAW DATA'!B562,'RAW DATA'!J:J),SUMIF('RAW DATA'!P:P,'RAW DATA'!B562,'RAW DATA'!J:J))=0, "", SUM(SUMIF('RAW DATA'!M:M,'RAW DATA'!B562,'RAW DATA'!J:J),SUMIF('RAW DATA'!N:N,'RAW DATA'!B562,'RAW DATA'!J:J),SUMIF('RAW DATA'!O:O,'RAW DATA'!B562,'RAW DATA'!J:J),SUMIF('RAW DATA'!P:P,'RAW DATA'!B562,'RAW DATA'!J:J)))</f>
        <v/>
      </c>
      <c r="I562" s="4" t="str">
        <f>IF(SUMIF('RAW DATA'!M:M,'RAW DATA'!B562, 'RAW DATA'!K:K)=0, "", SUMIF('RAW DATA'!M:M,'RAW DATA'!B562, 'RAW DATA'!K:K))</f>
        <v/>
      </c>
      <c r="J562" s="29" t="str">
        <f>IF('RAW DATA'!B562&lt;&gt;"",IF(OR('RAW DATA'!H562=1,'RAW DATA'!H562=2),1,IF(ISNUMBER(FIND("Medic",'RAW DATA'!E562)),1,"")),"")</f>
        <v/>
      </c>
      <c r="K562" s="29" t="str">
        <f>IF(AND('RAW DATA'!$B562&lt;&gt;"",'RAW DATA'!L562=1),1,"")</f>
        <v/>
      </c>
      <c r="L562" s="24" t="str">
        <f t="shared" si="17"/>
        <v/>
      </c>
    </row>
    <row r="563" spans="2:12" x14ac:dyDescent="0.25">
      <c r="B563" s="27" t="str">
        <f>IF('RAW DATA'!$C565&lt;&gt;"",'RAW DATA'!$C565,"")</f>
        <v/>
      </c>
      <c r="C563" s="27" t="str">
        <f>IF('RAW DATA'!$D565&lt;&gt;"",'RAW DATA'!$D565,"")</f>
        <v/>
      </c>
      <c r="D563" s="1" t="str">
        <f>IF(AND($B562&lt;&gt;"", $B563=""), "TOTAL:", IF($D562="TOTAL:","VESSEL TARGET "&amp;'RAW DATA'!$E$2&amp;":",IF('RAW DATA'!$E563&lt;&gt;"",'RAW DATA'!$E563,"")))</f>
        <v/>
      </c>
      <c r="E563" s="29" t="str">
        <f t="shared" si="16"/>
        <v/>
      </c>
      <c r="F563" s="4" t="str">
        <f>IF($D562="TOTAL:",FIXED(ROUND(((SUM($F$4:$F561)/'RAW DATA'!$E$2)*100),1),1)&amp;"%",IF($D563="TOTAL:",SUM($F$4:$F562),IF(SUMIF('RAW DATA'!M:M,'RAW DATA'!B563,'RAW DATA'!H:H)=0,"",SUMIF('RAW DATA'!M:M,'RAW DATA'!B563,'RAW DATA'!H:H))))</f>
        <v/>
      </c>
      <c r="G563" s="4" t="str">
        <f>IF($D562="TOTAL:",FIXED(ROUND(((SUM($G$4:$G561)/'RAW DATA'!$E$2)*100),1),1)&amp;"%",IF($D563="TOTAL:",SUM($G$4:$G562),IF(SUMIF('RAW DATA'!M:M,'RAW DATA'!B563,'RAW DATA'!I:I)=0,"",SUMIF('RAW DATA'!M:M,'RAW DATA'!B563,'RAW DATA'!I:I))))</f>
        <v/>
      </c>
      <c r="H563" s="4" t="str">
        <f>IF(SUM(SUMIF('RAW DATA'!M:M,'RAW DATA'!B563,'RAW DATA'!J:J),SUMIF('RAW DATA'!N:N,'RAW DATA'!B563,'RAW DATA'!J:J),SUMIF('RAW DATA'!O:O,'RAW DATA'!B563,'RAW DATA'!J:J),SUMIF('RAW DATA'!P:P,'RAW DATA'!B563,'RAW DATA'!J:J))=0, "", SUM(SUMIF('RAW DATA'!M:M,'RAW DATA'!B563,'RAW DATA'!J:J),SUMIF('RAW DATA'!N:N,'RAW DATA'!B563,'RAW DATA'!J:J),SUMIF('RAW DATA'!O:O,'RAW DATA'!B563,'RAW DATA'!J:J),SUMIF('RAW DATA'!P:P,'RAW DATA'!B563,'RAW DATA'!J:J)))</f>
        <v/>
      </c>
      <c r="I563" s="4" t="str">
        <f>IF(SUMIF('RAW DATA'!M:M,'RAW DATA'!B563, 'RAW DATA'!K:K)=0, "", SUMIF('RAW DATA'!M:M,'RAW DATA'!B563, 'RAW DATA'!K:K))</f>
        <v/>
      </c>
      <c r="J563" s="29" t="str">
        <f>IF('RAW DATA'!B563&lt;&gt;"",IF(OR('RAW DATA'!H563=1,'RAW DATA'!H563=2),1,IF(ISNUMBER(FIND("Medic",'RAW DATA'!E563)),1,"")),"")</f>
        <v/>
      </c>
      <c r="K563" s="29" t="str">
        <f>IF(AND('RAW DATA'!$B563&lt;&gt;"",'RAW DATA'!L563=1),1,"")</f>
        <v/>
      </c>
      <c r="L563" s="24" t="str">
        <f t="shared" si="17"/>
        <v/>
      </c>
    </row>
    <row r="564" spans="2:12" x14ac:dyDescent="0.25">
      <c r="B564" s="27" t="str">
        <f>IF('RAW DATA'!$C566&lt;&gt;"",'RAW DATA'!$C566,"")</f>
        <v/>
      </c>
      <c r="C564" s="27" t="str">
        <f>IF('RAW DATA'!$D566&lt;&gt;"",'RAW DATA'!$D566,"")</f>
        <v/>
      </c>
      <c r="D564" s="1" t="str">
        <f>IF(AND($B563&lt;&gt;"", $B564=""), "TOTAL:", IF($D563="TOTAL:","VESSEL TARGET "&amp;'RAW DATA'!$E$2&amp;":",IF('RAW DATA'!$E564&lt;&gt;"",'RAW DATA'!$E564,"")))</f>
        <v/>
      </c>
      <c r="E564" s="29" t="str">
        <f t="shared" si="16"/>
        <v/>
      </c>
      <c r="F564" s="4" t="str">
        <f>IF($D563="TOTAL:",FIXED(ROUND(((SUM($F$4:$F562)/'RAW DATA'!$E$2)*100),1),1)&amp;"%",IF($D564="TOTAL:",SUM($F$4:$F563),IF(SUMIF('RAW DATA'!M:M,'RAW DATA'!B564,'RAW DATA'!H:H)=0,"",SUMIF('RAW DATA'!M:M,'RAW DATA'!B564,'RAW DATA'!H:H))))</f>
        <v/>
      </c>
      <c r="G564" s="4" t="str">
        <f>IF($D563="TOTAL:",FIXED(ROUND(((SUM($G$4:$G562)/'RAW DATA'!$E$2)*100),1),1)&amp;"%",IF($D564="TOTAL:",SUM($G$4:$G563),IF(SUMIF('RAW DATA'!M:M,'RAW DATA'!B564,'RAW DATA'!I:I)=0,"",SUMIF('RAW DATA'!M:M,'RAW DATA'!B564,'RAW DATA'!I:I))))</f>
        <v/>
      </c>
      <c r="H564" s="4" t="str">
        <f>IF(SUM(SUMIF('RAW DATA'!M:M,'RAW DATA'!B564,'RAW DATA'!J:J),SUMIF('RAW DATA'!N:N,'RAW DATA'!B564,'RAW DATA'!J:J),SUMIF('RAW DATA'!O:O,'RAW DATA'!B564,'RAW DATA'!J:J),SUMIF('RAW DATA'!P:P,'RAW DATA'!B564,'RAW DATA'!J:J))=0, "", SUM(SUMIF('RAW DATA'!M:M,'RAW DATA'!B564,'RAW DATA'!J:J),SUMIF('RAW DATA'!N:N,'RAW DATA'!B564,'RAW DATA'!J:J),SUMIF('RAW DATA'!O:O,'RAW DATA'!B564,'RAW DATA'!J:J),SUMIF('RAW DATA'!P:P,'RAW DATA'!B564,'RAW DATA'!J:J)))</f>
        <v/>
      </c>
      <c r="I564" s="4" t="str">
        <f>IF(SUMIF('RAW DATA'!M:M,'RAW DATA'!B564, 'RAW DATA'!K:K)=0, "", SUMIF('RAW DATA'!M:M,'RAW DATA'!B564, 'RAW DATA'!K:K))</f>
        <v/>
      </c>
      <c r="J564" s="29" t="str">
        <f>IF('RAW DATA'!B564&lt;&gt;"",IF(OR('RAW DATA'!H564=1,'RAW DATA'!H564=2),1,IF(ISNUMBER(FIND("Medic",'RAW DATA'!E564)),1,"")),"")</f>
        <v/>
      </c>
      <c r="K564" s="29" t="str">
        <f>IF(AND('RAW DATA'!$B564&lt;&gt;"",'RAW DATA'!L564=1),1,"")</f>
        <v/>
      </c>
      <c r="L564" s="24" t="str">
        <f t="shared" si="17"/>
        <v/>
      </c>
    </row>
    <row r="565" spans="2:12" x14ac:dyDescent="0.25">
      <c r="B565" s="27" t="str">
        <f>IF('RAW DATA'!$C567&lt;&gt;"",'RAW DATA'!$C567,"")</f>
        <v/>
      </c>
      <c r="C565" s="27" t="str">
        <f>IF('RAW DATA'!$D567&lt;&gt;"",'RAW DATA'!$D567,"")</f>
        <v/>
      </c>
      <c r="D565" s="1" t="str">
        <f>IF(AND($B564&lt;&gt;"", $B565=""), "TOTAL:", IF($D564="TOTAL:","VESSEL TARGET "&amp;'RAW DATA'!$E$2&amp;":",IF('RAW DATA'!$E565&lt;&gt;"",'RAW DATA'!$E565,"")))</f>
        <v/>
      </c>
      <c r="E565" s="29" t="str">
        <f t="shared" si="16"/>
        <v/>
      </c>
      <c r="F565" s="4" t="str">
        <f>IF($D564="TOTAL:",FIXED(ROUND(((SUM($F$4:$F563)/'RAW DATA'!$E$2)*100),1),1)&amp;"%",IF($D565="TOTAL:",SUM($F$4:$F564),IF(SUMIF('RAW DATA'!M:M,'RAW DATA'!B565,'RAW DATA'!H:H)=0,"",SUMIF('RAW DATA'!M:M,'RAW DATA'!B565,'RAW DATA'!H:H))))</f>
        <v/>
      </c>
      <c r="G565" s="4" t="str">
        <f>IF($D564="TOTAL:",FIXED(ROUND(((SUM($G$4:$G563)/'RAW DATA'!$E$2)*100),1),1)&amp;"%",IF($D565="TOTAL:",SUM($G$4:$G564),IF(SUMIF('RAW DATA'!M:M,'RAW DATA'!B565,'RAW DATA'!I:I)=0,"",SUMIF('RAW DATA'!M:M,'RAW DATA'!B565,'RAW DATA'!I:I))))</f>
        <v/>
      </c>
      <c r="H565" s="4" t="str">
        <f>IF(SUM(SUMIF('RAW DATA'!M:M,'RAW DATA'!B565,'RAW DATA'!J:J),SUMIF('RAW DATA'!N:N,'RAW DATA'!B565,'RAW DATA'!J:J),SUMIF('RAW DATA'!O:O,'RAW DATA'!B565,'RAW DATA'!J:J),SUMIF('RAW DATA'!P:P,'RAW DATA'!B565,'RAW DATA'!J:J))=0, "", SUM(SUMIF('RAW DATA'!M:M,'RAW DATA'!B565,'RAW DATA'!J:J),SUMIF('RAW DATA'!N:N,'RAW DATA'!B565,'RAW DATA'!J:J),SUMIF('RAW DATA'!O:O,'RAW DATA'!B565,'RAW DATA'!J:J),SUMIF('RAW DATA'!P:P,'RAW DATA'!B565,'RAW DATA'!J:J)))</f>
        <v/>
      </c>
      <c r="I565" s="4" t="str">
        <f>IF(SUMIF('RAW DATA'!M:M,'RAW DATA'!B565, 'RAW DATA'!K:K)=0, "", SUMIF('RAW DATA'!M:M,'RAW DATA'!B565, 'RAW DATA'!K:K))</f>
        <v/>
      </c>
      <c r="J565" s="29" t="str">
        <f>IF('RAW DATA'!B565&lt;&gt;"",IF(OR('RAW DATA'!H565=1,'RAW DATA'!H565=2),1,IF(ISNUMBER(FIND("Medic",'RAW DATA'!E565)),1,"")),"")</f>
        <v/>
      </c>
      <c r="K565" s="29" t="str">
        <f>IF(AND('RAW DATA'!$B565&lt;&gt;"",'RAW DATA'!L565=1),1,"")</f>
        <v/>
      </c>
      <c r="L565" s="24" t="str">
        <f t="shared" si="17"/>
        <v/>
      </c>
    </row>
    <row r="566" spans="2:12" x14ac:dyDescent="0.25">
      <c r="B566" s="27" t="str">
        <f>IF('RAW DATA'!$C568&lt;&gt;"",'RAW DATA'!$C568,"")</f>
        <v/>
      </c>
      <c r="C566" s="27" t="str">
        <f>IF('RAW DATA'!$D568&lt;&gt;"",'RAW DATA'!$D568,"")</f>
        <v/>
      </c>
      <c r="D566" s="1" t="str">
        <f>IF(AND($B565&lt;&gt;"", $B566=""), "TOTAL:", IF($D565="TOTAL:","VESSEL TARGET "&amp;'RAW DATA'!$E$2&amp;":",IF('RAW DATA'!$E566&lt;&gt;"",'RAW DATA'!$E566,"")))</f>
        <v/>
      </c>
      <c r="E566" s="29" t="str">
        <f t="shared" si="16"/>
        <v/>
      </c>
      <c r="F566" s="4" t="str">
        <f>IF($D565="TOTAL:",FIXED(ROUND(((SUM($F$4:$F564)/'RAW DATA'!$E$2)*100),1),1)&amp;"%",IF($D566="TOTAL:",SUM($F$4:$F565),IF(SUMIF('RAW DATA'!M:M,'RAW DATA'!B566,'RAW DATA'!H:H)=0,"",SUMIF('RAW DATA'!M:M,'RAW DATA'!B566,'RAW DATA'!H:H))))</f>
        <v/>
      </c>
      <c r="G566" s="4" t="str">
        <f>IF($D565="TOTAL:",FIXED(ROUND(((SUM($G$4:$G564)/'RAW DATA'!$E$2)*100),1),1)&amp;"%",IF($D566="TOTAL:",SUM($G$4:$G565),IF(SUMIF('RAW DATA'!M:M,'RAW DATA'!B566,'RAW DATA'!I:I)=0,"",SUMIF('RAW DATA'!M:M,'RAW DATA'!B566,'RAW DATA'!I:I))))</f>
        <v/>
      </c>
      <c r="H566" s="4" t="str">
        <f>IF(SUM(SUMIF('RAW DATA'!M:M,'RAW DATA'!B566,'RAW DATA'!J:J),SUMIF('RAW DATA'!N:N,'RAW DATA'!B566,'RAW DATA'!J:J),SUMIF('RAW DATA'!O:O,'RAW DATA'!B566,'RAW DATA'!J:J),SUMIF('RAW DATA'!P:P,'RAW DATA'!B566,'RAW DATA'!J:J))=0, "", SUM(SUMIF('RAW DATA'!M:M,'RAW DATA'!B566,'RAW DATA'!J:J),SUMIF('RAW DATA'!N:N,'RAW DATA'!B566,'RAW DATA'!J:J),SUMIF('RAW DATA'!O:O,'RAW DATA'!B566,'RAW DATA'!J:J),SUMIF('RAW DATA'!P:P,'RAW DATA'!B566,'RAW DATA'!J:J)))</f>
        <v/>
      </c>
      <c r="I566" s="4" t="str">
        <f>IF(SUMIF('RAW DATA'!M:M,'RAW DATA'!B566, 'RAW DATA'!K:K)=0, "", SUMIF('RAW DATA'!M:M,'RAW DATA'!B566, 'RAW DATA'!K:K))</f>
        <v/>
      </c>
      <c r="J566" s="29" t="str">
        <f>IF('RAW DATA'!B566&lt;&gt;"",IF(OR('RAW DATA'!H566=1,'RAW DATA'!H566=2),1,IF(ISNUMBER(FIND("Medic",'RAW DATA'!E566)),1,"")),"")</f>
        <v/>
      </c>
      <c r="K566" s="29" t="str">
        <f>IF(AND('RAW DATA'!$B566&lt;&gt;"",'RAW DATA'!L566=1),1,"")</f>
        <v/>
      </c>
      <c r="L566" s="24" t="str">
        <f t="shared" si="17"/>
        <v/>
      </c>
    </row>
    <row r="567" spans="2:12" x14ac:dyDescent="0.25">
      <c r="B567" s="27" t="str">
        <f>IF('RAW DATA'!$C569&lt;&gt;"",'RAW DATA'!$C569,"")</f>
        <v/>
      </c>
      <c r="C567" s="27" t="str">
        <f>IF('RAW DATA'!$D569&lt;&gt;"",'RAW DATA'!$D569,"")</f>
        <v/>
      </c>
      <c r="D567" s="1" t="str">
        <f>IF(AND($B566&lt;&gt;"", $B567=""), "TOTAL:", IF($D566="TOTAL:","VESSEL TARGET "&amp;'RAW DATA'!$E$2&amp;":",IF('RAW DATA'!$E567&lt;&gt;"",'RAW DATA'!$E567,"")))</f>
        <v/>
      </c>
      <c r="E567" s="29" t="str">
        <f t="shared" si="16"/>
        <v/>
      </c>
      <c r="F567" s="4" t="str">
        <f>IF($D566="TOTAL:",FIXED(ROUND(((SUM($F$4:$F565)/'RAW DATA'!$E$2)*100),1),1)&amp;"%",IF($D567="TOTAL:",SUM($F$4:$F566),IF(SUMIF('RAW DATA'!M:M,'RAW DATA'!B567,'RAW DATA'!H:H)=0,"",SUMIF('RAW DATA'!M:M,'RAW DATA'!B567,'RAW DATA'!H:H))))</f>
        <v/>
      </c>
      <c r="G567" s="4" t="str">
        <f>IF($D566="TOTAL:",FIXED(ROUND(((SUM($G$4:$G565)/'RAW DATA'!$E$2)*100),1),1)&amp;"%",IF($D567="TOTAL:",SUM($G$4:$G566),IF(SUMIF('RAW DATA'!M:M,'RAW DATA'!B567,'RAW DATA'!I:I)=0,"",SUMIF('RAW DATA'!M:M,'RAW DATA'!B567,'RAW DATA'!I:I))))</f>
        <v/>
      </c>
      <c r="H567" s="4" t="str">
        <f>IF(SUM(SUMIF('RAW DATA'!M:M,'RAW DATA'!B567,'RAW DATA'!J:J),SUMIF('RAW DATA'!N:N,'RAW DATA'!B567,'RAW DATA'!J:J),SUMIF('RAW DATA'!O:O,'RAW DATA'!B567,'RAW DATA'!J:J),SUMIF('RAW DATA'!P:P,'RAW DATA'!B567,'RAW DATA'!J:J))=0, "", SUM(SUMIF('RAW DATA'!M:M,'RAW DATA'!B567,'RAW DATA'!J:J),SUMIF('RAW DATA'!N:N,'RAW DATA'!B567,'RAW DATA'!J:J),SUMIF('RAW DATA'!O:O,'RAW DATA'!B567,'RAW DATA'!J:J),SUMIF('RAW DATA'!P:P,'RAW DATA'!B567,'RAW DATA'!J:J)))</f>
        <v/>
      </c>
      <c r="I567" s="4" t="str">
        <f>IF(SUMIF('RAW DATA'!M:M,'RAW DATA'!B567, 'RAW DATA'!K:K)=0, "", SUMIF('RAW DATA'!M:M,'RAW DATA'!B567, 'RAW DATA'!K:K))</f>
        <v/>
      </c>
      <c r="J567" s="29" t="str">
        <f>IF('RAW DATA'!B567&lt;&gt;"",IF(OR('RAW DATA'!H567=1,'RAW DATA'!H567=2),1,IF(ISNUMBER(FIND("Medic",'RAW DATA'!E567)),1,"")),"")</f>
        <v/>
      </c>
      <c r="K567" s="29" t="str">
        <f>IF(AND('RAW DATA'!$B567&lt;&gt;"",'RAW DATA'!L567=1),1,"")</f>
        <v/>
      </c>
      <c r="L567" s="24" t="str">
        <f t="shared" si="17"/>
        <v/>
      </c>
    </row>
    <row r="568" spans="2:12" x14ac:dyDescent="0.25">
      <c r="B568" s="27" t="str">
        <f>IF('RAW DATA'!$C570&lt;&gt;"",'RAW DATA'!$C570,"")</f>
        <v/>
      </c>
      <c r="C568" s="27" t="str">
        <f>IF('RAW DATA'!$D570&lt;&gt;"",'RAW DATA'!$D570,"")</f>
        <v/>
      </c>
      <c r="D568" s="1" t="str">
        <f>IF(AND($B567&lt;&gt;"", $B568=""), "TOTAL:", IF($D567="TOTAL:","VESSEL TARGET "&amp;'RAW DATA'!$E$2&amp;":",IF('RAW DATA'!$E568&lt;&gt;"",'RAW DATA'!$E568,"")))</f>
        <v/>
      </c>
      <c r="E568" s="29" t="str">
        <f t="shared" si="16"/>
        <v/>
      </c>
      <c r="F568" s="4" t="str">
        <f>IF($D567="TOTAL:",FIXED(ROUND(((SUM($F$4:$F566)/'RAW DATA'!$E$2)*100),1),1)&amp;"%",IF($D568="TOTAL:",SUM($F$4:$F567),IF(SUMIF('RAW DATA'!M:M,'RAW DATA'!B568,'RAW DATA'!H:H)=0,"",SUMIF('RAW DATA'!M:M,'RAW DATA'!B568,'RAW DATA'!H:H))))</f>
        <v/>
      </c>
      <c r="G568" s="4" t="str">
        <f>IF($D567="TOTAL:",FIXED(ROUND(((SUM($G$4:$G566)/'RAW DATA'!$E$2)*100),1),1)&amp;"%",IF($D568="TOTAL:",SUM($G$4:$G567),IF(SUMIF('RAW DATA'!M:M,'RAW DATA'!B568,'RAW DATA'!I:I)=0,"",SUMIF('RAW DATA'!M:M,'RAW DATA'!B568,'RAW DATA'!I:I))))</f>
        <v/>
      </c>
      <c r="H568" s="4" t="str">
        <f>IF(SUM(SUMIF('RAW DATA'!M:M,'RAW DATA'!B568,'RAW DATA'!J:J),SUMIF('RAW DATA'!N:N,'RAW DATA'!B568,'RAW DATA'!J:J),SUMIF('RAW DATA'!O:O,'RAW DATA'!B568,'RAW DATA'!J:J),SUMIF('RAW DATA'!P:P,'RAW DATA'!B568,'RAW DATA'!J:J))=0, "", SUM(SUMIF('RAW DATA'!M:M,'RAW DATA'!B568,'RAW DATA'!J:J),SUMIF('RAW DATA'!N:N,'RAW DATA'!B568,'RAW DATA'!J:J),SUMIF('RAW DATA'!O:O,'RAW DATA'!B568,'RAW DATA'!J:J),SUMIF('RAW DATA'!P:P,'RAW DATA'!B568,'RAW DATA'!J:J)))</f>
        <v/>
      </c>
      <c r="I568" s="4" t="str">
        <f>IF(SUMIF('RAW DATA'!M:M,'RAW DATA'!B568, 'RAW DATA'!K:K)=0, "", SUMIF('RAW DATA'!M:M,'RAW DATA'!B568, 'RAW DATA'!K:K))</f>
        <v/>
      </c>
      <c r="J568" s="29" t="str">
        <f>IF('RAW DATA'!B568&lt;&gt;"",IF(OR('RAW DATA'!H568=1,'RAW DATA'!H568=2),1,IF(ISNUMBER(FIND("Medic",'RAW DATA'!E568)),1,"")),"")</f>
        <v/>
      </c>
      <c r="K568" s="29" t="str">
        <f>IF(AND('RAW DATA'!$B568&lt;&gt;"",'RAW DATA'!L568=1),1,"")</f>
        <v/>
      </c>
      <c r="L568" s="24" t="str">
        <f t="shared" si="17"/>
        <v/>
      </c>
    </row>
    <row r="569" spans="2:12" x14ac:dyDescent="0.25">
      <c r="B569" s="27" t="str">
        <f>IF('RAW DATA'!$C571&lt;&gt;"",'RAW DATA'!$C571,"")</f>
        <v/>
      </c>
      <c r="C569" s="27" t="str">
        <f>IF('RAW DATA'!$D571&lt;&gt;"",'RAW DATA'!$D571,"")</f>
        <v/>
      </c>
      <c r="D569" s="1" t="str">
        <f>IF(AND($B568&lt;&gt;"", $B569=""), "TOTAL:", IF($D568="TOTAL:","VESSEL TARGET "&amp;'RAW DATA'!$E$2&amp;":",IF('RAW DATA'!$E569&lt;&gt;"",'RAW DATA'!$E569,"")))</f>
        <v/>
      </c>
      <c r="E569" s="29" t="str">
        <f t="shared" si="16"/>
        <v/>
      </c>
      <c r="F569" s="4" t="str">
        <f>IF($D568="TOTAL:",FIXED(ROUND(((SUM($F$4:$F567)/'RAW DATA'!$E$2)*100),1),1)&amp;"%",IF($D569="TOTAL:",SUM($F$4:$F568),IF(SUMIF('RAW DATA'!M:M,'RAW DATA'!B569,'RAW DATA'!H:H)=0,"",SUMIF('RAW DATA'!M:M,'RAW DATA'!B569,'RAW DATA'!H:H))))</f>
        <v/>
      </c>
      <c r="G569" s="4" t="str">
        <f>IF($D568="TOTAL:",FIXED(ROUND(((SUM($G$4:$G567)/'RAW DATA'!$E$2)*100),1),1)&amp;"%",IF($D569="TOTAL:",SUM($G$4:$G568),IF(SUMIF('RAW DATA'!M:M,'RAW DATA'!B569,'RAW DATA'!I:I)=0,"",SUMIF('RAW DATA'!M:M,'RAW DATA'!B569,'RAW DATA'!I:I))))</f>
        <v/>
      </c>
      <c r="H569" s="4" t="str">
        <f>IF(SUM(SUMIF('RAW DATA'!M:M,'RAW DATA'!B569,'RAW DATA'!J:J),SUMIF('RAW DATA'!N:N,'RAW DATA'!B569,'RAW DATA'!J:J),SUMIF('RAW DATA'!O:O,'RAW DATA'!B569,'RAW DATA'!J:J),SUMIF('RAW DATA'!P:P,'RAW DATA'!B569,'RAW DATA'!J:J))=0, "", SUM(SUMIF('RAW DATA'!M:M,'RAW DATA'!B569,'RAW DATA'!J:J),SUMIF('RAW DATA'!N:N,'RAW DATA'!B569,'RAW DATA'!J:J),SUMIF('RAW DATA'!O:O,'RAW DATA'!B569,'RAW DATA'!J:J),SUMIF('RAW DATA'!P:P,'RAW DATA'!B569,'RAW DATA'!J:J)))</f>
        <v/>
      </c>
      <c r="I569" s="4" t="str">
        <f>IF(SUMIF('RAW DATA'!M:M,'RAW DATA'!B569, 'RAW DATA'!K:K)=0, "", SUMIF('RAW DATA'!M:M,'RAW DATA'!B569, 'RAW DATA'!K:K))</f>
        <v/>
      </c>
      <c r="J569" s="29" t="str">
        <f>IF('RAW DATA'!B569&lt;&gt;"",IF(OR('RAW DATA'!H569=1,'RAW DATA'!H569=2),1,IF(ISNUMBER(FIND("Medic",'RAW DATA'!E569)),1,"")),"")</f>
        <v/>
      </c>
      <c r="K569" s="29" t="str">
        <f>IF(AND('RAW DATA'!$B569&lt;&gt;"",'RAW DATA'!L569=1),1,"")</f>
        <v/>
      </c>
      <c r="L569" s="24" t="str">
        <f t="shared" si="17"/>
        <v/>
      </c>
    </row>
    <row r="570" spans="2:12" x14ac:dyDescent="0.25">
      <c r="B570" s="27" t="str">
        <f>IF('RAW DATA'!$C572&lt;&gt;"",'RAW DATA'!$C572,"")</f>
        <v/>
      </c>
      <c r="C570" s="27" t="str">
        <f>IF('RAW DATA'!$D572&lt;&gt;"",'RAW DATA'!$D572,"")</f>
        <v/>
      </c>
      <c r="D570" s="1" t="str">
        <f>IF(AND($B569&lt;&gt;"", $B570=""), "TOTAL:", IF($D569="TOTAL:","VESSEL TARGET "&amp;'RAW DATA'!$E$2&amp;":",IF('RAW DATA'!$E570&lt;&gt;"",'RAW DATA'!$E570,"")))</f>
        <v/>
      </c>
      <c r="E570" s="29" t="str">
        <f t="shared" si="16"/>
        <v/>
      </c>
      <c r="F570" s="4" t="str">
        <f>IF($D569="TOTAL:",FIXED(ROUND(((SUM($F$4:$F568)/'RAW DATA'!$E$2)*100),1),1)&amp;"%",IF($D570="TOTAL:",SUM($F$4:$F569),IF(SUMIF('RAW DATA'!M:M,'RAW DATA'!B570,'RAW DATA'!H:H)=0,"",SUMIF('RAW DATA'!M:M,'RAW DATA'!B570,'RAW DATA'!H:H))))</f>
        <v/>
      </c>
      <c r="G570" s="4" t="str">
        <f>IF($D569="TOTAL:",FIXED(ROUND(((SUM($G$4:$G568)/'RAW DATA'!$E$2)*100),1),1)&amp;"%",IF($D570="TOTAL:",SUM($G$4:$G569),IF(SUMIF('RAW DATA'!M:M,'RAW DATA'!B570,'RAW DATA'!I:I)=0,"",SUMIF('RAW DATA'!M:M,'RAW DATA'!B570,'RAW DATA'!I:I))))</f>
        <v/>
      </c>
      <c r="H570" s="4" t="str">
        <f>IF(SUM(SUMIF('RAW DATA'!M:M,'RAW DATA'!B570,'RAW DATA'!J:J),SUMIF('RAW DATA'!N:N,'RAW DATA'!B570,'RAW DATA'!J:J),SUMIF('RAW DATA'!O:O,'RAW DATA'!B570,'RAW DATA'!J:J),SUMIF('RAW DATA'!P:P,'RAW DATA'!B570,'RAW DATA'!J:J))=0, "", SUM(SUMIF('RAW DATA'!M:M,'RAW DATA'!B570,'RAW DATA'!J:J),SUMIF('RAW DATA'!N:N,'RAW DATA'!B570,'RAW DATA'!J:J),SUMIF('RAW DATA'!O:O,'RAW DATA'!B570,'RAW DATA'!J:J),SUMIF('RAW DATA'!P:P,'RAW DATA'!B570,'RAW DATA'!J:J)))</f>
        <v/>
      </c>
      <c r="I570" s="4" t="str">
        <f>IF(SUMIF('RAW DATA'!M:M,'RAW DATA'!B570, 'RAW DATA'!K:K)=0, "", SUMIF('RAW DATA'!M:M,'RAW DATA'!B570, 'RAW DATA'!K:K))</f>
        <v/>
      </c>
      <c r="J570" s="29" t="str">
        <f>IF('RAW DATA'!B570&lt;&gt;"",IF(OR('RAW DATA'!H570=1,'RAW DATA'!H570=2),1,IF(ISNUMBER(FIND("Medic",'RAW DATA'!E570)),1,"")),"")</f>
        <v/>
      </c>
      <c r="K570" s="29" t="str">
        <f>IF(AND('RAW DATA'!$B570&lt;&gt;"",'RAW DATA'!L570=1),1,"")</f>
        <v/>
      </c>
      <c r="L570" s="24" t="str">
        <f t="shared" si="17"/>
        <v/>
      </c>
    </row>
    <row r="571" spans="2:12" x14ac:dyDescent="0.25">
      <c r="B571" s="27" t="str">
        <f>IF('RAW DATA'!$C573&lt;&gt;"",'RAW DATA'!$C573,"")</f>
        <v/>
      </c>
      <c r="C571" s="27" t="str">
        <f>IF('RAW DATA'!$D573&lt;&gt;"",'RAW DATA'!$D573,"")</f>
        <v/>
      </c>
      <c r="D571" s="1" t="str">
        <f>IF(AND($B570&lt;&gt;"", $B571=""), "TOTAL:", IF($D570="TOTAL:","VESSEL TARGET "&amp;'RAW DATA'!$E$2&amp;":",IF('RAW DATA'!$E571&lt;&gt;"",'RAW DATA'!$E571,"")))</f>
        <v/>
      </c>
      <c r="E571" s="29" t="str">
        <f t="shared" si="16"/>
        <v/>
      </c>
      <c r="F571" s="4" t="str">
        <f>IF($D570="TOTAL:",FIXED(ROUND(((SUM($F$4:$F569)/'RAW DATA'!$E$2)*100),1),1)&amp;"%",IF($D571="TOTAL:",SUM($F$4:$F570),IF(SUMIF('RAW DATA'!M:M,'RAW DATA'!B571,'RAW DATA'!H:H)=0,"",SUMIF('RAW DATA'!M:M,'RAW DATA'!B571,'RAW DATA'!H:H))))</f>
        <v/>
      </c>
      <c r="G571" s="4" t="str">
        <f>IF($D570="TOTAL:",FIXED(ROUND(((SUM($G$4:$G569)/'RAW DATA'!$E$2)*100),1),1)&amp;"%",IF($D571="TOTAL:",SUM($G$4:$G570),IF(SUMIF('RAW DATA'!M:M,'RAW DATA'!B571,'RAW DATA'!I:I)=0,"",SUMIF('RAW DATA'!M:M,'RAW DATA'!B571,'RAW DATA'!I:I))))</f>
        <v/>
      </c>
      <c r="H571" s="4" t="str">
        <f>IF(SUM(SUMIF('RAW DATA'!M:M,'RAW DATA'!B571,'RAW DATA'!J:J),SUMIF('RAW DATA'!N:N,'RAW DATA'!B571,'RAW DATA'!J:J),SUMIF('RAW DATA'!O:O,'RAW DATA'!B571,'RAW DATA'!J:J),SUMIF('RAW DATA'!P:P,'RAW DATA'!B571,'RAW DATA'!J:J))=0, "", SUM(SUMIF('RAW DATA'!M:M,'RAW DATA'!B571,'RAW DATA'!J:J),SUMIF('RAW DATA'!N:N,'RAW DATA'!B571,'RAW DATA'!J:J),SUMIF('RAW DATA'!O:O,'RAW DATA'!B571,'RAW DATA'!J:J),SUMIF('RAW DATA'!P:P,'RAW DATA'!B571,'RAW DATA'!J:J)))</f>
        <v/>
      </c>
      <c r="I571" s="4" t="str">
        <f>IF(SUMIF('RAW DATA'!M:M,'RAW DATA'!B571, 'RAW DATA'!K:K)=0, "", SUMIF('RAW DATA'!M:M,'RAW DATA'!B571, 'RAW DATA'!K:K))</f>
        <v/>
      </c>
      <c r="J571" s="29" t="str">
        <f>IF('RAW DATA'!B571&lt;&gt;"",IF(OR('RAW DATA'!H571=1,'RAW DATA'!H571=2),1,IF(ISNUMBER(FIND("Medic",'RAW DATA'!E571)),1,"")),"")</f>
        <v/>
      </c>
      <c r="K571" s="29" t="str">
        <f>IF(AND('RAW DATA'!$B571&lt;&gt;"",'RAW DATA'!L571=1),1,"")</f>
        <v/>
      </c>
      <c r="L571" s="24" t="str">
        <f t="shared" si="17"/>
        <v/>
      </c>
    </row>
    <row r="572" spans="2:12" x14ac:dyDescent="0.25">
      <c r="B572" s="27" t="str">
        <f>IF('RAW DATA'!$C574&lt;&gt;"",'RAW DATA'!$C574,"")</f>
        <v/>
      </c>
      <c r="C572" s="27" t="str">
        <f>IF('RAW DATA'!$D574&lt;&gt;"",'RAW DATA'!$D574,"")</f>
        <v/>
      </c>
      <c r="D572" s="1" t="str">
        <f>IF(AND($B571&lt;&gt;"", $B572=""), "TOTAL:", IF($D571="TOTAL:","VESSEL TARGET "&amp;'RAW DATA'!$E$2&amp;":",IF('RAW DATA'!$E572&lt;&gt;"",'RAW DATA'!$E572,"")))</f>
        <v/>
      </c>
      <c r="E572" s="29" t="str">
        <f t="shared" si="16"/>
        <v/>
      </c>
      <c r="F572" s="4" t="str">
        <f>IF($D571="TOTAL:",FIXED(ROUND(((SUM($F$4:$F570)/'RAW DATA'!$E$2)*100),1),1)&amp;"%",IF($D572="TOTAL:",SUM($F$4:$F571),IF(SUMIF('RAW DATA'!M:M,'RAW DATA'!B572,'RAW DATA'!H:H)=0,"",SUMIF('RAW DATA'!M:M,'RAW DATA'!B572,'RAW DATA'!H:H))))</f>
        <v/>
      </c>
      <c r="G572" s="4" t="str">
        <f>IF($D571="TOTAL:",FIXED(ROUND(((SUM($G$4:$G570)/'RAW DATA'!$E$2)*100),1),1)&amp;"%",IF($D572="TOTAL:",SUM($G$4:$G571),IF(SUMIF('RAW DATA'!M:M,'RAW DATA'!B572,'RAW DATA'!I:I)=0,"",SUMIF('RAW DATA'!M:M,'RAW DATA'!B572,'RAW DATA'!I:I))))</f>
        <v/>
      </c>
      <c r="H572" s="4" t="str">
        <f>IF(SUM(SUMIF('RAW DATA'!M:M,'RAW DATA'!B572,'RAW DATA'!J:J),SUMIF('RAW DATA'!N:N,'RAW DATA'!B572,'RAW DATA'!J:J),SUMIF('RAW DATA'!O:O,'RAW DATA'!B572,'RAW DATA'!J:J),SUMIF('RAW DATA'!P:P,'RAW DATA'!B572,'RAW DATA'!J:J))=0, "", SUM(SUMIF('RAW DATA'!M:M,'RAW DATA'!B572,'RAW DATA'!J:J),SUMIF('RAW DATA'!N:N,'RAW DATA'!B572,'RAW DATA'!J:J),SUMIF('RAW DATA'!O:O,'RAW DATA'!B572,'RAW DATA'!J:J),SUMIF('RAW DATA'!P:P,'RAW DATA'!B572,'RAW DATA'!J:J)))</f>
        <v/>
      </c>
      <c r="I572" s="4" t="str">
        <f>IF(SUMIF('RAW DATA'!M:M,'RAW DATA'!B572, 'RAW DATA'!K:K)=0, "", SUMIF('RAW DATA'!M:M,'RAW DATA'!B572, 'RAW DATA'!K:K))</f>
        <v/>
      </c>
      <c r="J572" s="29" t="str">
        <f>IF('RAW DATA'!B572&lt;&gt;"",IF(OR('RAW DATA'!H572=1,'RAW DATA'!H572=2),1,IF(ISNUMBER(FIND("Medic",'RAW DATA'!E572)),1,"")),"")</f>
        <v/>
      </c>
      <c r="K572" s="29" t="str">
        <f>IF(AND('RAW DATA'!$B572&lt;&gt;"",'RAW DATA'!L572=1),1,"")</f>
        <v/>
      </c>
      <c r="L572" s="24" t="str">
        <f t="shared" si="17"/>
        <v/>
      </c>
    </row>
    <row r="573" spans="2:12" x14ac:dyDescent="0.25">
      <c r="B573" s="27" t="str">
        <f>IF('RAW DATA'!$C575&lt;&gt;"",'RAW DATA'!$C575,"")</f>
        <v/>
      </c>
      <c r="C573" s="27" t="str">
        <f>IF('RAW DATA'!$D575&lt;&gt;"",'RAW DATA'!$D575,"")</f>
        <v/>
      </c>
      <c r="D573" s="1" t="str">
        <f>IF(AND($B572&lt;&gt;"", $B573=""), "TOTAL:", IF($D572="TOTAL:","VESSEL TARGET "&amp;'RAW DATA'!$E$2&amp;":",IF('RAW DATA'!$E573&lt;&gt;"",'RAW DATA'!$E573,"")))</f>
        <v/>
      </c>
      <c r="E573" s="29" t="str">
        <f t="shared" si="16"/>
        <v/>
      </c>
      <c r="F573" s="4" t="str">
        <f>IF($D572="TOTAL:",FIXED(ROUND(((SUM($F$4:$F571)/'RAW DATA'!$E$2)*100),1),1)&amp;"%",IF($D573="TOTAL:",SUM($F$4:$F572),IF(SUMIF('RAW DATA'!M:M,'RAW DATA'!B573,'RAW DATA'!H:H)=0,"",SUMIF('RAW DATA'!M:M,'RAW DATA'!B573,'RAW DATA'!H:H))))</f>
        <v/>
      </c>
      <c r="G573" s="4" t="str">
        <f>IF($D572="TOTAL:",FIXED(ROUND(((SUM($G$4:$G571)/'RAW DATA'!$E$2)*100),1),1)&amp;"%",IF($D573="TOTAL:",SUM($G$4:$G572),IF(SUMIF('RAW DATA'!M:M,'RAW DATA'!B573,'RAW DATA'!I:I)=0,"",SUMIF('RAW DATA'!M:M,'RAW DATA'!B573,'RAW DATA'!I:I))))</f>
        <v/>
      </c>
      <c r="H573" s="4" t="str">
        <f>IF(SUM(SUMIF('RAW DATA'!M:M,'RAW DATA'!B573,'RAW DATA'!J:J),SUMIF('RAW DATA'!N:N,'RAW DATA'!B573,'RAW DATA'!J:J),SUMIF('RAW DATA'!O:O,'RAW DATA'!B573,'RAW DATA'!J:J),SUMIF('RAW DATA'!P:P,'RAW DATA'!B573,'RAW DATA'!J:J))=0, "", SUM(SUMIF('RAW DATA'!M:M,'RAW DATA'!B573,'RAW DATA'!J:J),SUMIF('RAW DATA'!N:N,'RAW DATA'!B573,'RAW DATA'!J:J),SUMIF('RAW DATA'!O:O,'RAW DATA'!B573,'RAW DATA'!J:J),SUMIF('RAW DATA'!P:P,'RAW DATA'!B573,'RAW DATA'!J:J)))</f>
        <v/>
      </c>
      <c r="I573" s="4" t="str">
        <f>IF(SUMIF('RAW DATA'!M:M,'RAW DATA'!B573, 'RAW DATA'!K:K)=0, "", SUMIF('RAW DATA'!M:M,'RAW DATA'!B573, 'RAW DATA'!K:K))</f>
        <v/>
      </c>
      <c r="J573" s="29" t="str">
        <f>IF('RAW DATA'!B573&lt;&gt;"",IF(OR('RAW DATA'!H573=1,'RAW DATA'!H573=2),1,IF(ISNUMBER(FIND("Medic",'RAW DATA'!E573)),1,"")),"")</f>
        <v/>
      </c>
      <c r="K573" s="29" t="str">
        <f>IF(AND('RAW DATA'!$B573&lt;&gt;"",'RAW DATA'!L573=1),1,"")</f>
        <v/>
      </c>
      <c r="L573" s="24" t="str">
        <f t="shared" si="17"/>
        <v/>
      </c>
    </row>
    <row r="574" spans="2:12" x14ac:dyDescent="0.25">
      <c r="B574" s="27" t="str">
        <f>IF('RAW DATA'!$C576&lt;&gt;"",'RAW DATA'!$C576,"")</f>
        <v/>
      </c>
      <c r="C574" s="27" t="str">
        <f>IF('RAW DATA'!$D576&lt;&gt;"",'RAW DATA'!$D576,"")</f>
        <v/>
      </c>
      <c r="D574" s="1" t="str">
        <f>IF(AND($B573&lt;&gt;"", $B574=""), "TOTAL:", IF($D573="TOTAL:","VESSEL TARGET "&amp;'RAW DATA'!$E$2&amp;":",IF('RAW DATA'!$E574&lt;&gt;"",'RAW DATA'!$E574,"")))</f>
        <v/>
      </c>
      <c r="E574" s="29" t="str">
        <f t="shared" si="16"/>
        <v/>
      </c>
      <c r="F574" s="4" t="str">
        <f>IF($D573="TOTAL:",FIXED(ROUND(((SUM($F$4:$F572)/'RAW DATA'!$E$2)*100),1),1)&amp;"%",IF($D574="TOTAL:",SUM($F$4:$F573),IF(SUMIF('RAW DATA'!M:M,'RAW DATA'!B574,'RAW DATA'!H:H)=0,"",SUMIF('RAW DATA'!M:M,'RAW DATA'!B574,'RAW DATA'!H:H))))</f>
        <v/>
      </c>
      <c r="G574" s="4" t="str">
        <f>IF($D573="TOTAL:",FIXED(ROUND(((SUM($G$4:$G572)/'RAW DATA'!$E$2)*100),1),1)&amp;"%",IF($D574="TOTAL:",SUM($G$4:$G573),IF(SUMIF('RAW DATA'!M:M,'RAW DATA'!B574,'RAW DATA'!I:I)=0,"",SUMIF('RAW DATA'!M:M,'RAW DATA'!B574,'RAW DATA'!I:I))))</f>
        <v/>
      </c>
      <c r="H574" s="4" t="str">
        <f>IF(SUM(SUMIF('RAW DATA'!M:M,'RAW DATA'!B574,'RAW DATA'!J:J),SUMIF('RAW DATA'!N:N,'RAW DATA'!B574,'RAW DATA'!J:J),SUMIF('RAW DATA'!O:O,'RAW DATA'!B574,'RAW DATA'!J:J),SUMIF('RAW DATA'!P:P,'RAW DATA'!B574,'RAW DATA'!J:J))=0, "", SUM(SUMIF('RAW DATA'!M:M,'RAW DATA'!B574,'RAW DATA'!J:J),SUMIF('RAW DATA'!N:N,'RAW DATA'!B574,'RAW DATA'!J:J),SUMIF('RAW DATA'!O:O,'RAW DATA'!B574,'RAW DATA'!J:J),SUMIF('RAW DATA'!P:P,'RAW DATA'!B574,'RAW DATA'!J:J)))</f>
        <v/>
      </c>
      <c r="I574" s="4" t="str">
        <f>IF(SUMIF('RAW DATA'!M:M,'RAW DATA'!B574, 'RAW DATA'!K:K)=0, "", SUMIF('RAW DATA'!M:M,'RAW DATA'!B574, 'RAW DATA'!K:K))</f>
        <v/>
      </c>
      <c r="J574" s="29" t="str">
        <f>IF('RAW DATA'!B574&lt;&gt;"",IF(OR('RAW DATA'!H574=1,'RAW DATA'!H574=2),1,IF(ISNUMBER(FIND("Medic",'RAW DATA'!E574)),1,"")),"")</f>
        <v/>
      </c>
      <c r="K574" s="29" t="str">
        <f>IF(AND('RAW DATA'!$B574&lt;&gt;"",'RAW DATA'!L574=1),1,"")</f>
        <v/>
      </c>
      <c r="L574" s="24" t="str">
        <f t="shared" si="17"/>
        <v/>
      </c>
    </row>
    <row r="575" spans="2:12" x14ac:dyDescent="0.25">
      <c r="B575" s="27" t="str">
        <f>IF('RAW DATA'!$C577&lt;&gt;"",'RAW DATA'!$C577,"")</f>
        <v/>
      </c>
      <c r="C575" s="27" t="str">
        <f>IF('RAW DATA'!$D577&lt;&gt;"",'RAW DATA'!$D577,"")</f>
        <v/>
      </c>
      <c r="D575" s="1" t="str">
        <f>IF(AND($B574&lt;&gt;"", $B575=""), "TOTAL:", IF($D574="TOTAL:","VESSEL TARGET "&amp;'RAW DATA'!$E$2&amp;":",IF('RAW DATA'!$E575&lt;&gt;"",'RAW DATA'!$E575,"")))</f>
        <v/>
      </c>
      <c r="E575" s="29" t="str">
        <f t="shared" si="16"/>
        <v/>
      </c>
      <c r="F575" s="4" t="str">
        <f>IF($D574="TOTAL:",FIXED(ROUND(((SUM($F$4:$F573)/'RAW DATA'!$E$2)*100),1),1)&amp;"%",IF($D575="TOTAL:",SUM($F$4:$F574),IF(SUMIF('RAW DATA'!M:M,'RAW DATA'!B575,'RAW DATA'!H:H)=0,"",SUMIF('RAW DATA'!M:M,'RAW DATA'!B575,'RAW DATA'!H:H))))</f>
        <v/>
      </c>
      <c r="G575" s="4" t="str">
        <f>IF($D574="TOTAL:",FIXED(ROUND(((SUM($G$4:$G573)/'RAW DATA'!$E$2)*100),1),1)&amp;"%",IF($D575="TOTAL:",SUM($G$4:$G574),IF(SUMIF('RAW DATA'!M:M,'RAW DATA'!B575,'RAW DATA'!I:I)=0,"",SUMIF('RAW DATA'!M:M,'RAW DATA'!B575,'RAW DATA'!I:I))))</f>
        <v/>
      </c>
      <c r="H575" s="4" t="str">
        <f>IF(SUM(SUMIF('RAW DATA'!M:M,'RAW DATA'!B575,'RAW DATA'!J:J),SUMIF('RAW DATA'!N:N,'RAW DATA'!B575,'RAW DATA'!J:J),SUMIF('RAW DATA'!O:O,'RAW DATA'!B575,'RAW DATA'!J:J),SUMIF('RAW DATA'!P:P,'RAW DATA'!B575,'RAW DATA'!J:J))=0, "", SUM(SUMIF('RAW DATA'!M:M,'RAW DATA'!B575,'RAW DATA'!J:J),SUMIF('RAW DATA'!N:N,'RAW DATA'!B575,'RAW DATA'!J:J),SUMIF('RAW DATA'!O:O,'RAW DATA'!B575,'RAW DATA'!J:J),SUMIF('RAW DATA'!P:P,'RAW DATA'!B575,'RAW DATA'!J:J)))</f>
        <v/>
      </c>
      <c r="I575" s="4" t="str">
        <f>IF(SUMIF('RAW DATA'!M:M,'RAW DATA'!B575, 'RAW DATA'!K:K)=0, "", SUMIF('RAW DATA'!M:M,'RAW DATA'!B575, 'RAW DATA'!K:K))</f>
        <v/>
      </c>
      <c r="J575" s="29" t="str">
        <f>IF('RAW DATA'!B575&lt;&gt;"",IF(OR('RAW DATA'!H575=1,'RAW DATA'!H575=2),1,IF(ISNUMBER(FIND("Medic",'RAW DATA'!E575)),1,"")),"")</f>
        <v/>
      </c>
      <c r="K575" s="29" t="str">
        <f>IF(AND('RAW DATA'!$B575&lt;&gt;"",'RAW DATA'!L575=1),1,"")</f>
        <v/>
      </c>
      <c r="L575" s="24" t="str">
        <f t="shared" si="17"/>
        <v/>
      </c>
    </row>
    <row r="576" spans="2:12" x14ac:dyDescent="0.25">
      <c r="B576" s="27" t="str">
        <f>IF('RAW DATA'!$C578&lt;&gt;"",'RAW DATA'!$C578,"")</f>
        <v/>
      </c>
      <c r="C576" s="27" t="str">
        <f>IF('RAW DATA'!$D578&lt;&gt;"",'RAW DATA'!$D578,"")</f>
        <v/>
      </c>
      <c r="D576" s="1" t="str">
        <f>IF(AND($B575&lt;&gt;"", $B576=""), "TOTAL:", IF($D575="TOTAL:","VESSEL TARGET "&amp;'RAW DATA'!$E$2&amp;":",IF('RAW DATA'!$E576&lt;&gt;"",'RAW DATA'!$E576,"")))</f>
        <v/>
      </c>
      <c r="E576" s="29" t="str">
        <f t="shared" si="16"/>
        <v/>
      </c>
      <c r="F576" s="4" t="str">
        <f>IF($D575="TOTAL:",FIXED(ROUND(((SUM($F$4:$F574)/'RAW DATA'!$E$2)*100),1),1)&amp;"%",IF($D576="TOTAL:",SUM($F$4:$F575),IF(SUMIF('RAW DATA'!M:M,'RAW DATA'!B576,'RAW DATA'!H:H)=0,"",SUMIF('RAW DATA'!M:M,'RAW DATA'!B576,'RAW DATA'!H:H))))</f>
        <v/>
      </c>
      <c r="G576" s="4" t="str">
        <f>IF($D575="TOTAL:",FIXED(ROUND(((SUM($G$4:$G574)/'RAW DATA'!$E$2)*100),1),1)&amp;"%",IF($D576="TOTAL:",SUM($G$4:$G575),IF(SUMIF('RAW DATA'!M:M,'RAW DATA'!B576,'RAW DATA'!I:I)=0,"",SUMIF('RAW DATA'!M:M,'RAW DATA'!B576,'RAW DATA'!I:I))))</f>
        <v/>
      </c>
      <c r="H576" s="4" t="str">
        <f>IF(SUM(SUMIF('RAW DATA'!M:M,'RAW DATA'!B576,'RAW DATA'!J:J),SUMIF('RAW DATA'!N:N,'RAW DATA'!B576,'RAW DATA'!J:J),SUMIF('RAW DATA'!O:O,'RAW DATA'!B576,'RAW DATA'!J:J),SUMIF('RAW DATA'!P:P,'RAW DATA'!B576,'RAW DATA'!J:J))=0, "", SUM(SUMIF('RAW DATA'!M:M,'RAW DATA'!B576,'RAW DATA'!J:J),SUMIF('RAW DATA'!N:N,'RAW DATA'!B576,'RAW DATA'!J:J),SUMIF('RAW DATA'!O:O,'RAW DATA'!B576,'RAW DATA'!J:J),SUMIF('RAW DATA'!P:P,'RAW DATA'!B576,'RAW DATA'!J:J)))</f>
        <v/>
      </c>
      <c r="I576" s="4" t="str">
        <f>IF(SUMIF('RAW DATA'!M:M,'RAW DATA'!B576, 'RAW DATA'!K:K)=0, "", SUMIF('RAW DATA'!M:M,'RAW DATA'!B576, 'RAW DATA'!K:K))</f>
        <v/>
      </c>
      <c r="J576" s="29" t="str">
        <f>IF('RAW DATA'!B576&lt;&gt;"",IF(OR('RAW DATA'!H576=1,'RAW DATA'!H576=2),1,IF(ISNUMBER(FIND("Medic",'RAW DATA'!E576)),1,"")),"")</f>
        <v/>
      </c>
      <c r="K576" s="29" t="str">
        <f>IF(AND('RAW DATA'!$B576&lt;&gt;"",'RAW DATA'!L576=1),1,"")</f>
        <v/>
      </c>
      <c r="L576" s="24" t="str">
        <f t="shared" si="17"/>
        <v/>
      </c>
    </row>
    <row r="577" spans="2:12" x14ac:dyDescent="0.25">
      <c r="B577" s="27" t="str">
        <f>IF('RAW DATA'!$C579&lt;&gt;"",'RAW DATA'!$C579,"")</f>
        <v/>
      </c>
      <c r="C577" s="27" t="str">
        <f>IF('RAW DATA'!$D579&lt;&gt;"",'RAW DATA'!$D579,"")</f>
        <v/>
      </c>
      <c r="D577" s="1" t="str">
        <f>IF(AND($B576&lt;&gt;"", $B577=""), "TOTAL:", IF($D576="TOTAL:","VESSEL TARGET "&amp;'RAW DATA'!$E$2&amp;":",IF('RAW DATA'!$E577&lt;&gt;"",'RAW DATA'!$E577,"")))</f>
        <v/>
      </c>
      <c r="E577" s="29" t="str">
        <f t="shared" si="16"/>
        <v/>
      </c>
      <c r="F577" s="4" t="str">
        <f>IF($D576="TOTAL:",FIXED(ROUND(((SUM($F$4:$F575)/'RAW DATA'!$E$2)*100),1),1)&amp;"%",IF($D577="TOTAL:",SUM($F$4:$F576),IF(SUMIF('RAW DATA'!M:M,'RAW DATA'!B577,'RAW DATA'!H:H)=0,"",SUMIF('RAW DATA'!M:M,'RAW DATA'!B577,'RAW DATA'!H:H))))</f>
        <v/>
      </c>
      <c r="G577" s="4" t="str">
        <f>IF($D576="TOTAL:",FIXED(ROUND(((SUM($G$4:$G575)/'RAW DATA'!$E$2)*100),1),1)&amp;"%",IF($D577="TOTAL:",SUM($G$4:$G576),IF(SUMIF('RAW DATA'!M:M,'RAW DATA'!B577,'RAW DATA'!I:I)=0,"",SUMIF('RAW DATA'!M:M,'RAW DATA'!B577,'RAW DATA'!I:I))))</f>
        <v/>
      </c>
      <c r="H577" s="4" t="str">
        <f>IF(SUM(SUMIF('RAW DATA'!M:M,'RAW DATA'!B577,'RAW DATA'!J:J),SUMIF('RAW DATA'!N:N,'RAW DATA'!B577,'RAW DATA'!J:J),SUMIF('RAW DATA'!O:O,'RAW DATA'!B577,'RAW DATA'!J:J),SUMIF('RAW DATA'!P:P,'RAW DATA'!B577,'RAW DATA'!J:J))=0, "", SUM(SUMIF('RAW DATA'!M:M,'RAW DATA'!B577,'RAW DATA'!J:J),SUMIF('RAW DATA'!N:N,'RAW DATA'!B577,'RAW DATA'!J:J),SUMIF('RAW DATA'!O:O,'RAW DATA'!B577,'RAW DATA'!J:J),SUMIF('RAW DATA'!P:P,'RAW DATA'!B577,'RAW DATA'!J:J)))</f>
        <v/>
      </c>
      <c r="I577" s="4" t="str">
        <f>IF(SUMIF('RAW DATA'!M:M,'RAW DATA'!B577, 'RAW DATA'!K:K)=0, "", SUMIF('RAW DATA'!M:M,'RAW DATA'!B577, 'RAW DATA'!K:K))</f>
        <v/>
      </c>
      <c r="J577" s="29" t="str">
        <f>IF('RAW DATA'!B577&lt;&gt;"",IF(OR('RAW DATA'!H577=1,'RAW DATA'!H577=2),1,IF(ISNUMBER(FIND("Medic",'RAW DATA'!E577)),1,"")),"")</f>
        <v/>
      </c>
      <c r="K577" s="29" t="str">
        <f>IF(AND('RAW DATA'!$B577&lt;&gt;"",'RAW DATA'!L577=1),1,"")</f>
        <v/>
      </c>
      <c r="L577" s="24" t="str">
        <f t="shared" si="17"/>
        <v/>
      </c>
    </row>
    <row r="578" spans="2:12" x14ac:dyDescent="0.25">
      <c r="B578" s="27" t="str">
        <f>IF('RAW DATA'!$C580&lt;&gt;"",'RAW DATA'!$C580,"")</f>
        <v/>
      </c>
      <c r="C578" s="27" t="str">
        <f>IF('RAW DATA'!$D580&lt;&gt;"",'RAW DATA'!$D580,"")</f>
        <v/>
      </c>
      <c r="D578" s="1" t="str">
        <f>IF(AND($B577&lt;&gt;"", $B578=""), "TOTAL:", IF($D577="TOTAL:","VESSEL TARGET "&amp;'RAW DATA'!$E$2&amp;":",IF('RAW DATA'!$E578&lt;&gt;"",'RAW DATA'!$E578,"")))</f>
        <v/>
      </c>
      <c r="E578" s="29" t="str">
        <f t="shared" si="16"/>
        <v/>
      </c>
      <c r="F578" s="4" t="str">
        <f>IF($D577="TOTAL:",FIXED(ROUND(((SUM($F$4:$F576)/'RAW DATA'!$E$2)*100),1),1)&amp;"%",IF($D578="TOTAL:",SUM($F$4:$F577),IF(SUMIF('RAW DATA'!M:M,'RAW DATA'!B578,'RAW DATA'!H:H)=0,"",SUMIF('RAW DATA'!M:M,'RAW DATA'!B578,'RAW DATA'!H:H))))</f>
        <v/>
      </c>
      <c r="G578" s="4" t="str">
        <f>IF($D577="TOTAL:",FIXED(ROUND(((SUM($G$4:$G576)/'RAW DATA'!$E$2)*100),1),1)&amp;"%",IF($D578="TOTAL:",SUM($G$4:$G577),IF(SUMIF('RAW DATA'!M:M,'RAW DATA'!B578,'RAW DATA'!I:I)=0,"",SUMIF('RAW DATA'!M:M,'RAW DATA'!B578,'RAW DATA'!I:I))))</f>
        <v/>
      </c>
      <c r="H578" s="4" t="str">
        <f>IF(SUM(SUMIF('RAW DATA'!M:M,'RAW DATA'!B578,'RAW DATA'!J:J),SUMIF('RAW DATA'!N:N,'RAW DATA'!B578,'RAW DATA'!J:J),SUMIF('RAW DATA'!O:O,'RAW DATA'!B578,'RAW DATA'!J:J),SUMIF('RAW DATA'!P:P,'RAW DATA'!B578,'RAW DATA'!J:J))=0, "", SUM(SUMIF('RAW DATA'!M:M,'RAW DATA'!B578,'RAW DATA'!J:J),SUMIF('RAW DATA'!N:N,'RAW DATA'!B578,'RAW DATA'!J:J),SUMIF('RAW DATA'!O:O,'RAW DATA'!B578,'RAW DATA'!J:J),SUMIF('RAW DATA'!P:P,'RAW DATA'!B578,'RAW DATA'!J:J)))</f>
        <v/>
      </c>
      <c r="I578" s="4" t="str">
        <f>IF(SUMIF('RAW DATA'!M:M,'RAW DATA'!B578, 'RAW DATA'!K:K)=0, "", SUMIF('RAW DATA'!M:M,'RAW DATA'!B578, 'RAW DATA'!K:K))</f>
        <v/>
      </c>
      <c r="J578" s="29" t="str">
        <f>IF('RAW DATA'!B578&lt;&gt;"",IF(OR('RAW DATA'!H578=1,'RAW DATA'!H578=2),1,IF(ISNUMBER(FIND("Medic",'RAW DATA'!E578)),1,"")),"")</f>
        <v/>
      </c>
      <c r="K578" s="29" t="str">
        <f>IF(AND('RAW DATA'!$B578&lt;&gt;"",'RAW DATA'!L578=1),1,"")</f>
        <v/>
      </c>
      <c r="L578" s="24" t="str">
        <f t="shared" si="17"/>
        <v/>
      </c>
    </row>
    <row r="579" spans="2:12" x14ac:dyDescent="0.25">
      <c r="B579" s="27" t="str">
        <f>IF('RAW DATA'!$C581&lt;&gt;"",'RAW DATA'!$C581,"")</f>
        <v/>
      </c>
      <c r="C579" s="27" t="str">
        <f>IF('RAW DATA'!$D581&lt;&gt;"",'RAW DATA'!$D581,"")</f>
        <v/>
      </c>
      <c r="D579" s="1" t="str">
        <f>IF(AND($B578&lt;&gt;"", $B579=""), "TOTAL:", IF($D578="TOTAL:","VESSEL TARGET "&amp;'RAW DATA'!$E$2&amp;":",IF('RAW DATA'!$E579&lt;&gt;"",'RAW DATA'!$E579,"")))</f>
        <v/>
      </c>
      <c r="E579" s="29" t="str">
        <f t="shared" si="16"/>
        <v/>
      </c>
      <c r="F579" s="4" t="str">
        <f>IF($D578="TOTAL:",FIXED(ROUND(((SUM($F$4:$F577)/'RAW DATA'!$E$2)*100),1),1)&amp;"%",IF($D579="TOTAL:",SUM($F$4:$F578),IF(SUMIF('RAW DATA'!M:M,'RAW DATA'!B579,'RAW DATA'!H:H)=0,"",SUMIF('RAW DATA'!M:M,'RAW DATA'!B579,'RAW DATA'!H:H))))</f>
        <v/>
      </c>
      <c r="G579" s="4" t="str">
        <f>IF($D578="TOTAL:",FIXED(ROUND(((SUM($G$4:$G577)/'RAW DATA'!$E$2)*100),1),1)&amp;"%",IF($D579="TOTAL:",SUM($G$4:$G578),IF(SUMIF('RAW DATA'!M:M,'RAW DATA'!B579,'RAW DATA'!I:I)=0,"",SUMIF('RAW DATA'!M:M,'RAW DATA'!B579,'RAW DATA'!I:I))))</f>
        <v/>
      </c>
      <c r="H579" s="4" t="str">
        <f>IF(SUM(SUMIF('RAW DATA'!M:M,'RAW DATA'!B579,'RAW DATA'!J:J),SUMIF('RAW DATA'!N:N,'RAW DATA'!B579,'RAW DATA'!J:J),SUMIF('RAW DATA'!O:O,'RAW DATA'!B579,'RAW DATA'!J:J),SUMIF('RAW DATA'!P:P,'RAW DATA'!B579,'RAW DATA'!J:J))=0, "", SUM(SUMIF('RAW DATA'!M:M,'RAW DATA'!B579,'RAW DATA'!J:J),SUMIF('RAW DATA'!N:N,'RAW DATA'!B579,'RAW DATA'!J:J),SUMIF('RAW DATA'!O:O,'RAW DATA'!B579,'RAW DATA'!J:J),SUMIF('RAW DATA'!P:P,'RAW DATA'!B579,'RAW DATA'!J:J)))</f>
        <v/>
      </c>
      <c r="I579" s="4" t="str">
        <f>IF(SUMIF('RAW DATA'!M:M,'RAW DATA'!B579, 'RAW DATA'!K:K)=0, "", SUMIF('RAW DATA'!M:M,'RAW DATA'!B579, 'RAW DATA'!K:K))</f>
        <v/>
      </c>
      <c r="J579" s="29" t="str">
        <f>IF('RAW DATA'!B579&lt;&gt;"",IF(OR('RAW DATA'!H579=1,'RAW DATA'!H579=2),1,IF(ISNUMBER(FIND("Medic",'RAW DATA'!E579)),1,"")),"")</f>
        <v/>
      </c>
      <c r="K579" s="29" t="str">
        <f>IF(AND('RAW DATA'!$B579&lt;&gt;"",'RAW DATA'!L579=1),1,"")</f>
        <v/>
      </c>
      <c r="L579" s="24" t="str">
        <f t="shared" si="17"/>
        <v/>
      </c>
    </row>
    <row r="580" spans="2:12" x14ac:dyDescent="0.25">
      <c r="B580" s="27" t="str">
        <f>IF('RAW DATA'!$C582&lt;&gt;"",'RAW DATA'!$C582,"")</f>
        <v/>
      </c>
      <c r="C580" s="27" t="str">
        <f>IF('RAW DATA'!$D582&lt;&gt;"",'RAW DATA'!$D582,"")</f>
        <v/>
      </c>
      <c r="D580" s="1" t="str">
        <f>IF(AND($B579&lt;&gt;"", $B580=""), "TOTAL:", IF($D579="TOTAL:","VESSEL TARGET "&amp;'RAW DATA'!$E$2&amp;":",IF('RAW DATA'!$E580&lt;&gt;"",'RAW DATA'!$E580,"")))</f>
        <v/>
      </c>
      <c r="E580" s="29" t="str">
        <f t="shared" si="16"/>
        <v/>
      </c>
      <c r="F580" s="4" t="str">
        <f>IF($D579="TOTAL:",FIXED(ROUND(((SUM($F$4:$F578)/'RAW DATA'!$E$2)*100),1),1)&amp;"%",IF($D580="TOTAL:",SUM($F$4:$F579),IF(SUMIF('RAW DATA'!M:M,'RAW DATA'!B580,'RAW DATA'!H:H)=0,"",SUMIF('RAW DATA'!M:M,'RAW DATA'!B580,'RAW DATA'!H:H))))</f>
        <v/>
      </c>
      <c r="G580" s="4" t="str">
        <f>IF($D579="TOTAL:",FIXED(ROUND(((SUM($G$4:$G578)/'RAW DATA'!$E$2)*100),1),1)&amp;"%",IF($D580="TOTAL:",SUM($G$4:$G579),IF(SUMIF('RAW DATA'!M:M,'RAW DATA'!B580,'RAW DATA'!I:I)=0,"",SUMIF('RAW DATA'!M:M,'RAW DATA'!B580,'RAW DATA'!I:I))))</f>
        <v/>
      </c>
      <c r="H580" s="4" t="str">
        <f>IF(SUM(SUMIF('RAW DATA'!M:M,'RAW DATA'!B580,'RAW DATA'!J:J),SUMIF('RAW DATA'!N:N,'RAW DATA'!B580,'RAW DATA'!J:J),SUMIF('RAW DATA'!O:O,'RAW DATA'!B580,'RAW DATA'!J:J),SUMIF('RAW DATA'!P:P,'RAW DATA'!B580,'RAW DATA'!J:J))=0, "", SUM(SUMIF('RAW DATA'!M:M,'RAW DATA'!B580,'RAW DATA'!J:J),SUMIF('RAW DATA'!N:N,'RAW DATA'!B580,'RAW DATA'!J:J),SUMIF('RAW DATA'!O:O,'RAW DATA'!B580,'RAW DATA'!J:J),SUMIF('RAW DATA'!P:P,'RAW DATA'!B580,'RAW DATA'!J:J)))</f>
        <v/>
      </c>
      <c r="I580" s="4" t="str">
        <f>IF(SUMIF('RAW DATA'!M:M,'RAW DATA'!B580, 'RAW DATA'!K:K)=0, "", SUMIF('RAW DATA'!M:M,'RAW DATA'!B580, 'RAW DATA'!K:K))</f>
        <v/>
      </c>
      <c r="J580" s="29" t="str">
        <f>IF('RAW DATA'!B580&lt;&gt;"",IF(OR('RAW DATA'!H580=1,'RAW DATA'!H580=2),1,IF(ISNUMBER(FIND("Medic",'RAW DATA'!E580)),1,"")),"")</f>
        <v/>
      </c>
      <c r="K580" s="29" t="str">
        <f>IF(AND('RAW DATA'!$B580&lt;&gt;"",'RAW DATA'!L580=1),1,"")</f>
        <v/>
      </c>
      <c r="L580" s="24" t="str">
        <f t="shared" si="17"/>
        <v/>
      </c>
    </row>
    <row r="581" spans="2:12" x14ac:dyDescent="0.25">
      <c r="B581" s="27" t="str">
        <f>IF('RAW DATA'!$C583&lt;&gt;"",'RAW DATA'!$C583,"")</f>
        <v/>
      </c>
      <c r="C581" s="27" t="str">
        <f>IF('RAW DATA'!$D583&lt;&gt;"",'RAW DATA'!$D583,"")</f>
        <v/>
      </c>
      <c r="D581" s="1" t="str">
        <f>IF(AND($B580&lt;&gt;"", $B581=""), "TOTAL:", IF($D580="TOTAL:","VESSEL TARGET "&amp;'RAW DATA'!$E$2&amp;":",IF('RAW DATA'!$E581&lt;&gt;"",'RAW DATA'!$E581,"")))</f>
        <v/>
      </c>
      <c r="E581" s="29" t="str">
        <f t="shared" ref="E581:E611" si="18">IF(B581&lt;&gt;"",IF(SUM(FLOOR(SUM(F581)/3,1)*10,FLOOR(SUM(G581)/3,1)*10, IF(SUM(H581)&gt;=1,5,0), IF(SUM(I581)&gt;=2,5,0), IF(SUM(J581)&gt;=1,5,0), IF(SUM(K581)&gt;=1,15,0))&gt;0, SUM(FLOOR(SUM(F581)/3,1)*10,FLOOR(SUM(G581)/3,1)*10, IF(SUM(H581)&gt;=1,5,0), IF(SUM(I581)&gt;=2,5,0), IF(SUM(J581)&gt;=1,5,0), IF(SUM(K581)&gt;=1,15,0)),""),"")</f>
        <v/>
      </c>
      <c r="F581" s="4" t="str">
        <f>IF($D580="TOTAL:",FIXED(ROUND(((SUM($F$4:$F579)/'RAW DATA'!$E$2)*100),1),1)&amp;"%",IF($D581="TOTAL:",SUM($F$4:$F580),IF(SUMIF('RAW DATA'!M:M,'RAW DATA'!B581,'RAW DATA'!H:H)=0,"",SUMIF('RAW DATA'!M:M,'RAW DATA'!B581,'RAW DATA'!H:H))))</f>
        <v/>
      </c>
      <c r="G581" s="4" t="str">
        <f>IF($D580="TOTAL:",FIXED(ROUND(((SUM($G$4:$G579)/'RAW DATA'!$E$2)*100),1),1)&amp;"%",IF($D581="TOTAL:",SUM($G$4:$G580),IF(SUMIF('RAW DATA'!M:M,'RAW DATA'!B581,'RAW DATA'!I:I)=0,"",SUMIF('RAW DATA'!M:M,'RAW DATA'!B581,'RAW DATA'!I:I))))</f>
        <v/>
      </c>
      <c r="H581" s="4" t="str">
        <f>IF(SUM(SUMIF('RAW DATA'!M:M,'RAW DATA'!B581,'RAW DATA'!J:J),SUMIF('RAW DATA'!N:N,'RAW DATA'!B581,'RAW DATA'!J:J),SUMIF('RAW DATA'!O:O,'RAW DATA'!B581,'RAW DATA'!J:J),SUMIF('RAW DATA'!P:P,'RAW DATA'!B581,'RAW DATA'!J:J))=0, "", SUM(SUMIF('RAW DATA'!M:M,'RAW DATA'!B581,'RAW DATA'!J:J),SUMIF('RAW DATA'!N:N,'RAW DATA'!B581,'RAW DATA'!J:J),SUMIF('RAW DATA'!O:O,'RAW DATA'!B581,'RAW DATA'!J:J),SUMIF('RAW DATA'!P:P,'RAW DATA'!B581,'RAW DATA'!J:J)))</f>
        <v/>
      </c>
      <c r="I581" s="4" t="str">
        <f>IF(SUMIF('RAW DATA'!M:M,'RAW DATA'!B581, 'RAW DATA'!K:K)=0, "", SUMIF('RAW DATA'!M:M,'RAW DATA'!B581, 'RAW DATA'!K:K))</f>
        <v/>
      </c>
      <c r="J581" s="29" t="str">
        <f>IF('RAW DATA'!B581&lt;&gt;"",IF(OR('RAW DATA'!H581=1,'RAW DATA'!H581=2),1,IF(ISNUMBER(FIND("Medic",'RAW DATA'!E581)),1,"")),"")</f>
        <v/>
      </c>
      <c r="K581" s="29" t="str">
        <f>IF(AND('RAW DATA'!$B581&lt;&gt;"",'RAW DATA'!L581=1),1,"")</f>
        <v/>
      </c>
      <c r="L581" s="24" t="str">
        <f t="shared" ref="L581:L611" si="19">IF(OR($B581="", $F581="",$G581=""),"",IF(AND($F581&gt;=2,$G581&gt;=2),1,""))</f>
        <v/>
      </c>
    </row>
    <row r="582" spans="2:12" x14ac:dyDescent="0.25">
      <c r="B582" s="27" t="str">
        <f>IF('RAW DATA'!$C584&lt;&gt;"",'RAW DATA'!$C584,"")</f>
        <v/>
      </c>
      <c r="C582" s="27" t="str">
        <f>IF('RAW DATA'!$D584&lt;&gt;"",'RAW DATA'!$D584,"")</f>
        <v/>
      </c>
      <c r="D582" s="1" t="str">
        <f>IF(AND($B581&lt;&gt;"", $B582=""), "TOTAL:", IF($D581="TOTAL:","VESSEL TARGET "&amp;'RAW DATA'!$E$2&amp;":",IF('RAW DATA'!$E582&lt;&gt;"",'RAW DATA'!$E582,"")))</f>
        <v/>
      </c>
      <c r="E582" s="29" t="str">
        <f t="shared" si="18"/>
        <v/>
      </c>
      <c r="F582" s="4" t="str">
        <f>IF($D581="TOTAL:",FIXED(ROUND(((SUM($F$4:$F580)/'RAW DATA'!$E$2)*100),1),1)&amp;"%",IF($D582="TOTAL:",SUM($F$4:$F581),IF(SUMIF('RAW DATA'!M:M,'RAW DATA'!B582,'RAW DATA'!H:H)=0,"",SUMIF('RAW DATA'!M:M,'RAW DATA'!B582,'RAW DATA'!H:H))))</f>
        <v/>
      </c>
      <c r="G582" s="4" t="str">
        <f>IF($D581="TOTAL:",FIXED(ROUND(((SUM($G$4:$G580)/'RAW DATA'!$E$2)*100),1),1)&amp;"%",IF($D582="TOTAL:",SUM($G$4:$G581),IF(SUMIF('RAW DATA'!M:M,'RAW DATA'!B582,'RAW DATA'!I:I)=0,"",SUMIF('RAW DATA'!M:M,'RAW DATA'!B582,'RAW DATA'!I:I))))</f>
        <v/>
      </c>
      <c r="H582" s="4" t="str">
        <f>IF(SUM(SUMIF('RAW DATA'!M:M,'RAW DATA'!B582,'RAW DATA'!J:J),SUMIF('RAW DATA'!N:N,'RAW DATA'!B582,'RAW DATA'!J:J),SUMIF('RAW DATA'!O:O,'RAW DATA'!B582,'RAW DATA'!J:J),SUMIF('RAW DATA'!P:P,'RAW DATA'!B582,'RAW DATA'!J:J))=0, "", SUM(SUMIF('RAW DATA'!M:M,'RAW DATA'!B582,'RAW DATA'!J:J),SUMIF('RAW DATA'!N:N,'RAW DATA'!B582,'RAW DATA'!J:J),SUMIF('RAW DATA'!O:O,'RAW DATA'!B582,'RAW DATA'!J:J),SUMIF('RAW DATA'!P:P,'RAW DATA'!B582,'RAW DATA'!J:J)))</f>
        <v/>
      </c>
      <c r="I582" s="4" t="str">
        <f>IF(SUMIF('RAW DATA'!M:M,'RAW DATA'!B582, 'RAW DATA'!K:K)=0, "", SUMIF('RAW DATA'!M:M,'RAW DATA'!B582, 'RAW DATA'!K:K))</f>
        <v/>
      </c>
      <c r="J582" s="29" t="str">
        <f>IF('RAW DATA'!B582&lt;&gt;"",IF(OR('RAW DATA'!H582=1,'RAW DATA'!H582=2),1,IF(ISNUMBER(FIND("Medic",'RAW DATA'!E582)),1,"")),"")</f>
        <v/>
      </c>
      <c r="K582" s="29" t="str">
        <f>IF(AND('RAW DATA'!$B582&lt;&gt;"",'RAW DATA'!L582=1),1,"")</f>
        <v/>
      </c>
      <c r="L582" s="24" t="str">
        <f t="shared" si="19"/>
        <v/>
      </c>
    </row>
    <row r="583" spans="2:12" x14ac:dyDescent="0.25">
      <c r="B583" s="27" t="str">
        <f>IF('RAW DATA'!$C585&lt;&gt;"",'RAW DATA'!$C585,"")</f>
        <v/>
      </c>
      <c r="C583" s="27" t="str">
        <f>IF('RAW DATA'!$D585&lt;&gt;"",'RAW DATA'!$D585,"")</f>
        <v/>
      </c>
      <c r="D583" s="1" t="str">
        <f>IF(AND($B582&lt;&gt;"", $B583=""), "TOTAL:", IF($D582="TOTAL:","VESSEL TARGET "&amp;'RAW DATA'!$E$2&amp;":",IF('RAW DATA'!$E583&lt;&gt;"",'RAW DATA'!$E583,"")))</f>
        <v/>
      </c>
      <c r="E583" s="29" t="str">
        <f t="shared" si="18"/>
        <v/>
      </c>
      <c r="F583" s="4" t="str">
        <f>IF($D582="TOTAL:",FIXED(ROUND(((SUM($F$4:$F581)/'RAW DATA'!$E$2)*100),1),1)&amp;"%",IF($D583="TOTAL:",SUM($F$4:$F582),IF(SUMIF('RAW DATA'!M:M,'RAW DATA'!B583,'RAW DATA'!H:H)=0,"",SUMIF('RAW DATA'!M:M,'RAW DATA'!B583,'RAW DATA'!H:H))))</f>
        <v/>
      </c>
      <c r="G583" s="4" t="str">
        <f>IF($D582="TOTAL:",FIXED(ROUND(((SUM($G$4:$G581)/'RAW DATA'!$E$2)*100),1),1)&amp;"%",IF($D583="TOTAL:",SUM($G$4:$G582),IF(SUMIF('RAW DATA'!M:M,'RAW DATA'!B583,'RAW DATA'!I:I)=0,"",SUMIF('RAW DATA'!M:M,'RAW DATA'!B583,'RAW DATA'!I:I))))</f>
        <v/>
      </c>
      <c r="H583" s="4" t="str">
        <f>IF(SUM(SUMIF('RAW DATA'!M:M,'RAW DATA'!B583,'RAW DATA'!J:J),SUMIF('RAW DATA'!N:N,'RAW DATA'!B583,'RAW DATA'!J:J),SUMIF('RAW DATA'!O:O,'RAW DATA'!B583,'RAW DATA'!J:J),SUMIF('RAW DATA'!P:P,'RAW DATA'!B583,'RAW DATA'!J:J))=0, "", SUM(SUMIF('RAW DATA'!M:M,'RAW DATA'!B583,'RAW DATA'!J:J),SUMIF('RAW DATA'!N:N,'RAW DATA'!B583,'RAW DATA'!J:J),SUMIF('RAW DATA'!O:O,'RAW DATA'!B583,'RAW DATA'!J:J),SUMIF('RAW DATA'!P:P,'RAW DATA'!B583,'RAW DATA'!J:J)))</f>
        <v/>
      </c>
      <c r="I583" s="4" t="str">
        <f>IF(SUMIF('RAW DATA'!M:M,'RAW DATA'!B583, 'RAW DATA'!K:K)=0, "", SUMIF('RAW DATA'!M:M,'RAW DATA'!B583, 'RAW DATA'!K:K))</f>
        <v/>
      </c>
      <c r="J583" s="29" t="str">
        <f>IF('RAW DATA'!B583&lt;&gt;"",IF(OR('RAW DATA'!H583=1,'RAW DATA'!H583=2),1,IF(ISNUMBER(FIND("Medic",'RAW DATA'!E583)),1,"")),"")</f>
        <v/>
      </c>
      <c r="K583" s="29" t="str">
        <f>IF(AND('RAW DATA'!$B583&lt;&gt;"",'RAW DATA'!L583=1),1,"")</f>
        <v/>
      </c>
      <c r="L583" s="24" t="str">
        <f t="shared" si="19"/>
        <v/>
      </c>
    </row>
    <row r="584" spans="2:12" x14ac:dyDescent="0.25">
      <c r="B584" s="27" t="str">
        <f>IF('RAW DATA'!$C586&lt;&gt;"",'RAW DATA'!$C586,"")</f>
        <v/>
      </c>
      <c r="C584" s="27" t="str">
        <f>IF('RAW DATA'!$D586&lt;&gt;"",'RAW DATA'!$D586,"")</f>
        <v/>
      </c>
      <c r="D584" s="1" t="str">
        <f>IF(AND($B583&lt;&gt;"", $B584=""), "TOTAL:", IF($D583="TOTAL:","VESSEL TARGET "&amp;'RAW DATA'!$E$2&amp;":",IF('RAW DATA'!$E584&lt;&gt;"",'RAW DATA'!$E584,"")))</f>
        <v/>
      </c>
      <c r="E584" s="29" t="str">
        <f t="shared" si="18"/>
        <v/>
      </c>
      <c r="F584" s="4" t="str">
        <f>IF($D583="TOTAL:",FIXED(ROUND(((SUM($F$4:$F582)/'RAW DATA'!$E$2)*100),1),1)&amp;"%",IF($D584="TOTAL:",SUM($F$4:$F583),IF(SUMIF('RAW DATA'!M:M,'RAW DATA'!B584,'RAW DATA'!H:H)=0,"",SUMIF('RAW DATA'!M:M,'RAW DATA'!B584,'RAW DATA'!H:H))))</f>
        <v/>
      </c>
      <c r="G584" s="4" t="str">
        <f>IF($D583="TOTAL:",FIXED(ROUND(((SUM($G$4:$G582)/'RAW DATA'!$E$2)*100),1),1)&amp;"%",IF($D584="TOTAL:",SUM($G$4:$G583),IF(SUMIF('RAW DATA'!M:M,'RAW DATA'!B584,'RAW DATA'!I:I)=0,"",SUMIF('RAW DATA'!M:M,'RAW DATA'!B584,'RAW DATA'!I:I))))</f>
        <v/>
      </c>
      <c r="H584" s="4" t="str">
        <f>IF(SUM(SUMIF('RAW DATA'!M:M,'RAW DATA'!B584,'RAW DATA'!J:J),SUMIF('RAW DATA'!N:N,'RAW DATA'!B584,'RAW DATA'!J:J),SUMIF('RAW DATA'!O:O,'RAW DATA'!B584,'RAW DATA'!J:J),SUMIF('RAW DATA'!P:P,'RAW DATA'!B584,'RAW DATA'!J:J))=0, "", SUM(SUMIF('RAW DATA'!M:M,'RAW DATA'!B584,'RAW DATA'!J:J),SUMIF('RAW DATA'!N:N,'RAW DATA'!B584,'RAW DATA'!J:J),SUMIF('RAW DATA'!O:O,'RAW DATA'!B584,'RAW DATA'!J:J),SUMIF('RAW DATA'!P:P,'RAW DATA'!B584,'RAW DATA'!J:J)))</f>
        <v/>
      </c>
      <c r="I584" s="4" t="str">
        <f>IF(SUMIF('RAW DATA'!M:M,'RAW DATA'!B584, 'RAW DATA'!K:K)=0, "", SUMIF('RAW DATA'!M:M,'RAW DATA'!B584, 'RAW DATA'!K:K))</f>
        <v/>
      </c>
      <c r="J584" s="29" t="str">
        <f>IF('RAW DATA'!B584&lt;&gt;"",IF(OR('RAW DATA'!H584=1,'RAW DATA'!H584=2),1,IF(ISNUMBER(FIND("Medic",'RAW DATA'!E584)),1,"")),"")</f>
        <v/>
      </c>
      <c r="K584" s="29" t="str">
        <f>IF(AND('RAW DATA'!$B584&lt;&gt;"",'RAW DATA'!L584=1),1,"")</f>
        <v/>
      </c>
      <c r="L584" s="24" t="str">
        <f t="shared" si="19"/>
        <v/>
      </c>
    </row>
    <row r="585" spans="2:12" x14ac:dyDescent="0.25">
      <c r="B585" s="27" t="str">
        <f>IF('RAW DATA'!$C587&lt;&gt;"",'RAW DATA'!$C587,"")</f>
        <v/>
      </c>
      <c r="C585" s="27" t="str">
        <f>IF('RAW DATA'!$D587&lt;&gt;"",'RAW DATA'!$D587,"")</f>
        <v/>
      </c>
      <c r="D585" s="1" t="str">
        <f>IF(AND($B584&lt;&gt;"", $B585=""), "TOTAL:", IF($D584="TOTAL:","VESSEL TARGET "&amp;'RAW DATA'!$E$2&amp;":",IF('RAW DATA'!$E585&lt;&gt;"",'RAW DATA'!$E585,"")))</f>
        <v/>
      </c>
      <c r="E585" s="29" t="str">
        <f t="shared" si="18"/>
        <v/>
      </c>
      <c r="F585" s="4" t="str">
        <f>IF($D584="TOTAL:",FIXED(ROUND(((SUM($F$4:$F583)/'RAW DATA'!$E$2)*100),1),1)&amp;"%",IF($D585="TOTAL:",SUM($F$4:$F584),IF(SUMIF('RAW DATA'!M:M,'RAW DATA'!B585,'RAW DATA'!H:H)=0,"",SUMIF('RAW DATA'!M:M,'RAW DATA'!B585,'RAW DATA'!H:H))))</f>
        <v/>
      </c>
      <c r="G585" s="4" t="str">
        <f>IF($D584="TOTAL:",FIXED(ROUND(((SUM($G$4:$G583)/'RAW DATA'!$E$2)*100),1),1)&amp;"%",IF($D585="TOTAL:",SUM($G$4:$G584),IF(SUMIF('RAW DATA'!M:M,'RAW DATA'!B585,'RAW DATA'!I:I)=0,"",SUMIF('RAW DATA'!M:M,'RAW DATA'!B585,'RAW DATA'!I:I))))</f>
        <v/>
      </c>
      <c r="H585" s="4" t="str">
        <f>IF(SUM(SUMIF('RAW DATA'!M:M,'RAW DATA'!B585,'RAW DATA'!J:J),SUMIF('RAW DATA'!N:N,'RAW DATA'!B585,'RAW DATA'!J:J),SUMIF('RAW DATA'!O:O,'RAW DATA'!B585,'RAW DATA'!J:J),SUMIF('RAW DATA'!P:P,'RAW DATA'!B585,'RAW DATA'!J:J))=0, "", SUM(SUMIF('RAW DATA'!M:M,'RAW DATA'!B585,'RAW DATA'!J:J),SUMIF('RAW DATA'!N:N,'RAW DATA'!B585,'RAW DATA'!J:J),SUMIF('RAW DATA'!O:O,'RAW DATA'!B585,'RAW DATA'!J:J),SUMIF('RAW DATA'!P:P,'RAW DATA'!B585,'RAW DATA'!J:J)))</f>
        <v/>
      </c>
      <c r="I585" s="4" t="str">
        <f>IF(SUMIF('RAW DATA'!M:M,'RAW DATA'!B585, 'RAW DATA'!K:K)=0, "", SUMIF('RAW DATA'!M:M,'RAW DATA'!B585, 'RAW DATA'!K:K))</f>
        <v/>
      </c>
      <c r="J585" s="29" t="str">
        <f>IF('RAW DATA'!B585&lt;&gt;"",IF(OR('RAW DATA'!H585=1,'RAW DATA'!H585=2),1,IF(ISNUMBER(FIND("Medic",'RAW DATA'!E585)),1,"")),"")</f>
        <v/>
      </c>
      <c r="K585" s="29" t="str">
        <f>IF(AND('RAW DATA'!$B585&lt;&gt;"",'RAW DATA'!L585=1),1,"")</f>
        <v/>
      </c>
      <c r="L585" s="24" t="str">
        <f t="shared" si="19"/>
        <v/>
      </c>
    </row>
    <row r="586" spans="2:12" x14ac:dyDescent="0.25">
      <c r="B586" s="27" t="str">
        <f>IF('RAW DATA'!$C588&lt;&gt;"",'RAW DATA'!$C588,"")</f>
        <v/>
      </c>
      <c r="C586" s="27" t="str">
        <f>IF('RAW DATA'!$D588&lt;&gt;"",'RAW DATA'!$D588,"")</f>
        <v/>
      </c>
      <c r="D586" s="1" t="str">
        <f>IF(AND($B585&lt;&gt;"", $B586=""), "TOTAL:", IF($D585="TOTAL:","VESSEL TARGET "&amp;'RAW DATA'!$E$2&amp;":",IF('RAW DATA'!$E586&lt;&gt;"",'RAW DATA'!$E586,"")))</f>
        <v/>
      </c>
      <c r="E586" s="29" t="str">
        <f t="shared" si="18"/>
        <v/>
      </c>
      <c r="F586" s="4" t="str">
        <f>IF($D585="TOTAL:",FIXED(ROUND(((SUM($F$4:$F584)/'RAW DATA'!$E$2)*100),1),1)&amp;"%",IF($D586="TOTAL:",SUM($F$4:$F585),IF(SUMIF('RAW DATA'!M:M,'RAW DATA'!B586,'RAW DATA'!H:H)=0,"",SUMIF('RAW DATA'!M:M,'RAW DATA'!B586,'RAW DATA'!H:H))))</f>
        <v/>
      </c>
      <c r="G586" s="4" t="str">
        <f>IF($D585="TOTAL:",FIXED(ROUND(((SUM($G$4:$G584)/'RAW DATA'!$E$2)*100),1),1)&amp;"%",IF($D586="TOTAL:",SUM($G$4:$G585),IF(SUMIF('RAW DATA'!M:M,'RAW DATA'!B586,'RAW DATA'!I:I)=0,"",SUMIF('RAW DATA'!M:M,'RAW DATA'!B586,'RAW DATA'!I:I))))</f>
        <v/>
      </c>
      <c r="H586" s="4" t="str">
        <f>IF(SUM(SUMIF('RAW DATA'!M:M,'RAW DATA'!B586,'RAW DATA'!J:J),SUMIF('RAW DATA'!N:N,'RAW DATA'!B586,'RAW DATA'!J:J),SUMIF('RAW DATA'!O:O,'RAW DATA'!B586,'RAW DATA'!J:J),SUMIF('RAW DATA'!P:P,'RAW DATA'!B586,'RAW DATA'!J:J))=0, "", SUM(SUMIF('RAW DATA'!M:M,'RAW DATA'!B586,'RAW DATA'!J:J),SUMIF('RAW DATA'!N:N,'RAW DATA'!B586,'RAW DATA'!J:J),SUMIF('RAW DATA'!O:O,'RAW DATA'!B586,'RAW DATA'!J:J),SUMIF('RAW DATA'!P:P,'RAW DATA'!B586,'RAW DATA'!J:J)))</f>
        <v/>
      </c>
      <c r="I586" s="4" t="str">
        <f>IF(SUMIF('RAW DATA'!M:M,'RAW DATA'!B586, 'RAW DATA'!K:K)=0, "", SUMIF('RAW DATA'!M:M,'RAW DATA'!B586, 'RAW DATA'!K:K))</f>
        <v/>
      </c>
      <c r="J586" s="29" t="str">
        <f>IF('RAW DATA'!B586&lt;&gt;"",IF(OR('RAW DATA'!H586=1,'RAW DATA'!H586=2),1,IF(ISNUMBER(FIND("Medic",'RAW DATA'!E586)),1,"")),"")</f>
        <v/>
      </c>
      <c r="K586" s="29" t="str">
        <f>IF(AND('RAW DATA'!$B586&lt;&gt;"",'RAW DATA'!L586=1),1,"")</f>
        <v/>
      </c>
      <c r="L586" s="24" t="str">
        <f t="shared" si="19"/>
        <v/>
      </c>
    </row>
    <row r="587" spans="2:12" x14ac:dyDescent="0.25">
      <c r="B587" s="27" t="str">
        <f>IF('RAW DATA'!$C589&lt;&gt;"",'RAW DATA'!$C589,"")</f>
        <v/>
      </c>
      <c r="C587" s="27" t="str">
        <f>IF('RAW DATA'!$D589&lt;&gt;"",'RAW DATA'!$D589,"")</f>
        <v/>
      </c>
      <c r="D587" s="1" t="str">
        <f>IF(AND($B586&lt;&gt;"", $B587=""), "TOTAL:", IF($D586="TOTAL:","VESSEL TARGET "&amp;'RAW DATA'!$E$2&amp;":",IF('RAW DATA'!$E587&lt;&gt;"",'RAW DATA'!$E587,"")))</f>
        <v/>
      </c>
      <c r="E587" s="29" t="str">
        <f t="shared" si="18"/>
        <v/>
      </c>
      <c r="F587" s="4" t="str">
        <f>IF($D586="TOTAL:",FIXED(ROUND(((SUM($F$4:$F585)/'RAW DATA'!$E$2)*100),1),1)&amp;"%",IF($D587="TOTAL:",SUM($F$4:$F586),IF(SUMIF('RAW DATA'!M:M,'RAW DATA'!B587,'RAW DATA'!H:H)=0,"",SUMIF('RAW DATA'!M:M,'RAW DATA'!B587,'RAW DATA'!H:H))))</f>
        <v/>
      </c>
      <c r="G587" s="4" t="str">
        <f>IF($D586="TOTAL:",FIXED(ROUND(((SUM($G$4:$G585)/'RAW DATA'!$E$2)*100),1),1)&amp;"%",IF($D587="TOTAL:",SUM($G$4:$G586),IF(SUMIF('RAW DATA'!M:M,'RAW DATA'!B587,'RAW DATA'!I:I)=0,"",SUMIF('RAW DATA'!M:M,'RAW DATA'!B587,'RAW DATA'!I:I))))</f>
        <v/>
      </c>
      <c r="H587" s="4" t="str">
        <f>IF(SUM(SUMIF('RAW DATA'!M:M,'RAW DATA'!B587,'RAW DATA'!J:J),SUMIF('RAW DATA'!N:N,'RAW DATA'!B587,'RAW DATA'!J:J),SUMIF('RAW DATA'!O:O,'RAW DATA'!B587,'RAW DATA'!J:J),SUMIF('RAW DATA'!P:P,'RAW DATA'!B587,'RAW DATA'!J:J))=0, "", SUM(SUMIF('RAW DATA'!M:M,'RAW DATA'!B587,'RAW DATA'!J:J),SUMIF('RAW DATA'!N:N,'RAW DATA'!B587,'RAW DATA'!J:J),SUMIF('RAW DATA'!O:O,'RAW DATA'!B587,'RAW DATA'!J:J),SUMIF('RAW DATA'!P:P,'RAW DATA'!B587,'RAW DATA'!J:J)))</f>
        <v/>
      </c>
      <c r="I587" s="4" t="str">
        <f>IF(SUMIF('RAW DATA'!M:M,'RAW DATA'!B587, 'RAW DATA'!K:K)=0, "", SUMIF('RAW DATA'!M:M,'RAW DATA'!B587, 'RAW DATA'!K:K))</f>
        <v/>
      </c>
      <c r="J587" s="29" t="str">
        <f>IF('RAW DATA'!B587&lt;&gt;"",IF(OR('RAW DATA'!H587=1,'RAW DATA'!H587=2),1,IF(ISNUMBER(FIND("Medic",'RAW DATA'!E587)),1,"")),"")</f>
        <v/>
      </c>
      <c r="K587" s="29" t="str">
        <f>IF(AND('RAW DATA'!$B587&lt;&gt;"",'RAW DATA'!L587=1),1,"")</f>
        <v/>
      </c>
      <c r="L587" s="24" t="str">
        <f t="shared" si="19"/>
        <v/>
      </c>
    </row>
    <row r="588" spans="2:12" x14ac:dyDescent="0.25">
      <c r="B588" s="27" t="str">
        <f>IF('RAW DATA'!$C590&lt;&gt;"",'RAW DATA'!$C590,"")</f>
        <v/>
      </c>
      <c r="C588" s="27" t="str">
        <f>IF('RAW DATA'!$D590&lt;&gt;"",'RAW DATA'!$D590,"")</f>
        <v/>
      </c>
      <c r="D588" s="1" t="str">
        <f>IF(AND($B587&lt;&gt;"", $B588=""), "TOTAL:", IF($D587="TOTAL:","VESSEL TARGET "&amp;'RAW DATA'!$E$2&amp;":",IF('RAW DATA'!$E588&lt;&gt;"",'RAW DATA'!$E588,"")))</f>
        <v/>
      </c>
      <c r="E588" s="29" t="str">
        <f t="shared" si="18"/>
        <v/>
      </c>
      <c r="F588" s="4" t="str">
        <f>IF($D587="TOTAL:",FIXED(ROUND(((SUM($F$4:$F586)/'RAW DATA'!$E$2)*100),1),1)&amp;"%",IF($D588="TOTAL:",SUM($F$4:$F587),IF(SUMIF('RAW DATA'!M:M,'RAW DATA'!B588,'RAW DATA'!H:H)=0,"",SUMIF('RAW DATA'!M:M,'RAW DATA'!B588,'RAW DATA'!H:H))))</f>
        <v/>
      </c>
      <c r="G588" s="4" t="str">
        <f>IF($D587="TOTAL:",FIXED(ROUND(((SUM($G$4:$G586)/'RAW DATA'!$E$2)*100),1),1)&amp;"%",IF($D588="TOTAL:",SUM($G$4:$G587),IF(SUMIF('RAW DATA'!M:M,'RAW DATA'!B588,'RAW DATA'!I:I)=0,"",SUMIF('RAW DATA'!M:M,'RAW DATA'!B588,'RAW DATA'!I:I))))</f>
        <v/>
      </c>
      <c r="H588" s="4" t="str">
        <f>IF(SUM(SUMIF('RAW DATA'!M:M,'RAW DATA'!B588,'RAW DATA'!J:J),SUMIF('RAW DATA'!N:N,'RAW DATA'!B588,'RAW DATA'!J:J),SUMIF('RAW DATA'!O:O,'RAW DATA'!B588,'RAW DATA'!J:J),SUMIF('RAW DATA'!P:P,'RAW DATA'!B588,'RAW DATA'!J:J))=0, "", SUM(SUMIF('RAW DATA'!M:M,'RAW DATA'!B588,'RAW DATA'!J:J),SUMIF('RAW DATA'!N:N,'RAW DATA'!B588,'RAW DATA'!J:J),SUMIF('RAW DATA'!O:O,'RAW DATA'!B588,'RAW DATA'!J:J),SUMIF('RAW DATA'!P:P,'RAW DATA'!B588,'RAW DATA'!J:J)))</f>
        <v/>
      </c>
      <c r="I588" s="4" t="str">
        <f>IF(SUMIF('RAW DATA'!M:M,'RAW DATA'!B588, 'RAW DATA'!K:K)=0, "", SUMIF('RAW DATA'!M:M,'RAW DATA'!B588, 'RAW DATA'!K:K))</f>
        <v/>
      </c>
      <c r="J588" s="29" t="str">
        <f>IF('RAW DATA'!B588&lt;&gt;"",IF(OR('RAW DATA'!H588=1,'RAW DATA'!H588=2),1,IF(ISNUMBER(FIND("Medic",'RAW DATA'!E588)),1,"")),"")</f>
        <v/>
      </c>
      <c r="K588" s="29" t="str">
        <f>IF(AND('RAW DATA'!$B588&lt;&gt;"",'RAW DATA'!L588=1),1,"")</f>
        <v/>
      </c>
      <c r="L588" s="24" t="str">
        <f t="shared" si="19"/>
        <v/>
      </c>
    </row>
    <row r="589" spans="2:12" x14ac:dyDescent="0.25">
      <c r="B589" s="27" t="str">
        <f>IF('RAW DATA'!$C591&lt;&gt;"",'RAW DATA'!$C591,"")</f>
        <v/>
      </c>
      <c r="C589" s="27" t="str">
        <f>IF('RAW DATA'!$D591&lt;&gt;"",'RAW DATA'!$D591,"")</f>
        <v/>
      </c>
      <c r="D589" s="1" t="str">
        <f>IF(AND($B588&lt;&gt;"", $B589=""), "TOTAL:", IF($D588="TOTAL:","VESSEL TARGET "&amp;'RAW DATA'!$E$2&amp;":",IF('RAW DATA'!$E589&lt;&gt;"",'RAW DATA'!$E589,"")))</f>
        <v/>
      </c>
      <c r="E589" s="29" t="str">
        <f t="shared" si="18"/>
        <v/>
      </c>
      <c r="F589" s="4" t="str">
        <f>IF($D588="TOTAL:",FIXED(ROUND(((SUM($F$4:$F587)/'RAW DATA'!$E$2)*100),1),1)&amp;"%",IF($D589="TOTAL:",SUM($F$4:$F588),IF(SUMIF('RAW DATA'!M:M,'RAW DATA'!B589,'RAW DATA'!H:H)=0,"",SUMIF('RAW DATA'!M:M,'RAW DATA'!B589,'RAW DATA'!H:H))))</f>
        <v/>
      </c>
      <c r="G589" s="4" t="str">
        <f>IF($D588="TOTAL:",FIXED(ROUND(((SUM($G$4:$G587)/'RAW DATA'!$E$2)*100),1),1)&amp;"%",IF($D589="TOTAL:",SUM($G$4:$G588),IF(SUMIF('RAW DATA'!M:M,'RAW DATA'!B589,'RAW DATA'!I:I)=0,"",SUMIF('RAW DATA'!M:M,'RAW DATA'!B589,'RAW DATA'!I:I))))</f>
        <v/>
      </c>
      <c r="H589" s="4" t="str">
        <f>IF(SUM(SUMIF('RAW DATA'!M:M,'RAW DATA'!B589,'RAW DATA'!J:J),SUMIF('RAW DATA'!N:N,'RAW DATA'!B589,'RAW DATA'!J:J),SUMIF('RAW DATA'!O:O,'RAW DATA'!B589,'RAW DATA'!J:J),SUMIF('RAW DATA'!P:P,'RAW DATA'!B589,'RAW DATA'!J:J))=0, "", SUM(SUMIF('RAW DATA'!M:M,'RAW DATA'!B589,'RAW DATA'!J:J),SUMIF('RAW DATA'!N:N,'RAW DATA'!B589,'RAW DATA'!J:J),SUMIF('RAW DATA'!O:O,'RAW DATA'!B589,'RAW DATA'!J:J),SUMIF('RAW DATA'!P:P,'RAW DATA'!B589,'RAW DATA'!J:J)))</f>
        <v/>
      </c>
      <c r="I589" s="4" t="str">
        <f>IF(SUMIF('RAW DATA'!M:M,'RAW DATA'!B589, 'RAW DATA'!K:K)=0, "", SUMIF('RAW DATA'!M:M,'RAW DATA'!B589, 'RAW DATA'!K:K))</f>
        <v/>
      </c>
      <c r="J589" s="29" t="str">
        <f>IF('RAW DATA'!B589&lt;&gt;"",IF(OR('RAW DATA'!H589=1,'RAW DATA'!H589=2),1,IF(ISNUMBER(FIND("Medic",'RAW DATA'!E589)),1,"")),"")</f>
        <v/>
      </c>
      <c r="K589" s="29" t="str">
        <f>IF(AND('RAW DATA'!$B589&lt;&gt;"",'RAW DATA'!L589=1),1,"")</f>
        <v/>
      </c>
      <c r="L589" s="24" t="str">
        <f t="shared" si="19"/>
        <v/>
      </c>
    </row>
    <row r="590" spans="2:12" x14ac:dyDescent="0.25">
      <c r="B590" s="27" t="str">
        <f>IF('RAW DATA'!$C592&lt;&gt;"",'RAW DATA'!$C592,"")</f>
        <v/>
      </c>
      <c r="C590" s="27" t="str">
        <f>IF('RAW DATA'!$D592&lt;&gt;"",'RAW DATA'!$D592,"")</f>
        <v/>
      </c>
      <c r="D590" s="1" t="str">
        <f>IF(AND($B589&lt;&gt;"", $B590=""), "TOTAL:", IF($D589="TOTAL:","VESSEL TARGET "&amp;'RAW DATA'!$E$2&amp;":",IF('RAW DATA'!$E590&lt;&gt;"",'RAW DATA'!$E590,"")))</f>
        <v/>
      </c>
      <c r="E590" s="29" t="str">
        <f t="shared" si="18"/>
        <v/>
      </c>
      <c r="F590" s="4" t="str">
        <f>IF($D589="TOTAL:",FIXED(ROUND(((SUM($F$4:$F588)/'RAW DATA'!$E$2)*100),1),1)&amp;"%",IF($D590="TOTAL:",SUM($F$4:$F589),IF(SUMIF('RAW DATA'!M:M,'RAW DATA'!B590,'RAW DATA'!H:H)=0,"",SUMIF('RAW DATA'!M:M,'RAW DATA'!B590,'RAW DATA'!H:H))))</f>
        <v/>
      </c>
      <c r="G590" s="4" t="str">
        <f>IF($D589="TOTAL:",FIXED(ROUND(((SUM($G$4:$G588)/'RAW DATA'!$E$2)*100),1),1)&amp;"%",IF($D590="TOTAL:",SUM($G$4:$G589),IF(SUMIF('RAW DATA'!M:M,'RAW DATA'!B590,'RAW DATA'!I:I)=0,"",SUMIF('RAW DATA'!M:M,'RAW DATA'!B590,'RAW DATA'!I:I))))</f>
        <v/>
      </c>
      <c r="H590" s="4" t="str">
        <f>IF(SUM(SUMIF('RAW DATA'!M:M,'RAW DATA'!B590,'RAW DATA'!J:J),SUMIF('RAW DATA'!N:N,'RAW DATA'!B590,'RAW DATA'!J:J),SUMIF('RAW DATA'!O:O,'RAW DATA'!B590,'RAW DATA'!J:J),SUMIF('RAW DATA'!P:P,'RAW DATA'!B590,'RAW DATA'!J:J))=0, "", SUM(SUMIF('RAW DATA'!M:M,'RAW DATA'!B590,'RAW DATA'!J:J),SUMIF('RAW DATA'!N:N,'RAW DATA'!B590,'RAW DATA'!J:J),SUMIF('RAW DATA'!O:O,'RAW DATA'!B590,'RAW DATA'!J:J),SUMIF('RAW DATA'!P:P,'RAW DATA'!B590,'RAW DATA'!J:J)))</f>
        <v/>
      </c>
      <c r="I590" s="4" t="str">
        <f>IF(SUMIF('RAW DATA'!M:M,'RAW DATA'!B590, 'RAW DATA'!K:K)=0, "", SUMIF('RAW DATA'!M:M,'RAW DATA'!B590, 'RAW DATA'!K:K))</f>
        <v/>
      </c>
      <c r="J590" s="29" t="str">
        <f>IF('RAW DATA'!B590&lt;&gt;"",IF(OR('RAW DATA'!H590=1,'RAW DATA'!H590=2),1,IF(ISNUMBER(FIND("Medic",'RAW DATA'!E590)),1,"")),"")</f>
        <v/>
      </c>
      <c r="K590" s="29" t="str">
        <f>IF(AND('RAW DATA'!$B590&lt;&gt;"",'RAW DATA'!L590=1),1,"")</f>
        <v/>
      </c>
      <c r="L590" s="24" t="str">
        <f t="shared" si="19"/>
        <v/>
      </c>
    </row>
    <row r="591" spans="2:12" x14ac:dyDescent="0.25">
      <c r="B591" s="27" t="str">
        <f>IF('RAW DATA'!$C593&lt;&gt;"",'RAW DATA'!$C593,"")</f>
        <v/>
      </c>
      <c r="C591" s="27" t="str">
        <f>IF('RAW DATA'!$D593&lt;&gt;"",'RAW DATA'!$D593,"")</f>
        <v/>
      </c>
      <c r="D591" s="1" t="str">
        <f>IF(AND($B590&lt;&gt;"", $B591=""), "TOTAL:", IF($D590="TOTAL:","VESSEL TARGET "&amp;'RAW DATA'!$E$2&amp;":",IF('RAW DATA'!$E591&lt;&gt;"",'RAW DATA'!$E591,"")))</f>
        <v/>
      </c>
      <c r="E591" s="29" t="str">
        <f t="shared" si="18"/>
        <v/>
      </c>
      <c r="F591" s="4" t="str">
        <f>IF($D590="TOTAL:",FIXED(ROUND(((SUM($F$4:$F589)/'RAW DATA'!$E$2)*100),1),1)&amp;"%",IF($D591="TOTAL:",SUM($F$4:$F590),IF(SUMIF('RAW DATA'!M:M,'RAW DATA'!B591,'RAW DATA'!H:H)=0,"",SUMIF('RAW DATA'!M:M,'RAW DATA'!B591,'RAW DATA'!H:H))))</f>
        <v/>
      </c>
      <c r="G591" s="4" t="str">
        <f>IF($D590="TOTAL:",FIXED(ROUND(((SUM($G$4:$G589)/'RAW DATA'!$E$2)*100),1),1)&amp;"%",IF($D591="TOTAL:",SUM($G$4:$G590),IF(SUMIF('RAW DATA'!M:M,'RAW DATA'!B591,'RAW DATA'!I:I)=0,"",SUMIF('RAW DATA'!M:M,'RAW DATA'!B591,'RAW DATA'!I:I))))</f>
        <v/>
      </c>
      <c r="H591" s="4" t="str">
        <f>IF(SUM(SUMIF('RAW DATA'!M:M,'RAW DATA'!B591,'RAW DATA'!J:J),SUMIF('RAW DATA'!N:N,'RAW DATA'!B591,'RAW DATA'!J:J),SUMIF('RAW DATA'!O:O,'RAW DATA'!B591,'RAW DATA'!J:J),SUMIF('RAW DATA'!P:P,'RAW DATA'!B591,'RAW DATA'!J:J))=0, "", SUM(SUMIF('RAW DATA'!M:M,'RAW DATA'!B591,'RAW DATA'!J:J),SUMIF('RAW DATA'!N:N,'RAW DATA'!B591,'RAW DATA'!J:J),SUMIF('RAW DATA'!O:O,'RAW DATA'!B591,'RAW DATA'!J:J),SUMIF('RAW DATA'!P:P,'RAW DATA'!B591,'RAW DATA'!J:J)))</f>
        <v/>
      </c>
      <c r="I591" s="4" t="str">
        <f>IF(SUMIF('RAW DATA'!M:M,'RAW DATA'!B591, 'RAW DATA'!K:K)=0, "", SUMIF('RAW DATA'!M:M,'RAW DATA'!B591, 'RAW DATA'!K:K))</f>
        <v/>
      </c>
      <c r="J591" s="29" t="str">
        <f>IF('RAW DATA'!B591&lt;&gt;"",IF(OR('RAW DATA'!H591=1,'RAW DATA'!H591=2),1,IF(ISNUMBER(FIND("Medic",'RAW DATA'!E591)),1,"")),"")</f>
        <v/>
      </c>
      <c r="K591" s="29" t="str">
        <f>IF(AND('RAW DATA'!$B591&lt;&gt;"",'RAW DATA'!L591=1),1,"")</f>
        <v/>
      </c>
      <c r="L591" s="24" t="str">
        <f t="shared" si="19"/>
        <v/>
      </c>
    </row>
    <row r="592" spans="2:12" x14ac:dyDescent="0.25">
      <c r="B592" s="27" t="str">
        <f>IF('RAW DATA'!$C594&lt;&gt;"",'RAW DATA'!$C594,"")</f>
        <v/>
      </c>
      <c r="C592" s="27" t="str">
        <f>IF('RAW DATA'!$D594&lt;&gt;"",'RAW DATA'!$D594,"")</f>
        <v/>
      </c>
      <c r="D592" s="1" t="str">
        <f>IF(AND($B591&lt;&gt;"", $B592=""), "TOTAL:", IF($D591="TOTAL:","VESSEL TARGET "&amp;'RAW DATA'!$E$2&amp;":",IF('RAW DATA'!$E592&lt;&gt;"",'RAW DATA'!$E592,"")))</f>
        <v/>
      </c>
      <c r="E592" s="29" t="str">
        <f t="shared" si="18"/>
        <v/>
      </c>
      <c r="F592" s="4" t="str">
        <f>IF($D591="TOTAL:",FIXED(ROUND(((SUM($F$4:$F590)/'RAW DATA'!$E$2)*100),1),1)&amp;"%",IF($D592="TOTAL:",SUM($F$4:$F591),IF(SUMIF('RAW DATA'!M:M,'RAW DATA'!B592,'RAW DATA'!H:H)=0,"",SUMIF('RAW DATA'!M:M,'RAW DATA'!B592,'RAW DATA'!H:H))))</f>
        <v/>
      </c>
      <c r="G592" s="4" t="str">
        <f>IF($D591="TOTAL:",FIXED(ROUND(((SUM($G$4:$G590)/'RAW DATA'!$E$2)*100),1),1)&amp;"%",IF($D592="TOTAL:",SUM($G$4:$G591),IF(SUMIF('RAW DATA'!M:M,'RAW DATA'!B592,'RAW DATA'!I:I)=0,"",SUMIF('RAW DATA'!M:M,'RAW DATA'!B592,'RAW DATA'!I:I))))</f>
        <v/>
      </c>
      <c r="H592" s="4" t="str">
        <f>IF(SUM(SUMIF('RAW DATA'!M:M,'RAW DATA'!B592,'RAW DATA'!J:J),SUMIF('RAW DATA'!N:N,'RAW DATA'!B592,'RAW DATA'!J:J),SUMIF('RAW DATA'!O:O,'RAW DATA'!B592,'RAW DATA'!J:J),SUMIF('RAW DATA'!P:P,'RAW DATA'!B592,'RAW DATA'!J:J))=0, "", SUM(SUMIF('RAW DATA'!M:M,'RAW DATA'!B592,'RAW DATA'!J:J),SUMIF('RAW DATA'!N:N,'RAW DATA'!B592,'RAW DATA'!J:J),SUMIF('RAW DATA'!O:O,'RAW DATA'!B592,'RAW DATA'!J:J),SUMIF('RAW DATA'!P:P,'RAW DATA'!B592,'RAW DATA'!J:J)))</f>
        <v/>
      </c>
      <c r="I592" s="4" t="str">
        <f>IF(SUMIF('RAW DATA'!M:M,'RAW DATA'!B592, 'RAW DATA'!K:K)=0, "", SUMIF('RAW DATA'!M:M,'RAW DATA'!B592, 'RAW DATA'!K:K))</f>
        <v/>
      </c>
      <c r="J592" s="29" t="str">
        <f>IF('RAW DATA'!B592&lt;&gt;"",IF(OR('RAW DATA'!H592=1,'RAW DATA'!H592=2),1,IF(ISNUMBER(FIND("Medic",'RAW DATA'!E592)),1,"")),"")</f>
        <v/>
      </c>
      <c r="K592" s="29" t="str">
        <f>IF(AND('RAW DATA'!$B592&lt;&gt;"",'RAW DATA'!L592=1),1,"")</f>
        <v/>
      </c>
      <c r="L592" s="24" t="str">
        <f t="shared" si="19"/>
        <v/>
      </c>
    </row>
    <row r="593" spans="2:12" x14ac:dyDescent="0.25">
      <c r="B593" s="27" t="str">
        <f>IF('RAW DATA'!$C595&lt;&gt;"",'RAW DATA'!$C595,"")</f>
        <v/>
      </c>
      <c r="C593" s="27" t="str">
        <f>IF('RAW DATA'!$D595&lt;&gt;"",'RAW DATA'!$D595,"")</f>
        <v/>
      </c>
      <c r="D593" s="1" t="str">
        <f>IF(AND($B592&lt;&gt;"", $B593=""), "TOTAL:", IF($D592="TOTAL:","VESSEL TARGET "&amp;'RAW DATA'!$E$2&amp;":",IF('RAW DATA'!$E593&lt;&gt;"",'RAW DATA'!$E593,"")))</f>
        <v/>
      </c>
      <c r="E593" s="29" t="str">
        <f t="shared" si="18"/>
        <v/>
      </c>
      <c r="F593" s="4" t="str">
        <f>IF($D592="TOTAL:",FIXED(ROUND(((SUM($F$4:$F591)/'RAW DATA'!$E$2)*100),1),1)&amp;"%",IF($D593="TOTAL:",SUM($F$4:$F592),IF(SUMIF('RAW DATA'!M:M,'RAW DATA'!B593,'RAW DATA'!H:H)=0,"",SUMIF('RAW DATA'!M:M,'RAW DATA'!B593,'RAW DATA'!H:H))))</f>
        <v/>
      </c>
      <c r="G593" s="4" t="str">
        <f>IF($D592="TOTAL:",FIXED(ROUND(((SUM($G$4:$G591)/'RAW DATA'!$E$2)*100),1),1)&amp;"%",IF($D593="TOTAL:",SUM($G$4:$G592),IF(SUMIF('RAW DATA'!M:M,'RAW DATA'!B593,'RAW DATA'!I:I)=0,"",SUMIF('RAW DATA'!M:M,'RAW DATA'!B593,'RAW DATA'!I:I))))</f>
        <v/>
      </c>
      <c r="H593" s="4" t="str">
        <f>IF(SUM(SUMIF('RAW DATA'!M:M,'RAW DATA'!B593,'RAW DATA'!J:J),SUMIF('RAW DATA'!N:N,'RAW DATA'!B593,'RAW DATA'!J:J),SUMIF('RAW DATA'!O:O,'RAW DATA'!B593,'RAW DATA'!J:J),SUMIF('RAW DATA'!P:P,'RAW DATA'!B593,'RAW DATA'!J:J))=0, "", SUM(SUMIF('RAW DATA'!M:M,'RAW DATA'!B593,'RAW DATA'!J:J),SUMIF('RAW DATA'!N:N,'RAW DATA'!B593,'RAW DATA'!J:J),SUMIF('RAW DATA'!O:O,'RAW DATA'!B593,'RAW DATA'!J:J),SUMIF('RAW DATA'!P:P,'RAW DATA'!B593,'RAW DATA'!J:J)))</f>
        <v/>
      </c>
      <c r="I593" s="4" t="str">
        <f>IF(SUMIF('RAW DATA'!M:M,'RAW DATA'!B593, 'RAW DATA'!K:K)=0, "", SUMIF('RAW DATA'!M:M,'RAW DATA'!B593, 'RAW DATA'!K:K))</f>
        <v/>
      </c>
      <c r="J593" s="29" t="str">
        <f>IF('RAW DATA'!B593&lt;&gt;"",IF(OR('RAW DATA'!H593=1,'RAW DATA'!H593=2),1,IF(ISNUMBER(FIND("Medic",'RAW DATA'!E593)),1,"")),"")</f>
        <v/>
      </c>
      <c r="K593" s="29" t="str">
        <f>IF(AND('RAW DATA'!$B593&lt;&gt;"",'RAW DATA'!L593=1),1,"")</f>
        <v/>
      </c>
      <c r="L593" s="24" t="str">
        <f t="shared" si="19"/>
        <v/>
      </c>
    </row>
    <row r="594" spans="2:12" x14ac:dyDescent="0.25">
      <c r="B594" s="27" t="str">
        <f>IF('RAW DATA'!$C596&lt;&gt;"",'RAW DATA'!$C596,"")</f>
        <v/>
      </c>
      <c r="C594" s="27" t="str">
        <f>IF('RAW DATA'!$D596&lt;&gt;"",'RAW DATA'!$D596,"")</f>
        <v/>
      </c>
      <c r="D594" s="1" t="str">
        <f>IF(AND($B593&lt;&gt;"", $B594=""), "TOTAL:", IF($D593="TOTAL:","VESSEL TARGET "&amp;'RAW DATA'!$E$2&amp;":",IF('RAW DATA'!$E594&lt;&gt;"",'RAW DATA'!$E594,"")))</f>
        <v/>
      </c>
      <c r="E594" s="29" t="str">
        <f t="shared" si="18"/>
        <v/>
      </c>
      <c r="F594" s="4" t="str">
        <f>IF($D593="TOTAL:",FIXED(ROUND(((SUM($F$4:$F592)/'RAW DATA'!$E$2)*100),1),1)&amp;"%",IF($D594="TOTAL:",SUM($F$4:$F593),IF(SUMIF('RAW DATA'!M:M,'RAW DATA'!B594,'RAW DATA'!H:H)=0,"",SUMIF('RAW DATA'!M:M,'RAW DATA'!B594,'RAW DATA'!H:H))))</f>
        <v/>
      </c>
      <c r="G594" s="4" t="str">
        <f>IF($D593="TOTAL:",FIXED(ROUND(((SUM($G$4:$G592)/'RAW DATA'!$E$2)*100),1),1)&amp;"%",IF($D594="TOTAL:",SUM($G$4:$G593),IF(SUMIF('RAW DATA'!M:M,'RAW DATA'!B594,'RAW DATA'!I:I)=0,"",SUMIF('RAW DATA'!M:M,'RAW DATA'!B594,'RAW DATA'!I:I))))</f>
        <v/>
      </c>
      <c r="H594" s="4" t="str">
        <f>IF(SUM(SUMIF('RAW DATA'!M:M,'RAW DATA'!B594,'RAW DATA'!J:J),SUMIF('RAW DATA'!N:N,'RAW DATA'!B594,'RAW DATA'!J:J),SUMIF('RAW DATA'!O:O,'RAW DATA'!B594,'RAW DATA'!J:J),SUMIF('RAW DATA'!P:P,'RAW DATA'!B594,'RAW DATA'!J:J))=0, "", SUM(SUMIF('RAW DATA'!M:M,'RAW DATA'!B594,'RAW DATA'!J:J),SUMIF('RAW DATA'!N:N,'RAW DATA'!B594,'RAW DATA'!J:J),SUMIF('RAW DATA'!O:O,'RAW DATA'!B594,'RAW DATA'!J:J),SUMIF('RAW DATA'!P:P,'RAW DATA'!B594,'RAW DATA'!J:J)))</f>
        <v/>
      </c>
      <c r="I594" s="4" t="str">
        <f>IF(SUMIF('RAW DATA'!M:M,'RAW DATA'!B594, 'RAW DATA'!K:K)=0, "", SUMIF('RAW DATA'!M:M,'RAW DATA'!B594, 'RAW DATA'!K:K))</f>
        <v/>
      </c>
      <c r="J594" s="29" t="str">
        <f>IF('RAW DATA'!B594&lt;&gt;"",IF(OR('RAW DATA'!H594=1,'RAW DATA'!H594=2),1,IF(ISNUMBER(FIND("Medic",'RAW DATA'!E594)),1,"")),"")</f>
        <v/>
      </c>
      <c r="K594" s="29" t="str">
        <f>IF(AND('RAW DATA'!$B594&lt;&gt;"",'RAW DATA'!L594=1),1,"")</f>
        <v/>
      </c>
      <c r="L594" s="24" t="str">
        <f t="shared" si="19"/>
        <v/>
      </c>
    </row>
    <row r="595" spans="2:12" x14ac:dyDescent="0.25">
      <c r="B595" s="27" t="str">
        <f>IF('RAW DATA'!$C597&lt;&gt;"",'RAW DATA'!$C597,"")</f>
        <v/>
      </c>
      <c r="C595" s="27" t="str">
        <f>IF('RAW DATA'!$D597&lt;&gt;"",'RAW DATA'!$D597,"")</f>
        <v/>
      </c>
      <c r="D595" s="1" t="str">
        <f>IF(AND($B594&lt;&gt;"", $B595=""), "TOTAL:", IF($D594="TOTAL:","VESSEL TARGET "&amp;'RAW DATA'!$E$2&amp;":",IF('RAW DATA'!$E595&lt;&gt;"",'RAW DATA'!$E595,"")))</f>
        <v/>
      </c>
      <c r="E595" s="29" t="str">
        <f t="shared" si="18"/>
        <v/>
      </c>
      <c r="F595" s="4" t="str">
        <f>IF($D594="TOTAL:",FIXED(ROUND(((SUM($F$4:$F593)/'RAW DATA'!$E$2)*100),1),1)&amp;"%",IF($D595="TOTAL:",SUM($F$4:$F594),IF(SUMIF('RAW DATA'!M:M,'RAW DATA'!B595,'RAW DATA'!H:H)=0,"",SUMIF('RAW DATA'!M:M,'RAW DATA'!B595,'RAW DATA'!H:H))))</f>
        <v/>
      </c>
      <c r="G595" s="4" t="str">
        <f>IF($D594="TOTAL:",FIXED(ROUND(((SUM($G$4:$G593)/'RAW DATA'!$E$2)*100),1),1)&amp;"%",IF($D595="TOTAL:",SUM($G$4:$G594),IF(SUMIF('RAW DATA'!M:M,'RAW DATA'!B595,'RAW DATA'!I:I)=0,"",SUMIF('RAW DATA'!M:M,'RAW DATA'!B595,'RAW DATA'!I:I))))</f>
        <v/>
      </c>
      <c r="H595" s="4" t="str">
        <f>IF(SUM(SUMIF('RAW DATA'!M:M,'RAW DATA'!B595,'RAW DATA'!J:J),SUMIF('RAW DATA'!N:N,'RAW DATA'!B595,'RAW DATA'!J:J),SUMIF('RAW DATA'!O:O,'RAW DATA'!B595,'RAW DATA'!J:J),SUMIF('RAW DATA'!P:P,'RAW DATA'!B595,'RAW DATA'!J:J))=0, "", SUM(SUMIF('RAW DATA'!M:M,'RAW DATA'!B595,'RAW DATA'!J:J),SUMIF('RAW DATA'!N:N,'RAW DATA'!B595,'RAW DATA'!J:J),SUMIF('RAW DATA'!O:O,'RAW DATA'!B595,'RAW DATA'!J:J),SUMIF('RAW DATA'!P:P,'RAW DATA'!B595,'RAW DATA'!J:J)))</f>
        <v/>
      </c>
      <c r="I595" s="4" t="str">
        <f>IF(SUMIF('RAW DATA'!M:M,'RAW DATA'!B595, 'RAW DATA'!K:K)=0, "", SUMIF('RAW DATA'!M:M,'RAW DATA'!B595, 'RAW DATA'!K:K))</f>
        <v/>
      </c>
      <c r="J595" s="29" t="str">
        <f>IF('RAW DATA'!B595&lt;&gt;"",IF(OR('RAW DATA'!H595=1,'RAW DATA'!H595=2),1,IF(ISNUMBER(FIND("Medic",'RAW DATA'!E595)),1,"")),"")</f>
        <v/>
      </c>
      <c r="K595" s="29" t="str">
        <f>IF(AND('RAW DATA'!$B595&lt;&gt;"",'RAW DATA'!L595=1),1,"")</f>
        <v/>
      </c>
      <c r="L595" s="24" t="str">
        <f t="shared" si="19"/>
        <v/>
      </c>
    </row>
    <row r="596" spans="2:12" x14ac:dyDescent="0.25">
      <c r="B596" s="27" t="str">
        <f>IF('RAW DATA'!$C598&lt;&gt;"",'RAW DATA'!$C598,"")</f>
        <v/>
      </c>
      <c r="C596" s="27" t="str">
        <f>IF('RAW DATA'!$D598&lt;&gt;"",'RAW DATA'!$D598,"")</f>
        <v/>
      </c>
      <c r="D596" s="1" t="str">
        <f>IF(AND($B595&lt;&gt;"", $B596=""), "TOTAL:", IF($D595="TOTAL:","VESSEL TARGET "&amp;'RAW DATA'!$E$2&amp;":",IF('RAW DATA'!$E596&lt;&gt;"",'RAW DATA'!$E596,"")))</f>
        <v/>
      </c>
      <c r="E596" s="29" t="str">
        <f t="shared" si="18"/>
        <v/>
      </c>
      <c r="F596" s="4" t="str">
        <f>IF($D595="TOTAL:",FIXED(ROUND(((SUM($F$4:$F594)/'RAW DATA'!$E$2)*100),1),1)&amp;"%",IF($D596="TOTAL:",SUM($F$4:$F595),IF(SUMIF('RAW DATA'!M:M,'RAW DATA'!B596,'RAW DATA'!H:H)=0,"",SUMIF('RAW DATA'!M:M,'RAW DATA'!B596,'RAW DATA'!H:H))))</f>
        <v/>
      </c>
      <c r="G596" s="4" t="str">
        <f>IF($D595="TOTAL:",FIXED(ROUND(((SUM($G$4:$G594)/'RAW DATA'!$E$2)*100),1),1)&amp;"%",IF($D596="TOTAL:",SUM($G$4:$G595),IF(SUMIF('RAW DATA'!M:M,'RAW DATA'!B596,'RAW DATA'!I:I)=0,"",SUMIF('RAW DATA'!M:M,'RAW DATA'!B596,'RAW DATA'!I:I))))</f>
        <v/>
      </c>
      <c r="H596" s="4" t="str">
        <f>IF(SUM(SUMIF('RAW DATA'!M:M,'RAW DATA'!B596,'RAW DATA'!J:J),SUMIF('RAW DATA'!N:N,'RAW DATA'!B596,'RAW DATA'!J:J),SUMIF('RAW DATA'!O:O,'RAW DATA'!B596,'RAW DATA'!J:J),SUMIF('RAW DATA'!P:P,'RAW DATA'!B596,'RAW DATA'!J:J))=0, "", SUM(SUMIF('RAW DATA'!M:M,'RAW DATA'!B596,'RAW DATA'!J:J),SUMIF('RAW DATA'!N:N,'RAW DATA'!B596,'RAW DATA'!J:J),SUMIF('RAW DATA'!O:O,'RAW DATA'!B596,'RAW DATA'!J:J),SUMIF('RAW DATA'!P:P,'RAW DATA'!B596,'RAW DATA'!J:J)))</f>
        <v/>
      </c>
      <c r="I596" s="4" t="str">
        <f>IF(SUMIF('RAW DATA'!M:M,'RAW DATA'!B596, 'RAW DATA'!K:K)=0, "", SUMIF('RAW DATA'!M:M,'RAW DATA'!B596, 'RAW DATA'!K:K))</f>
        <v/>
      </c>
      <c r="J596" s="29" t="str">
        <f>IF('RAW DATA'!B596&lt;&gt;"",IF(OR('RAW DATA'!H596=1,'RAW DATA'!H596=2),1,IF(ISNUMBER(FIND("Medic",'RAW DATA'!E596)),1,"")),"")</f>
        <v/>
      </c>
      <c r="K596" s="29" t="str">
        <f>IF(AND('RAW DATA'!$B596&lt;&gt;"",'RAW DATA'!L596=1),1,"")</f>
        <v/>
      </c>
      <c r="L596" s="24" t="str">
        <f t="shared" si="19"/>
        <v/>
      </c>
    </row>
    <row r="597" spans="2:12" x14ac:dyDescent="0.25">
      <c r="B597" s="27" t="str">
        <f>IF('RAW DATA'!$C599&lt;&gt;"",'RAW DATA'!$C599,"")</f>
        <v/>
      </c>
      <c r="C597" s="27" t="str">
        <f>IF('RAW DATA'!$D599&lt;&gt;"",'RAW DATA'!$D599,"")</f>
        <v/>
      </c>
      <c r="D597" s="1" t="str">
        <f>IF(AND($B596&lt;&gt;"", $B597=""), "TOTAL:", IF($D596="TOTAL:","VESSEL TARGET "&amp;'RAW DATA'!$E$2&amp;":",IF('RAW DATA'!$E597&lt;&gt;"",'RAW DATA'!$E597,"")))</f>
        <v/>
      </c>
      <c r="E597" s="29" t="str">
        <f t="shared" si="18"/>
        <v/>
      </c>
      <c r="F597" s="4" t="str">
        <f>IF($D596="TOTAL:",FIXED(ROUND(((SUM($F$4:$F595)/'RAW DATA'!$E$2)*100),1),1)&amp;"%",IF($D597="TOTAL:",SUM($F$4:$F596),IF(SUMIF('RAW DATA'!M:M,'RAW DATA'!B597,'RAW DATA'!H:H)=0,"",SUMIF('RAW DATA'!M:M,'RAW DATA'!B597,'RAW DATA'!H:H))))</f>
        <v/>
      </c>
      <c r="G597" s="4" t="str">
        <f>IF($D596="TOTAL:",FIXED(ROUND(((SUM($G$4:$G595)/'RAW DATA'!$E$2)*100),1),1)&amp;"%",IF($D597="TOTAL:",SUM($G$4:$G596),IF(SUMIF('RAW DATA'!M:M,'RAW DATA'!B597,'RAW DATA'!I:I)=0,"",SUMIF('RAW DATA'!M:M,'RAW DATA'!B597,'RAW DATA'!I:I))))</f>
        <v/>
      </c>
      <c r="H597" s="4" t="str">
        <f>IF(SUM(SUMIF('RAW DATA'!M:M,'RAW DATA'!B597,'RAW DATA'!J:J),SUMIF('RAW DATA'!N:N,'RAW DATA'!B597,'RAW DATA'!J:J),SUMIF('RAW DATA'!O:O,'RAW DATA'!B597,'RAW DATA'!J:J),SUMIF('RAW DATA'!P:P,'RAW DATA'!B597,'RAW DATA'!J:J))=0, "", SUM(SUMIF('RAW DATA'!M:M,'RAW DATA'!B597,'RAW DATA'!J:J),SUMIF('RAW DATA'!N:N,'RAW DATA'!B597,'RAW DATA'!J:J),SUMIF('RAW DATA'!O:O,'RAW DATA'!B597,'RAW DATA'!J:J),SUMIF('RAW DATA'!P:P,'RAW DATA'!B597,'RAW DATA'!J:J)))</f>
        <v/>
      </c>
      <c r="I597" s="4" t="str">
        <f>IF(SUMIF('RAW DATA'!M:M,'RAW DATA'!B597, 'RAW DATA'!K:K)=0, "", SUMIF('RAW DATA'!M:M,'RAW DATA'!B597, 'RAW DATA'!K:K))</f>
        <v/>
      </c>
      <c r="J597" s="29" t="str">
        <f>IF('RAW DATA'!B597&lt;&gt;"",IF(OR('RAW DATA'!H597=1,'RAW DATA'!H597=2),1,IF(ISNUMBER(FIND("Medic",'RAW DATA'!E597)),1,"")),"")</f>
        <v/>
      </c>
      <c r="K597" s="29" t="str">
        <f>IF(AND('RAW DATA'!$B597&lt;&gt;"",'RAW DATA'!L597=1),1,"")</f>
        <v/>
      </c>
      <c r="L597" s="24" t="str">
        <f t="shared" si="19"/>
        <v/>
      </c>
    </row>
    <row r="598" spans="2:12" x14ac:dyDescent="0.25">
      <c r="B598" s="27" t="str">
        <f>IF('RAW DATA'!$C600&lt;&gt;"",'RAW DATA'!$C600,"")</f>
        <v/>
      </c>
      <c r="C598" s="27" t="str">
        <f>IF('RAW DATA'!$D600&lt;&gt;"",'RAW DATA'!$D600,"")</f>
        <v/>
      </c>
      <c r="D598" s="1" t="str">
        <f>IF(AND($B597&lt;&gt;"", $B598=""), "TOTAL:", IF($D597="TOTAL:","VESSEL TARGET "&amp;'RAW DATA'!$E$2&amp;":",IF('RAW DATA'!$E598&lt;&gt;"",'RAW DATA'!$E598,"")))</f>
        <v/>
      </c>
      <c r="E598" s="29" t="str">
        <f t="shared" si="18"/>
        <v/>
      </c>
      <c r="F598" s="4" t="str">
        <f>IF($D597="TOTAL:",FIXED(ROUND(((SUM($F$4:$F596)/'RAW DATA'!$E$2)*100),1),1)&amp;"%",IF($D598="TOTAL:",SUM($F$4:$F597),IF(SUMIF('RAW DATA'!M:M,'RAW DATA'!B598,'RAW DATA'!H:H)=0,"",SUMIF('RAW DATA'!M:M,'RAW DATA'!B598,'RAW DATA'!H:H))))</f>
        <v/>
      </c>
      <c r="G598" s="4" t="str">
        <f>IF($D597="TOTAL:",FIXED(ROUND(((SUM($G$4:$G596)/'RAW DATA'!$E$2)*100),1),1)&amp;"%",IF($D598="TOTAL:",SUM($G$4:$G597),IF(SUMIF('RAW DATA'!M:M,'RAW DATA'!B598,'RAW DATA'!I:I)=0,"",SUMIF('RAW DATA'!M:M,'RAW DATA'!B598,'RAW DATA'!I:I))))</f>
        <v/>
      </c>
      <c r="H598" s="4" t="str">
        <f>IF(SUM(SUMIF('RAW DATA'!M:M,'RAW DATA'!B598,'RAW DATA'!J:J),SUMIF('RAW DATA'!N:N,'RAW DATA'!B598,'RAW DATA'!J:J),SUMIF('RAW DATA'!O:O,'RAW DATA'!B598,'RAW DATA'!J:J),SUMIF('RAW DATA'!P:P,'RAW DATA'!B598,'RAW DATA'!J:J))=0, "", SUM(SUMIF('RAW DATA'!M:M,'RAW DATA'!B598,'RAW DATA'!J:J),SUMIF('RAW DATA'!N:N,'RAW DATA'!B598,'RAW DATA'!J:J),SUMIF('RAW DATA'!O:O,'RAW DATA'!B598,'RAW DATA'!J:J),SUMIF('RAW DATA'!P:P,'RAW DATA'!B598,'RAW DATA'!J:J)))</f>
        <v/>
      </c>
      <c r="I598" s="4" t="str">
        <f>IF(SUMIF('RAW DATA'!M:M,'RAW DATA'!B598, 'RAW DATA'!K:K)=0, "", SUMIF('RAW DATA'!M:M,'RAW DATA'!B598, 'RAW DATA'!K:K))</f>
        <v/>
      </c>
      <c r="J598" s="29" t="str">
        <f>IF('RAW DATA'!B598&lt;&gt;"",IF(OR('RAW DATA'!H598=1,'RAW DATA'!H598=2),1,IF(ISNUMBER(FIND("Medic",'RAW DATA'!E598)),1,"")),"")</f>
        <v/>
      </c>
      <c r="K598" s="29" t="str">
        <f>IF(AND('RAW DATA'!$B598&lt;&gt;"",'RAW DATA'!L598=1),1,"")</f>
        <v/>
      </c>
      <c r="L598" s="24" t="str">
        <f t="shared" si="19"/>
        <v/>
      </c>
    </row>
    <row r="599" spans="2:12" x14ac:dyDescent="0.25">
      <c r="B599" s="27" t="str">
        <f>IF('RAW DATA'!$C601&lt;&gt;"",'RAW DATA'!$C601,"")</f>
        <v/>
      </c>
      <c r="C599" s="27" t="str">
        <f>IF('RAW DATA'!$D601&lt;&gt;"",'RAW DATA'!$D601,"")</f>
        <v/>
      </c>
      <c r="D599" s="1" t="str">
        <f>IF(AND($B598&lt;&gt;"", $B599=""), "TOTAL:", IF($D598="TOTAL:","VESSEL TARGET "&amp;'RAW DATA'!$E$2&amp;":",IF('RAW DATA'!$E599&lt;&gt;"",'RAW DATA'!$E599,"")))</f>
        <v/>
      </c>
      <c r="E599" s="29" t="str">
        <f t="shared" si="18"/>
        <v/>
      </c>
      <c r="F599" s="4" t="str">
        <f>IF($D598="TOTAL:",FIXED(ROUND(((SUM($F$4:$F597)/'RAW DATA'!$E$2)*100),1),1)&amp;"%",IF($D599="TOTAL:",SUM($F$4:$F598),IF(SUMIF('RAW DATA'!M:M,'RAW DATA'!B599,'RAW DATA'!H:H)=0,"",SUMIF('RAW DATA'!M:M,'RAW DATA'!B599,'RAW DATA'!H:H))))</f>
        <v/>
      </c>
      <c r="G599" s="4" t="str">
        <f>IF($D598="TOTAL:",FIXED(ROUND(((SUM($G$4:$G597)/'RAW DATA'!$E$2)*100),1),1)&amp;"%",IF($D599="TOTAL:",SUM($G$4:$G598),IF(SUMIF('RAW DATA'!M:M,'RAW DATA'!B599,'RAW DATA'!I:I)=0,"",SUMIF('RAW DATA'!M:M,'RAW DATA'!B599,'RAW DATA'!I:I))))</f>
        <v/>
      </c>
      <c r="H599" s="4" t="str">
        <f>IF(SUM(SUMIF('RAW DATA'!M:M,'RAW DATA'!B599,'RAW DATA'!J:J),SUMIF('RAW DATA'!N:N,'RAW DATA'!B599,'RAW DATA'!J:J),SUMIF('RAW DATA'!O:O,'RAW DATA'!B599,'RAW DATA'!J:J),SUMIF('RAW DATA'!P:P,'RAW DATA'!B599,'RAW DATA'!J:J))=0, "", SUM(SUMIF('RAW DATA'!M:M,'RAW DATA'!B599,'RAW DATA'!J:J),SUMIF('RAW DATA'!N:N,'RAW DATA'!B599,'RAW DATA'!J:J),SUMIF('RAW DATA'!O:O,'RAW DATA'!B599,'RAW DATA'!J:J),SUMIF('RAW DATA'!P:P,'RAW DATA'!B599,'RAW DATA'!J:J)))</f>
        <v/>
      </c>
      <c r="I599" s="4" t="str">
        <f>IF(SUMIF('RAW DATA'!M:M,'RAW DATA'!B599, 'RAW DATA'!K:K)=0, "", SUMIF('RAW DATA'!M:M,'RAW DATA'!B599, 'RAW DATA'!K:K))</f>
        <v/>
      </c>
      <c r="J599" s="29" t="str">
        <f>IF('RAW DATA'!B599&lt;&gt;"",IF(OR('RAW DATA'!H599=1,'RAW DATA'!H599=2),1,IF(ISNUMBER(FIND("Medic",'RAW DATA'!E599)),1,"")),"")</f>
        <v/>
      </c>
      <c r="K599" s="29" t="str">
        <f>IF(AND('RAW DATA'!$B599&lt;&gt;"",'RAW DATA'!L599=1),1,"")</f>
        <v/>
      </c>
      <c r="L599" s="24" t="str">
        <f t="shared" si="19"/>
        <v/>
      </c>
    </row>
    <row r="600" spans="2:12" x14ac:dyDescent="0.25">
      <c r="B600" s="27" t="str">
        <f>IF('RAW DATA'!$C602&lt;&gt;"",'RAW DATA'!$C602,"")</f>
        <v/>
      </c>
      <c r="C600" s="27" t="str">
        <f>IF('RAW DATA'!$D602&lt;&gt;"",'RAW DATA'!$D602,"")</f>
        <v/>
      </c>
      <c r="D600" s="1" t="str">
        <f>IF(AND($B599&lt;&gt;"", $B600=""), "TOTAL:", IF($D599="TOTAL:","VESSEL TARGET "&amp;'RAW DATA'!$E$2&amp;":",IF('RAW DATA'!$E600&lt;&gt;"",'RAW DATA'!$E600,"")))</f>
        <v/>
      </c>
      <c r="E600" s="29" t="str">
        <f t="shared" si="18"/>
        <v/>
      </c>
      <c r="F600" s="4" t="str">
        <f>IF($D599="TOTAL:",FIXED(ROUND(((SUM($F$4:$F598)/'RAW DATA'!$E$2)*100),1),1)&amp;"%",IF($D600="TOTAL:",SUM($F$4:$F599),IF(SUMIF('RAW DATA'!M:M,'RAW DATA'!B600,'RAW DATA'!H:H)=0,"",SUMIF('RAW DATA'!M:M,'RAW DATA'!B600,'RAW DATA'!H:H))))</f>
        <v/>
      </c>
      <c r="G600" s="4" t="str">
        <f>IF($D599="TOTAL:",FIXED(ROUND(((SUM($G$4:$G598)/'RAW DATA'!$E$2)*100),1),1)&amp;"%",IF($D600="TOTAL:",SUM($G$4:$G599),IF(SUMIF('RAW DATA'!M:M,'RAW DATA'!B600,'RAW DATA'!I:I)=0,"",SUMIF('RAW DATA'!M:M,'RAW DATA'!B600,'RAW DATA'!I:I))))</f>
        <v/>
      </c>
      <c r="H600" s="4" t="str">
        <f>IF(SUM(SUMIF('RAW DATA'!M:M,'RAW DATA'!B600,'RAW DATA'!J:J),SUMIF('RAW DATA'!N:N,'RAW DATA'!B600,'RAW DATA'!J:J),SUMIF('RAW DATA'!O:O,'RAW DATA'!B600,'RAW DATA'!J:J),SUMIF('RAW DATA'!P:P,'RAW DATA'!B600,'RAW DATA'!J:J))=0, "", SUM(SUMIF('RAW DATA'!M:M,'RAW DATA'!B600,'RAW DATA'!J:J),SUMIF('RAW DATA'!N:N,'RAW DATA'!B600,'RAW DATA'!J:J),SUMIF('RAW DATA'!O:O,'RAW DATA'!B600,'RAW DATA'!J:J),SUMIF('RAW DATA'!P:P,'RAW DATA'!B600,'RAW DATA'!J:J)))</f>
        <v/>
      </c>
      <c r="I600" s="4" t="str">
        <f>IF(SUMIF('RAW DATA'!M:M,'RAW DATA'!B600, 'RAW DATA'!K:K)=0, "", SUMIF('RAW DATA'!M:M,'RAW DATA'!B600, 'RAW DATA'!K:K))</f>
        <v/>
      </c>
      <c r="J600" s="29" t="str">
        <f>IF('RAW DATA'!B600&lt;&gt;"",IF(OR('RAW DATA'!H600=1,'RAW DATA'!H600=2),1,IF(ISNUMBER(FIND("Medic",'RAW DATA'!E600)),1,"")),"")</f>
        <v/>
      </c>
      <c r="K600" s="29" t="str">
        <f>IF(AND('RAW DATA'!$B600&lt;&gt;"",'RAW DATA'!L600=1),1,"")</f>
        <v/>
      </c>
      <c r="L600" s="24" t="str">
        <f t="shared" si="19"/>
        <v/>
      </c>
    </row>
    <row r="601" spans="2:12" x14ac:dyDescent="0.25">
      <c r="B601" s="27" t="str">
        <f>IF('RAW DATA'!$C603&lt;&gt;"",'RAW DATA'!$C603,"")</f>
        <v/>
      </c>
      <c r="C601" s="27" t="str">
        <f>IF('RAW DATA'!$D603&lt;&gt;"",'RAW DATA'!$D603,"")</f>
        <v/>
      </c>
      <c r="D601" s="1" t="str">
        <f>IF(AND($B600&lt;&gt;"", $B601=""), "TOTAL:", IF($D600="TOTAL:","VESSEL TARGET "&amp;'RAW DATA'!$E$2&amp;":",IF('RAW DATA'!$E601&lt;&gt;"",'RAW DATA'!$E601,"")))</f>
        <v/>
      </c>
      <c r="E601" s="29" t="str">
        <f t="shared" si="18"/>
        <v/>
      </c>
      <c r="F601" s="4" t="str">
        <f>IF($D600="TOTAL:",FIXED(ROUND(((SUM($F$4:$F599)/'RAW DATA'!$E$2)*100),1),1)&amp;"%",IF($D601="TOTAL:",SUM($F$4:$F600),IF(SUMIF('RAW DATA'!M:M,'RAW DATA'!B601,'RAW DATA'!H:H)=0,"",SUMIF('RAW DATA'!M:M,'RAW DATA'!B601,'RAW DATA'!H:H))))</f>
        <v/>
      </c>
      <c r="G601" s="4" t="str">
        <f>IF($D600="TOTAL:",FIXED(ROUND(((SUM($G$4:$G599)/'RAW DATA'!$E$2)*100),1),1)&amp;"%",IF($D601="TOTAL:",SUM($G$4:$G600),IF(SUMIF('RAW DATA'!M:M,'RAW DATA'!B601,'RAW DATA'!I:I)=0,"",SUMIF('RAW DATA'!M:M,'RAW DATA'!B601,'RAW DATA'!I:I))))</f>
        <v/>
      </c>
      <c r="H601" s="4" t="str">
        <f>IF(SUM(SUMIF('RAW DATA'!M:M,'RAW DATA'!B601,'RAW DATA'!J:J),SUMIF('RAW DATA'!N:N,'RAW DATA'!B601,'RAW DATA'!J:J),SUMIF('RAW DATA'!O:O,'RAW DATA'!B601,'RAW DATA'!J:J),SUMIF('RAW DATA'!P:P,'RAW DATA'!B601,'RAW DATA'!J:J))=0, "", SUM(SUMIF('RAW DATA'!M:M,'RAW DATA'!B601,'RAW DATA'!J:J),SUMIF('RAW DATA'!N:N,'RAW DATA'!B601,'RAW DATA'!J:J),SUMIF('RAW DATA'!O:O,'RAW DATA'!B601,'RAW DATA'!J:J),SUMIF('RAW DATA'!P:P,'RAW DATA'!B601,'RAW DATA'!J:J)))</f>
        <v/>
      </c>
      <c r="I601" s="4" t="str">
        <f>IF(SUMIF('RAW DATA'!M:M,'RAW DATA'!B601, 'RAW DATA'!K:K)=0, "", SUMIF('RAW DATA'!M:M,'RAW DATA'!B601, 'RAW DATA'!K:K))</f>
        <v/>
      </c>
      <c r="J601" s="29" t="str">
        <f>IF('RAW DATA'!B601&lt;&gt;"",IF(OR('RAW DATA'!H601=1,'RAW DATA'!H601=2),1,IF(ISNUMBER(FIND("Medic",'RAW DATA'!E601)),1,"")),"")</f>
        <v/>
      </c>
      <c r="K601" s="29" t="str">
        <f>IF(AND('RAW DATA'!$B601&lt;&gt;"",'RAW DATA'!L601=1),1,"")</f>
        <v/>
      </c>
      <c r="L601" s="24" t="str">
        <f t="shared" si="19"/>
        <v/>
      </c>
    </row>
    <row r="602" spans="2:12" x14ac:dyDescent="0.25">
      <c r="B602" s="27" t="str">
        <f>IF('RAW DATA'!$C604&lt;&gt;"",'RAW DATA'!$C604,"")</f>
        <v/>
      </c>
      <c r="C602" s="27" t="str">
        <f>IF('RAW DATA'!$D604&lt;&gt;"",'RAW DATA'!$D604,"")</f>
        <v/>
      </c>
      <c r="D602" s="1" t="str">
        <f>IF(AND($B601&lt;&gt;"", $B602=""), "TOTAL:", IF($D601="TOTAL:","VESSEL TARGET "&amp;'RAW DATA'!$E$2&amp;":",IF('RAW DATA'!$E602&lt;&gt;"",'RAW DATA'!$E602,"")))</f>
        <v/>
      </c>
      <c r="E602" s="29" t="str">
        <f t="shared" si="18"/>
        <v/>
      </c>
      <c r="F602" s="4" t="str">
        <f>IF($D601="TOTAL:",FIXED(ROUND(((SUM($F$4:$F600)/'RAW DATA'!$E$2)*100),1),1)&amp;"%",IF($D602="TOTAL:",SUM($F$4:$F601),IF(SUMIF('RAW DATA'!M:M,'RAW DATA'!B602,'RAW DATA'!H:H)=0,"",SUMIF('RAW DATA'!M:M,'RAW DATA'!B602,'RAW DATA'!H:H))))</f>
        <v/>
      </c>
      <c r="G602" s="4" t="str">
        <f>IF($D601="TOTAL:",FIXED(ROUND(((SUM($G$4:$G600)/'RAW DATA'!$E$2)*100),1),1)&amp;"%",IF($D602="TOTAL:",SUM($G$4:$G601),IF(SUMIF('RAW DATA'!M:M,'RAW DATA'!B602,'RAW DATA'!I:I)=0,"",SUMIF('RAW DATA'!M:M,'RAW DATA'!B602,'RAW DATA'!I:I))))</f>
        <v/>
      </c>
      <c r="H602" s="4" t="str">
        <f>IF(SUM(SUMIF('RAW DATA'!M:M,'RAW DATA'!B602,'RAW DATA'!J:J),SUMIF('RAW DATA'!N:N,'RAW DATA'!B602,'RAW DATA'!J:J),SUMIF('RAW DATA'!O:O,'RAW DATA'!B602,'RAW DATA'!J:J),SUMIF('RAW DATA'!P:P,'RAW DATA'!B602,'RAW DATA'!J:J))=0, "", SUM(SUMIF('RAW DATA'!M:M,'RAW DATA'!B602,'RAW DATA'!J:J),SUMIF('RAW DATA'!N:N,'RAW DATA'!B602,'RAW DATA'!J:J),SUMIF('RAW DATA'!O:O,'RAW DATA'!B602,'RAW DATA'!J:J),SUMIF('RAW DATA'!P:P,'RAW DATA'!B602,'RAW DATA'!J:J)))</f>
        <v/>
      </c>
      <c r="I602" s="4" t="str">
        <f>IF(SUMIF('RAW DATA'!M:M,'RAW DATA'!B602, 'RAW DATA'!K:K)=0, "", SUMIF('RAW DATA'!M:M,'RAW DATA'!B602, 'RAW DATA'!K:K))</f>
        <v/>
      </c>
      <c r="J602" s="29" t="str">
        <f>IF('RAW DATA'!B602&lt;&gt;"",IF(OR('RAW DATA'!H602=1,'RAW DATA'!H602=2),1,IF(ISNUMBER(FIND("Medic",'RAW DATA'!E602)),1,"")),"")</f>
        <v/>
      </c>
      <c r="K602" s="29" t="str">
        <f>IF(AND('RAW DATA'!$B602&lt;&gt;"",'RAW DATA'!L602=1),1,"")</f>
        <v/>
      </c>
      <c r="L602" s="24" t="str">
        <f t="shared" si="19"/>
        <v/>
      </c>
    </row>
    <row r="603" spans="2:12" x14ac:dyDescent="0.25">
      <c r="B603" s="27" t="str">
        <f>IF('RAW DATA'!$C605&lt;&gt;"",'RAW DATA'!$C605,"")</f>
        <v/>
      </c>
      <c r="C603" s="27" t="str">
        <f>IF('RAW DATA'!$D605&lt;&gt;"",'RAW DATA'!$D605,"")</f>
        <v/>
      </c>
      <c r="D603" s="1" t="str">
        <f>IF(AND($B602&lt;&gt;"", $B603=""), "TOTAL:", IF($D602="TOTAL:","VESSEL TARGET "&amp;'RAW DATA'!$E$2&amp;":",IF('RAW DATA'!$E603&lt;&gt;"",'RAW DATA'!$E603,"")))</f>
        <v/>
      </c>
      <c r="E603" s="29" t="str">
        <f t="shared" si="18"/>
        <v/>
      </c>
      <c r="F603" s="4" t="str">
        <f>IF($D602="TOTAL:",FIXED(ROUND(((SUM($F$4:$F601)/'RAW DATA'!$E$2)*100),1),1)&amp;"%",IF($D603="TOTAL:",SUM($F$4:$F602),IF(SUMIF('RAW DATA'!M:M,'RAW DATA'!B603,'RAW DATA'!H:H)=0,"",SUMIF('RAW DATA'!M:M,'RAW DATA'!B603,'RAW DATA'!H:H))))</f>
        <v/>
      </c>
      <c r="G603" s="4" t="str">
        <f>IF($D602="TOTAL:",FIXED(ROUND(((SUM($G$4:$G601)/'RAW DATA'!$E$2)*100),1),1)&amp;"%",IF($D603="TOTAL:",SUM($G$4:$G602),IF(SUMIF('RAW DATA'!M:M,'RAW DATA'!B603,'RAW DATA'!I:I)=0,"",SUMIF('RAW DATA'!M:M,'RAW DATA'!B603,'RAW DATA'!I:I))))</f>
        <v/>
      </c>
      <c r="H603" s="4" t="str">
        <f>IF(SUM(SUMIF('RAW DATA'!M:M,'RAW DATA'!B603,'RAW DATA'!J:J),SUMIF('RAW DATA'!N:N,'RAW DATA'!B603,'RAW DATA'!J:J),SUMIF('RAW DATA'!O:O,'RAW DATA'!B603,'RAW DATA'!J:J),SUMIF('RAW DATA'!P:P,'RAW DATA'!B603,'RAW DATA'!J:J))=0, "", SUM(SUMIF('RAW DATA'!M:M,'RAW DATA'!B603,'RAW DATA'!J:J),SUMIF('RAW DATA'!N:N,'RAW DATA'!B603,'RAW DATA'!J:J),SUMIF('RAW DATA'!O:O,'RAW DATA'!B603,'RAW DATA'!J:J),SUMIF('RAW DATA'!P:P,'RAW DATA'!B603,'RAW DATA'!J:J)))</f>
        <v/>
      </c>
      <c r="I603" s="4" t="str">
        <f>IF(SUMIF('RAW DATA'!M:M,'RAW DATA'!B603, 'RAW DATA'!K:K)=0, "", SUMIF('RAW DATA'!M:M,'RAW DATA'!B603, 'RAW DATA'!K:K))</f>
        <v/>
      </c>
      <c r="J603" s="29" t="str">
        <f>IF('RAW DATA'!B603&lt;&gt;"",IF(OR('RAW DATA'!H603=1,'RAW DATA'!H603=2),1,IF(ISNUMBER(FIND("Medic",'RAW DATA'!E603)),1,"")),"")</f>
        <v/>
      </c>
      <c r="K603" s="29" t="str">
        <f>IF(AND('RAW DATA'!$B603&lt;&gt;"",'RAW DATA'!L603=1),1,"")</f>
        <v/>
      </c>
      <c r="L603" s="24" t="str">
        <f t="shared" si="19"/>
        <v/>
      </c>
    </row>
    <row r="604" spans="2:12" x14ac:dyDescent="0.25">
      <c r="B604" s="27" t="str">
        <f>IF('RAW DATA'!$C606&lt;&gt;"",'RAW DATA'!$C606,"")</f>
        <v/>
      </c>
      <c r="C604" s="27" t="str">
        <f>IF('RAW DATA'!$D606&lt;&gt;"",'RAW DATA'!$D606,"")</f>
        <v/>
      </c>
      <c r="D604" s="1" t="str">
        <f>IF(AND($B603&lt;&gt;"", $B604=""), "TOTAL:", IF($D603="TOTAL:","VESSEL TARGET "&amp;'RAW DATA'!$E$2&amp;":",IF('RAW DATA'!$E604&lt;&gt;"",'RAW DATA'!$E604,"")))</f>
        <v/>
      </c>
      <c r="E604" s="29" t="str">
        <f t="shared" si="18"/>
        <v/>
      </c>
      <c r="F604" s="4" t="str">
        <f>IF($D603="TOTAL:",FIXED(ROUND(((SUM($F$4:$F602)/'RAW DATA'!$E$2)*100),1),1)&amp;"%",IF($D604="TOTAL:",SUM($F$4:$F603),IF(SUMIF('RAW DATA'!M:M,'RAW DATA'!B604,'RAW DATA'!H:H)=0,"",SUMIF('RAW DATA'!M:M,'RAW DATA'!B604,'RAW DATA'!H:H))))</f>
        <v/>
      </c>
      <c r="G604" s="4" t="str">
        <f>IF($D603="TOTAL:",FIXED(ROUND(((SUM($G$4:$G602)/'RAW DATA'!$E$2)*100),1),1)&amp;"%",IF($D604="TOTAL:",SUM($G$4:$G603),IF(SUMIF('RAW DATA'!M:M,'RAW DATA'!B604,'RAW DATA'!I:I)=0,"",SUMIF('RAW DATA'!M:M,'RAW DATA'!B604,'RAW DATA'!I:I))))</f>
        <v/>
      </c>
      <c r="H604" s="4" t="str">
        <f>IF(SUM(SUMIF('RAW DATA'!M:M,'RAW DATA'!B604,'RAW DATA'!J:J),SUMIF('RAW DATA'!N:N,'RAW DATA'!B604,'RAW DATA'!J:J),SUMIF('RAW DATA'!O:O,'RAW DATA'!B604,'RAW DATA'!J:J),SUMIF('RAW DATA'!P:P,'RAW DATA'!B604,'RAW DATA'!J:J))=0, "", SUM(SUMIF('RAW DATA'!M:M,'RAW DATA'!B604,'RAW DATA'!J:J),SUMIF('RAW DATA'!N:N,'RAW DATA'!B604,'RAW DATA'!J:J),SUMIF('RAW DATA'!O:O,'RAW DATA'!B604,'RAW DATA'!J:J),SUMIF('RAW DATA'!P:P,'RAW DATA'!B604,'RAW DATA'!J:J)))</f>
        <v/>
      </c>
      <c r="I604" s="4" t="str">
        <f>IF(SUMIF('RAW DATA'!M:M,'RAW DATA'!B604, 'RAW DATA'!K:K)=0, "", SUMIF('RAW DATA'!M:M,'RAW DATA'!B604, 'RAW DATA'!K:K))</f>
        <v/>
      </c>
      <c r="J604" s="29" t="str">
        <f>IF('RAW DATA'!B604&lt;&gt;"",IF(OR('RAW DATA'!H604=1,'RAW DATA'!H604=2),1,IF(ISNUMBER(FIND("Medic",'RAW DATA'!E604)),1,"")),"")</f>
        <v/>
      </c>
      <c r="K604" s="29" t="str">
        <f>IF(AND('RAW DATA'!$B604&lt;&gt;"",'RAW DATA'!L604=1),1,"")</f>
        <v/>
      </c>
      <c r="L604" s="24" t="str">
        <f t="shared" si="19"/>
        <v/>
      </c>
    </row>
    <row r="605" spans="2:12" x14ac:dyDescent="0.25">
      <c r="B605" s="27" t="str">
        <f>IF('RAW DATA'!$C607&lt;&gt;"",'RAW DATA'!$C607,"")</f>
        <v/>
      </c>
      <c r="C605" s="27" t="str">
        <f>IF('RAW DATA'!$D607&lt;&gt;"",'RAW DATA'!$D607,"")</f>
        <v/>
      </c>
      <c r="D605" s="1" t="str">
        <f>IF(AND($B604&lt;&gt;"", $B605=""), "TOTAL:", IF($D604="TOTAL:","VESSEL TARGET "&amp;'RAW DATA'!$E$2&amp;":",IF('RAW DATA'!$E605&lt;&gt;"",'RAW DATA'!$E605,"")))</f>
        <v/>
      </c>
      <c r="E605" s="29" t="str">
        <f t="shared" si="18"/>
        <v/>
      </c>
      <c r="F605" s="4" t="str">
        <f>IF($D604="TOTAL:",FIXED(ROUND(((SUM($F$4:$F603)/'RAW DATA'!$E$2)*100),1),1)&amp;"%",IF($D605="TOTAL:",SUM($F$4:$F604),IF(SUMIF('RAW DATA'!M:M,'RAW DATA'!B605,'RAW DATA'!H:H)=0,"",SUMIF('RAW DATA'!M:M,'RAW DATA'!B605,'RAW DATA'!H:H))))</f>
        <v/>
      </c>
      <c r="G605" s="4" t="str">
        <f>IF($D604="TOTAL:",FIXED(ROUND(((SUM($G$4:$G603)/'RAW DATA'!$E$2)*100),1),1)&amp;"%",IF($D605="TOTAL:",SUM($G$4:$G604),IF(SUMIF('RAW DATA'!M:M,'RAW DATA'!B605,'RAW DATA'!I:I)=0,"",SUMIF('RAW DATA'!M:M,'RAW DATA'!B605,'RAW DATA'!I:I))))</f>
        <v/>
      </c>
      <c r="H605" s="4" t="str">
        <f>IF(SUM(SUMIF('RAW DATA'!M:M,'RAW DATA'!B605,'RAW DATA'!J:J),SUMIF('RAW DATA'!N:N,'RAW DATA'!B605,'RAW DATA'!J:J),SUMIF('RAW DATA'!O:O,'RAW DATA'!B605,'RAW DATA'!J:J),SUMIF('RAW DATA'!P:P,'RAW DATA'!B605,'RAW DATA'!J:J))=0, "", SUM(SUMIF('RAW DATA'!M:M,'RAW DATA'!B605,'RAW DATA'!J:J),SUMIF('RAW DATA'!N:N,'RAW DATA'!B605,'RAW DATA'!J:J),SUMIF('RAW DATA'!O:O,'RAW DATA'!B605,'RAW DATA'!J:J),SUMIF('RAW DATA'!P:P,'RAW DATA'!B605,'RAW DATA'!J:J)))</f>
        <v/>
      </c>
      <c r="I605" s="4" t="str">
        <f>IF(SUMIF('RAW DATA'!M:M,'RAW DATA'!B605, 'RAW DATA'!K:K)=0, "", SUMIF('RAW DATA'!M:M,'RAW DATA'!B605, 'RAW DATA'!K:K))</f>
        <v/>
      </c>
      <c r="J605" s="29" t="str">
        <f>IF('RAW DATA'!B605&lt;&gt;"",IF(OR('RAW DATA'!H605=1,'RAW DATA'!H605=2),1,IF(ISNUMBER(FIND("Medic",'RAW DATA'!E605)),1,"")),"")</f>
        <v/>
      </c>
      <c r="K605" s="29" t="str">
        <f>IF(AND('RAW DATA'!$B605&lt;&gt;"",'RAW DATA'!L605=1),1,"")</f>
        <v/>
      </c>
      <c r="L605" s="24" t="str">
        <f t="shared" si="19"/>
        <v/>
      </c>
    </row>
    <row r="606" spans="2:12" x14ac:dyDescent="0.25">
      <c r="B606" s="27" t="str">
        <f>IF('RAW DATA'!$C608&lt;&gt;"",'RAW DATA'!$C608,"")</f>
        <v/>
      </c>
      <c r="C606" s="27" t="str">
        <f>IF('RAW DATA'!$D608&lt;&gt;"",'RAW DATA'!$D608,"")</f>
        <v/>
      </c>
      <c r="D606" s="1" t="str">
        <f>IF(AND($B605&lt;&gt;"", $B606=""), "TOTAL:", IF($D605="TOTAL:","VESSEL TARGET "&amp;'RAW DATA'!$E$2&amp;":",IF('RAW DATA'!$E606&lt;&gt;"",'RAW DATA'!$E606,"")))</f>
        <v/>
      </c>
      <c r="E606" s="29" t="str">
        <f t="shared" si="18"/>
        <v/>
      </c>
      <c r="F606" s="4" t="str">
        <f>IF($D605="TOTAL:",FIXED(ROUND(((SUM($F$4:$F604)/'RAW DATA'!$E$2)*100),1),1)&amp;"%",IF($D606="TOTAL:",SUM($F$4:$F605),IF(SUMIF('RAW DATA'!M:M,'RAW DATA'!B606,'RAW DATA'!H:H)=0,"",SUMIF('RAW DATA'!M:M,'RAW DATA'!B606,'RAW DATA'!H:H))))</f>
        <v/>
      </c>
      <c r="G606" s="4" t="str">
        <f>IF($D605="TOTAL:",FIXED(ROUND(((SUM($G$4:$G604)/'RAW DATA'!$E$2)*100),1),1)&amp;"%",IF($D606="TOTAL:",SUM($G$4:$G605),IF(SUMIF('RAW DATA'!M:M,'RAW DATA'!B606,'RAW DATA'!I:I)=0,"",SUMIF('RAW DATA'!M:M,'RAW DATA'!B606,'RAW DATA'!I:I))))</f>
        <v/>
      </c>
      <c r="H606" s="4" t="str">
        <f>IF(SUM(SUMIF('RAW DATA'!M:M,'RAW DATA'!B606,'RAW DATA'!J:J),SUMIF('RAW DATA'!N:N,'RAW DATA'!B606,'RAW DATA'!J:J),SUMIF('RAW DATA'!O:O,'RAW DATA'!B606,'RAW DATA'!J:J),SUMIF('RAW DATA'!P:P,'RAW DATA'!B606,'RAW DATA'!J:J))=0, "", SUM(SUMIF('RAW DATA'!M:M,'RAW DATA'!B606,'RAW DATA'!J:J),SUMIF('RAW DATA'!N:N,'RAW DATA'!B606,'RAW DATA'!J:J),SUMIF('RAW DATA'!O:O,'RAW DATA'!B606,'RAW DATA'!J:J),SUMIF('RAW DATA'!P:P,'RAW DATA'!B606,'RAW DATA'!J:J)))</f>
        <v/>
      </c>
      <c r="I606" s="4" t="str">
        <f>IF(SUMIF('RAW DATA'!M:M,'RAW DATA'!B606, 'RAW DATA'!K:K)=0, "", SUMIF('RAW DATA'!M:M,'RAW DATA'!B606, 'RAW DATA'!K:K))</f>
        <v/>
      </c>
      <c r="J606" s="29" t="str">
        <f>IF('RAW DATA'!B606&lt;&gt;"",IF(OR('RAW DATA'!H606=1,'RAW DATA'!H606=2),1,IF(ISNUMBER(FIND("Medic",'RAW DATA'!E606)),1,"")),"")</f>
        <v/>
      </c>
      <c r="K606" s="29" t="str">
        <f>IF(AND('RAW DATA'!$B606&lt;&gt;"",'RAW DATA'!L606=1),1,"")</f>
        <v/>
      </c>
      <c r="L606" s="24" t="str">
        <f t="shared" si="19"/>
        <v/>
      </c>
    </row>
    <row r="607" spans="2:12" x14ac:dyDescent="0.25">
      <c r="B607" s="27" t="str">
        <f>IF('RAW DATA'!$C609&lt;&gt;"",'RAW DATA'!$C609,"")</f>
        <v/>
      </c>
      <c r="C607" s="27" t="str">
        <f>IF('RAW DATA'!$D609&lt;&gt;"",'RAW DATA'!$D609,"")</f>
        <v/>
      </c>
      <c r="D607" s="1" t="str">
        <f>IF(AND($B606&lt;&gt;"", $B607=""), "TOTAL:", IF($D606="TOTAL:","VESSEL TARGET "&amp;'RAW DATA'!$E$2&amp;":",IF('RAW DATA'!$E607&lt;&gt;"",'RAW DATA'!$E607,"")))</f>
        <v/>
      </c>
      <c r="E607" s="29" t="str">
        <f t="shared" si="18"/>
        <v/>
      </c>
      <c r="F607" s="4" t="str">
        <f>IF($D606="TOTAL:",FIXED(ROUND(((SUM($F$4:$F605)/'RAW DATA'!$E$2)*100),1),1)&amp;"%",IF($D607="TOTAL:",SUM($F$4:$F606),IF(SUMIF('RAW DATA'!M:M,'RAW DATA'!B607,'RAW DATA'!H:H)=0,"",SUMIF('RAW DATA'!M:M,'RAW DATA'!B607,'RAW DATA'!H:H))))</f>
        <v/>
      </c>
      <c r="G607" s="4" t="str">
        <f>IF($D606="TOTAL:",FIXED(ROUND(((SUM($G$4:$G605)/'RAW DATA'!$E$2)*100),1),1)&amp;"%",IF($D607="TOTAL:",SUM($G$4:$G606),IF(SUMIF('RAW DATA'!M:M,'RAW DATA'!B607,'RAW DATA'!I:I)=0,"",SUMIF('RAW DATA'!M:M,'RAW DATA'!B607,'RAW DATA'!I:I))))</f>
        <v/>
      </c>
      <c r="H607" s="4" t="str">
        <f>IF(SUM(SUMIF('RAW DATA'!M:M,'RAW DATA'!B607,'RAW DATA'!J:J),SUMIF('RAW DATA'!N:N,'RAW DATA'!B607,'RAW DATA'!J:J),SUMIF('RAW DATA'!O:O,'RAW DATA'!B607,'RAW DATA'!J:J),SUMIF('RAW DATA'!P:P,'RAW DATA'!B607,'RAW DATA'!J:J))=0, "", SUM(SUMIF('RAW DATA'!M:M,'RAW DATA'!B607,'RAW DATA'!J:J),SUMIF('RAW DATA'!N:N,'RAW DATA'!B607,'RAW DATA'!J:J),SUMIF('RAW DATA'!O:O,'RAW DATA'!B607,'RAW DATA'!J:J),SUMIF('RAW DATA'!P:P,'RAW DATA'!B607,'RAW DATA'!J:J)))</f>
        <v/>
      </c>
      <c r="I607" s="4" t="str">
        <f>IF(SUMIF('RAW DATA'!M:M,'RAW DATA'!B607, 'RAW DATA'!K:K)=0, "", SUMIF('RAW DATA'!M:M,'RAW DATA'!B607, 'RAW DATA'!K:K))</f>
        <v/>
      </c>
      <c r="J607" s="29" t="str">
        <f>IF('RAW DATA'!B607&lt;&gt;"",IF(OR('RAW DATA'!H607=1,'RAW DATA'!H607=2),1,IF(ISNUMBER(FIND("Medic",'RAW DATA'!E607)),1,"")),"")</f>
        <v/>
      </c>
      <c r="K607" s="29" t="str">
        <f>IF(AND('RAW DATA'!$B607&lt;&gt;"",'RAW DATA'!L607=1),1,"")</f>
        <v/>
      </c>
      <c r="L607" s="24" t="str">
        <f t="shared" si="19"/>
        <v/>
      </c>
    </row>
    <row r="608" spans="2:12" x14ac:dyDescent="0.25">
      <c r="B608" s="27" t="str">
        <f>IF('RAW DATA'!$C610&lt;&gt;"",'RAW DATA'!$C610,"")</f>
        <v/>
      </c>
      <c r="C608" s="27" t="str">
        <f>IF('RAW DATA'!$D610&lt;&gt;"",'RAW DATA'!$D610,"")</f>
        <v/>
      </c>
      <c r="D608" s="1" t="str">
        <f>IF(AND($B607&lt;&gt;"", $B608=""), "TOTAL:", IF($D607="TOTAL:","VESSEL TARGET "&amp;'RAW DATA'!$E$2&amp;":",IF('RAW DATA'!$E608&lt;&gt;"",'RAW DATA'!$E608,"")))</f>
        <v/>
      </c>
      <c r="E608" s="29" t="str">
        <f t="shared" si="18"/>
        <v/>
      </c>
      <c r="F608" s="4" t="str">
        <f>IF($D607="TOTAL:",FIXED(ROUND(((SUM($F$4:$F606)/'RAW DATA'!$E$2)*100),1),1)&amp;"%",IF($D608="TOTAL:",SUM($F$4:$F607),IF(SUMIF('RAW DATA'!M:M,'RAW DATA'!B608,'RAW DATA'!H:H)=0,"",SUMIF('RAW DATA'!M:M,'RAW DATA'!B608,'RAW DATA'!H:H))))</f>
        <v/>
      </c>
      <c r="G608" s="4" t="str">
        <f>IF($D607="TOTAL:",FIXED(ROUND(((SUM($G$4:$G606)/'RAW DATA'!$E$2)*100),1),1)&amp;"%",IF($D608="TOTAL:",SUM($G$4:$G607),IF(SUMIF('RAW DATA'!M:M,'RAW DATA'!B608,'RAW DATA'!I:I)=0,"",SUMIF('RAW DATA'!M:M,'RAW DATA'!B608,'RAW DATA'!I:I))))</f>
        <v/>
      </c>
      <c r="H608" s="4" t="str">
        <f>IF(SUM(SUMIF('RAW DATA'!M:M,'RAW DATA'!B608,'RAW DATA'!J:J),SUMIF('RAW DATA'!N:N,'RAW DATA'!B608,'RAW DATA'!J:J),SUMIF('RAW DATA'!O:O,'RAW DATA'!B608,'RAW DATA'!J:J),SUMIF('RAW DATA'!P:P,'RAW DATA'!B608,'RAW DATA'!J:J))=0, "", SUM(SUMIF('RAW DATA'!M:M,'RAW DATA'!B608,'RAW DATA'!J:J),SUMIF('RAW DATA'!N:N,'RAW DATA'!B608,'RAW DATA'!J:J),SUMIF('RAW DATA'!O:O,'RAW DATA'!B608,'RAW DATA'!J:J),SUMIF('RAW DATA'!P:P,'RAW DATA'!B608,'RAW DATA'!J:J)))</f>
        <v/>
      </c>
      <c r="I608" s="4" t="str">
        <f>IF(SUMIF('RAW DATA'!M:M,'RAW DATA'!B608, 'RAW DATA'!K:K)=0, "", SUMIF('RAW DATA'!M:M,'RAW DATA'!B608, 'RAW DATA'!K:K))</f>
        <v/>
      </c>
      <c r="J608" s="29" t="str">
        <f>IF('RAW DATA'!B608&lt;&gt;"",IF(OR('RAW DATA'!H608=1,'RAW DATA'!H608=2),1,IF(ISNUMBER(FIND("Medic",'RAW DATA'!E608)),1,"")),"")</f>
        <v/>
      </c>
      <c r="K608" s="29" t="str">
        <f>IF(AND('RAW DATA'!$B608&lt;&gt;"",'RAW DATA'!L608=1),1,"")</f>
        <v/>
      </c>
      <c r="L608" s="24" t="str">
        <f t="shared" si="19"/>
        <v/>
      </c>
    </row>
    <row r="609" spans="2:12" x14ac:dyDescent="0.25">
      <c r="B609" s="27" t="str">
        <f>IF('RAW DATA'!$C611&lt;&gt;"",'RAW DATA'!$C611,"")</f>
        <v/>
      </c>
      <c r="C609" s="27" t="str">
        <f>IF('RAW DATA'!$D611&lt;&gt;"",'RAW DATA'!$D611,"")</f>
        <v/>
      </c>
      <c r="D609" s="1" t="str">
        <f>IF(AND($B608&lt;&gt;"", $B609=""), "TOTAL:", IF($D608="TOTAL:","VESSEL TARGET "&amp;'RAW DATA'!$E$2&amp;":",IF('RAW DATA'!$E609&lt;&gt;"",'RAW DATA'!$E609,"")))</f>
        <v/>
      </c>
      <c r="E609" s="29" t="str">
        <f t="shared" si="18"/>
        <v/>
      </c>
      <c r="F609" s="4" t="str">
        <f>IF($D608="TOTAL:",FIXED(ROUND(((SUM($F$4:$F607)/'RAW DATA'!$E$2)*100),1),1)&amp;"%",IF($D609="TOTAL:",SUM($F$4:$F608),IF(SUMIF('RAW DATA'!M:M,'RAW DATA'!B609,'RAW DATA'!H:H)=0,"",SUMIF('RAW DATA'!M:M,'RAW DATA'!B609,'RAW DATA'!H:H))))</f>
        <v/>
      </c>
      <c r="G609" s="4" t="str">
        <f>IF($D608="TOTAL:",FIXED(ROUND(((SUM($G$4:$G607)/'RAW DATA'!$E$2)*100),1),1)&amp;"%",IF($D609="TOTAL:",SUM($G$4:$G608),IF(SUMIF('RAW DATA'!M:M,'RAW DATA'!B609,'RAW DATA'!I:I)=0,"",SUMIF('RAW DATA'!M:M,'RAW DATA'!B609,'RAW DATA'!I:I))))</f>
        <v/>
      </c>
      <c r="H609" s="4" t="str">
        <f>IF(SUM(SUMIF('RAW DATA'!M:M,'RAW DATA'!B609,'RAW DATA'!J:J),SUMIF('RAW DATA'!N:N,'RAW DATA'!B609,'RAW DATA'!J:J),SUMIF('RAW DATA'!O:O,'RAW DATA'!B609,'RAW DATA'!J:J),SUMIF('RAW DATA'!P:P,'RAW DATA'!B609,'RAW DATA'!J:J))=0, "", SUM(SUMIF('RAW DATA'!M:M,'RAW DATA'!B609,'RAW DATA'!J:J),SUMIF('RAW DATA'!N:N,'RAW DATA'!B609,'RAW DATA'!J:J),SUMIF('RAW DATA'!O:O,'RAW DATA'!B609,'RAW DATA'!J:J),SUMIF('RAW DATA'!P:P,'RAW DATA'!B609,'RAW DATA'!J:J)))</f>
        <v/>
      </c>
      <c r="I609" s="4" t="str">
        <f>IF(SUMIF('RAW DATA'!M:M,'RAW DATA'!B609, 'RAW DATA'!K:K)=0, "", SUMIF('RAW DATA'!M:M,'RAW DATA'!B609, 'RAW DATA'!K:K))</f>
        <v/>
      </c>
      <c r="J609" s="29" t="str">
        <f>IF('RAW DATA'!B609&lt;&gt;"",IF(OR('RAW DATA'!H609=1,'RAW DATA'!H609=2),1,IF(ISNUMBER(FIND("Medic",'RAW DATA'!E609)),1,"")),"")</f>
        <v/>
      </c>
      <c r="K609" s="29" t="str">
        <f>IF(AND('RAW DATA'!$B609&lt;&gt;"",'RAW DATA'!L609=1),1,"")</f>
        <v/>
      </c>
      <c r="L609" s="24" t="str">
        <f t="shared" si="19"/>
        <v/>
      </c>
    </row>
    <row r="610" spans="2:12" x14ac:dyDescent="0.25">
      <c r="B610" s="27" t="str">
        <f>IF('RAW DATA'!$C612&lt;&gt;"",'RAW DATA'!$C612,"")</f>
        <v/>
      </c>
      <c r="C610" s="27" t="str">
        <f>IF('RAW DATA'!$D612&lt;&gt;"",'RAW DATA'!$D612,"")</f>
        <v/>
      </c>
      <c r="D610" s="1" t="str">
        <f>IF(AND($B609&lt;&gt;"", $B610=""), "TOTAL:", IF($D609="TOTAL:","VESSEL TARGET "&amp;'RAW DATA'!$E$2&amp;":",IF('RAW DATA'!$E610&lt;&gt;"",'RAW DATA'!$E610,"")))</f>
        <v/>
      </c>
      <c r="E610" s="29" t="str">
        <f t="shared" si="18"/>
        <v/>
      </c>
      <c r="F610" s="4" t="str">
        <f>IF($D609="TOTAL:",FIXED(ROUND(((SUM($F$4:$F608)/'RAW DATA'!$E$2)*100),1),1)&amp;"%",IF($D610="TOTAL:",SUM($F$4:$F609),IF(SUMIF('RAW DATA'!M:M,'RAW DATA'!B610,'RAW DATA'!H:H)=0,"",SUMIF('RAW DATA'!M:M,'RAW DATA'!B610,'RAW DATA'!H:H))))</f>
        <v/>
      </c>
      <c r="G610" s="4" t="str">
        <f>IF($D609="TOTAL:",FIXED(ROUND(((SUM($G$4:$G608)/'RAW DATA'!$E$2)*100),1),1)&amp;"%",IF($D610="TOTAL:",SUM($G$4:$G609),IF(SUMIF('RAW DATA'!M:M,'RAW DATA'!B610,'RAW DATA'!I:I)=0,"",SUMIF('RAW DATA'!M:M,'RAW DATA'!B610,'RAW DATA'!I:I))))</f>
        <v/>
      </c>
      <c r="H610" s="4" t="str">
        <f>IF(SUM(SUMIF('RAW DATA'!M:M,'RAW DATA'!B610,'RAW DATA'!J:J),SUMIF('RAW DATA'!N:N,'RAW DATA'!B610,'RAW DATA'!J:J),SUMIF('RAW DATA'!O:O,'RAW DATA'!B610,'RAW DATA'!J:J),SUMIF('RAW DATA'!P:P,'RAW DATA'!B610,'RAW DATA'!J:J))=0, "", SUM(SUMIF('RAW DATA'!M:M,'RAW DATA'!B610,'RAW DATA'!J:J),SUMIF('RAW DATA'!N:N,'RAW DATA'!B610,'RAW DATA'!J:J),SUMIF('RAW DATA'!O:O,'RAW DATA'!B610,'RAW DATA'!J:J),SUMIF('RAW DATA'!P:P,'RAW DATA'!B610,'RAW DATA'!J:J)))</f>
        <v/>
      </c>
      <c r="I610" s="4" t="str">
        <f>IF(SUMIF('RAW DATA'!M:M,'RAW DATA'!B610, 'RAW DATA'!K:K)=0, "", SUMIF('RAW DATA'!M:M,'RAW DATA'!B610, 'RAW DATA'!K:K))</f>
        <v/>
      </c>
      <c r="J610" s="29" t="str">
        <f>IF('RAW DATA'!B610&lt;&gt;"",IF(OR('RAW DATA'!H610=1,'RAW DATA'!H610=2),1,IF(ISNUMBER(FIND("Medic",'RAW DATA'!E610)),1,"")),"")</f>
        <v/>
      </c>
      <c r="K610" s="29" t="str">
        <f>IF(AND('RAW DATA'!$B610&lt;&gt;"",'RAW DATA'!L610=1),1,"")</f>
        <v/>
      </c>
      <c r="L610" s="24" t="str">
        <f t="shared" si="19"/>
        <v/>
      </c>
    </row>
    <row r="611" spans="2:12" x14ac:dyDescent="0.25">
      <c r="B611" s="27" t="str">
        <f>IF('RAW DATA'!$C613&lt;&gt;"",'RAW DATA'!$C613,"")</f>
        <v/>
      </c>
      <c r="C611" s="27" t="str">
        <f>IF('RAW DATA'!$D613&lt;&gt;"",'RAW DATA'!$D613,"")</f>
        <v/>
      </c>
      <c r="D611" s="1" t="str">
        <f>IF(AND($B610&lt;&gt;"", $B611=""), "TOTAL:", IF($D610="TOTAL:","VESSEL TARGET "&amp;'RAW DATA'!$E$2&amp;":",IF('RAW DATA'!$E611&lt;&gt;"",'RAW DATA'!$E611,"")))</f>
        <v/>
      </c>
      <c r="E611" s="29" t="str">
        <f t="shared" si="18"/>
        <v/>
      </c>
      <c r="F611" s="4" t="str">
        <f>IF($D610="TOTAL:",FIXED(ROUND(((SUM($F$4:$F609)/'RAW DATA'!$E$2)*100),1),1)&amp;"%",IF($D611="TOTAL:",SUM($F$4:$F610),IF(SUMIF('RAW DATA'!M:M,'RAW DATA'!B611,'RAW DATA'!H:H)=0,"",SUMIF('RAW DATA'!M:M,'RAW DATA'!B611,'RAW DATA'!H:H))))</f>
        <v/>
      </c>
      <c r="G611" s="4" t="str">
        <f>IF($D610="TOTAL:",FIXED(ROUND(((SUM($G$4:$G609)/'RAW DATA'!$E$2)*100),1),1)&amp;"%",IF($D611="TOTAL:",SUM($G$4:$G610),IF(SUMIF('RAW DATA'!M:M,'RAW DATA'!B611,'RAW DATA'!I:I)=0,"",SUMIF('RAW DATA'!M:M,'RAW DATA'!B611,'RAW DATA'!I:I))))</f>
        <v/>
      </c>
      <c r="H611" s="4" t="str">
        <f>IF(SUM(SUMIF('RAW DATA'!M:M,'RAW DATA'!B611,'RAW DATA'!J:J),SUMIF('RAW DATA'!N:N,'RAW DATA'!B611,'RAW DATA'!J:J),SUMIF('RAW DATA'!O:O,'RAW DATA'!B611,'RAW DATA'!J:J),SUMIF('RAW DATA'!P:P,'RAW DATA'!B611,'RAW DATA'!J:J))=0, "", SUM(SUMIF('RAW DATA'!M:M,'RAW DATA'!B611,'RAW DATA'!J:J),SUMIF('RAW DATA'!N:N,'RAW DATA'!B611,'RAW DATA'!J:J),SUMIF('RAW DATA'!O:O,'RAW DATA'!B611,'RAW DATA'!J:J),SUMIF('RAW DATA'!P:P,'RAW DATA'!B611,'RAW DATA'!J:J)))</f>
        <v/>
      </c>
      <c r="I611" s="4" t="str">
        <f>IF(SUMIF('RAW DATA'!M:M,'RAW DATA'!B611, 'RAW DATA'!K:K)=0, "", SUMIF('RAW DATA'!M:M,'RAW DATA'!B611, 'RAW DATA'!K:K))</f>
        <v/>
      </c>
      <c r="J611" s="29" t="str">
        <f>IF('RAW DATA'!B611&lt;&gt;"",IF(OR('RAW DATA'!H611=1,'RAW DATA'!H611=2),1,IF(ISNUMBER(FIND("Medic",'RAW DATA'!E611)),1,"")),"")</f>
        <v/>
      </c>
      <c r="K611" s="29" t="str">
        <f>IF(AND('RAW DATA'!$B611&lt;&gt;"",'RAW DATA'!L611=1),1,"")</f>
        <v/>
      </c>
      <c r="L611" s="24" t="str">
        <f t="shared" si="19"/>
        <v/>
      </c>
    </row>
  </sheetData>
  <mergeCells count="1">
    <mergeCell ref="B2:L2"/>
  </mergeCells>
  <conditionalFormatting sqref="D1 D3:D1048576">
    <cfRule type="expression" dxfId="52" priority="17">
      <formula>$D1="TOTAL:"</formula>
    </cfRule>
  </conditionalFormatting>
  <conditionalFormatting sqref="F1 F3:F1048576">
    <cfRule type="expression" dxfId="51" priority="12">
      <formula>AND($B1&lt;&gt;"",$F1="")</formula>
    </cfRule>
  </conditionalFormatting>
  <conditionalFormatting sqref="G1 G3:G1048576">
    <cfRule type="expression" dxfId="50" priority="13">
      <formula>AND($B1&lt;&gt;"",$G1="")</formula>
    </cfRule>
    <cfRule type="expression" dxfId="49" priority="24">
      <formula>$D1="TOTAL:"</formula>
    </cfRule>
  </conditionalFormatting>
  <conditionalFormatting sqref="E1:F1 E3:F1048576">
    <cfRule type="expression" dxfId="4" priority="23">
      <formula>$D1="TOTAL:"</formula>
    </cfRule>
  </conditionalFormatting>
  <conditionalFormatting sqref="D3:D1000">
    <cfRule type="expression" dxfId="48" priority="26">
      <formula>$D2="TOTAL:"</formula>
    </cfRule>
  </conditionalFormatting>
  <conditionalFormatting sqref="E3:F1000">
    <cfRule type="expression" dxfId="3" priority="27">
      <formula>$D2="TOTAL:"</formula>
    </cfRule>
  </conditionalFormatting>
  <conditionalFormatting sqref="G3:G1000">
    <cfRule type="expression" dxfId="47" priority="28">
      <formula>$D2="TOTAL:"</formula>
    </cfRule>
  </conditionalFormatting>
  <conditionalFormatting sqref="E4:E1000">
    <cfRule type="expression" dxfId="2" priority="11">
      <formula>AND($B4&lt;&gt;"",$E4&lt;&gt;"")</formula>
    </cfRule>
  </conditionalFormatting>
  <conditionalFormatting sqref="E3:E1048576 E1">
    <cfRule type="colorScale" priority="6">
      <colorScale>
        <cfvo type="min"/>
        <cfvo type="percentile" val="50"/>
        <cfvo type="max"/>
        <color theme="4" tint="0.79998168889431442"/>
        <color rgb="FFFFFF99"/>
        <color theme="5" tint="0.79998168889431442"/>
      </colorScale>
    </cfRule>
  </conditionalFormatting>
  <conditionalFormatting sqref="L4:L611">
    <cfRule type="iconSet" priority="1">
      <iconSet showValue="0">
        <cfvo type="percent" val="0"/>
        <cfvo type="percent" val="33"/>
        <cfvo type="percent" val="100"/>
      </iconSe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7ED0872-97C9-49B4-869D-3E5F2E3AD175}">
            <xm:f>'RAW DATA'!$G1&lt;&gt;""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B1:L1 B7:D179 B4:G6 E7:I611 H4:L611 B3:L3 B2 D5:F611</xm:sqref>
        </x14:conditionalFormatting>
        <x14:conditionalFormatting xmlns:xm="http://schemas.microsoft.com/office/excel/2006/main">
          <x14:cfRule type="expression" priority="14" id="{D3FA07E1-75F6-4971-85F9-EC5D99C5B0D3}">
            <xm:f>AND('RAW DATA'!$H1=1,'RAW DATA'!$B1&lt;&gt;"")</xm:f>
            <x14:dxf>
              <fill>
                <patternFill>
                  <bgColor theme="6" tint="0.79998168889431442"/>
                </patternFill>
              </fill>
            </x14:dxf>
          </x14:cfRule>
          <x14:cfRule type="expression" priority="15" id="{0167869C-044F-431E-A4B6-059F62D24137}">
            <xm:f>AND('RAW DATA'!$H1=2,'RAW DATA'!$B1&lt;&gt;"")</xm:f>
            <x14:dxf>
              <fill>
                <patternFill>
                  <bgColor theme="4" tint="0.79998168889431442"/>
                </patternFill>
              </fill>
            </x14:dxf>
          </x14:cfRule>
          <x14:cfRule type="expression" priority="16" id="{9FCFADED-F4F4-4F01-8A50-9C3F513BB12B}">
            <xm:f>AND('RAW DATA'!$H1=3,'RAW DATA'!$B1&lt;&gt;"")</xm:f>
            <x14:dxf>
              <fill>
                <patternFill>
                  <bgColor theme="7" tint="0.79998168889431442"/>
                </patternFill>
              </fill>
            </x14:dxf>
          </x14:cfRule>
          <xm:sqref>D1 D3:D611</xm:sqref>
        </x14:conditionalFormatting>
        <x14:conditionalFormatting xmlns:xm="http://schemas.microsoft.com/office/excel/2006/main">
          <x14:cfRule type="expression" priority="3" stopIfTrue="1" id="{A4B8C022-410D-474B-B905-00430B34FDFF}">
            <xm:f>AND('RAW DATA'!$H1="OFF",'RAW DATA'!$B1&lt;&gt;"")</xm:f>
            <x14:dxf>
              <font>
                <color theme="0" tint="-0.34998626667073579"/>
              </font>
              <fill>
                <patternFill>
                  <bgColor theme="0" tint="-4.9989318521683403E-2"/>
                </patternFill>
              </fill>
            </x14:dxf>
          </x14:cfRule>
          <xm:sqref>B1:K1 B2 B3:K1048576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I611"/>
  <sheetViews>
    <sheetView zoomScaleNormal="100" workbookViewId="0">
      <pane ySplit="3" topLeftCell="A4" activePane="bottomLeft" state="frozen"/>
      <selection pane="bottomLeft" activeCell="B2" sqref="B2:G2"/>
    </sheetView>
  </sheetViews>
  <sheetFormatPr defaultColWidth="9.140625" defaultRowHeight="15" x14ac:dyDescent="0.25"/>
  <cols>
    <col min="2" max="4" width="25.7109375" customWidth="1"/>
    <col min="5" max="6" width="10.7109375" style="4" customWidth="1"/>
    <col min="7" max="7" width="22.7109375" style="21" customWidth="1"/>
  </cols>
  <sheetData>
    <row r="2" spans="2:9" ht="30" customHeight="1" x14ac:dyDescent="0.3">
      <c r="B2" s="51">
        <f>'RAW DATA'!C3</f>
        <v>0</v>
      </c>
      <c r="C2" s="52"/>
      <c r="D2" s="52"/>
      <c r="E2" s="52"/>
      <c r="F2" s="52"/>
      <c r="G2" s="53"/>
      <c r="H2" s="5"/>
      <c r="I2" s="5"/>
    </row>
    <row r="3" spans="2:9" ht="34.9" customHeight="1" x14ac:dyDescent="0.25">
      <c r="B3" s="33" t="s">
        <v>21</v>
      </c>
      <c r="C3" s="33" t="s">
        <v>22</v>
      </c>
      <c r="D3" s="34" t="s">
        <v>23</v>
      </c>
      <c r="E3" s="35" t="s">
        <v>0</v>
      </c>
      <c r="F3" s="35" t="s">
        <v>1</v>
      </c>
      <c r="G3" s="35" t="s">
        <v>16</v>
      </c>
      <c r="H3" s="5"/>
      <c r="I3" s="5"/>
    </row>
    <row r="4" spans="2:9" ht="14.45" x14ac:dyDescent="0.3">
      <c r="B4" s="1" t="str">
        <f>IF('RAW DATA'!$C4&lt;&gt;"",'RAW DATA'!$C4,"")</f>
        <v/>
      </c>
      <c r="C4" s="1" t="str">
        <f>IF('RAW DATA'!$D4&lt;&gt;"",'RAW DATA'!$D4,"")</f>
        <v/>
      </c>
      <c r="D4" s="1" t="str">
        <f>IF(AND($B3&lt;&gt;"", $B4=""), "TOTAL:", IF($D3="TOTAL:","VESSEL TARGET "&amp;'RAW DATA'!$E$2&amp;":",IF('RAW DATA'!$E4&lt;&gt;"",'RAW DATA'!$E4,"")))</f>
        <v>TOTAL:</v>
      </c>
      <c r="E4" s="4" t="str">
        <f>IF(SUMIF('RAW DATA'!M:M,'RAW DATA'!B4, 'RAW DATA'!H:H)=0, "", SUMIF('RAW DATA'!M:M,'RAW DATA'!B4, 'RAW DATA'!H:H))</f>
        <v/>
      </c>
      <c r="F4" s="4" t="str">
        <f>IF(SUMIF('RAW DATA'!M:M,'RAW DATA'!B4, 'RAW DATA'!I:I)=0, "", SUMIF('RAW DATA'!M:M,'RAW DATA'!B4, 'RAW DATA'!I:I))</f>
        <v/>
      </c>
      <c r="G4" s="24" t="str">
        <f>IF(OR($B4="", $E4="",$F4=""),"",IF(AND($E4&gt;=2,$F4&gt;=2),1,""))</f>
        <v/>
      </c>
      <c r="H4" s="5"/>
      <c r="I4" s="5"/>
    </row>
    <row r="5" spans="2:9" ht="14.45" x14ac:dyDescent="0.3">
      <c r="B5" s="1" t="str">
        <f>IF('RAW DATA'!$C5&lt;&gt;"",'RAW DATA'!$C5,"")</f>
        <v/>
      </c>
      <c r="C5" s="1" t="str">
        <f>IF('RAW DATA'!$D5&lt;&gt;"",'RAW DATA'!$D5,"")</f>
        <v/>
      </c>
      <c r="D5" s="1" t="str">
        <f>IF(AND($B4&lt;&gt;"", $B5=""), "TOTAL:", IF($D4="TOTAL:","VESSEL TARGET "&amp;'RAW DATA'!$E$2&amp;":",IF('RAW DATA'!$E5&lt;&gt;"",'RAW DATA'!$E5,"")))</f>
        <v>VESSEL TARGET 80:</v>
      </c>
      <c r="E5" s="4" t="str">
        <f>IF(SUMIF('RAW DATA'!M:M,'RAW DATA'!B5, 'RAW DATA'!H:H)=0, "", SUMIF('RAW DATA'!M:M,'RAW DATA'!B5, 'RAW DATA'!H:H))</f>
        <v/>
      </c>
      <c r="F5" s="4" t="str">
        <f>IF(SUMIF('RAW DATA'!M:M,'RAW DATA'!B5, 'RAW DATA'!I:I)=0, "", SUMIF('RAW DATA'!M:M,'RAW DATA'!B5, 'RAW DATA'!I:I))</f>
        <v/>
      </c>
      <c r="G5" s="24" t="str">
        <f>IF(OR($B5="", $E5="",$F5=""),"",IF(AND($E5&gt;=2,$F5&gt;=2),1,""))</f>
        <v/>
      </c>
      <c r="H5" s="5"/>
      <c r="I5" s="5"/>
    </row>
    <row r="6" spans="2:9" x14ac:dyDescent="0.25">
      <c r="B6" s="1" t="str">
        <f>IF('RAW DATA'!$C6&lt;&gt;"",'RAW DATA'!$C6,"")</f>
        <v/>
      </c>
      <c r="C6" s="1" t="str">
        <f>IF('RAW DATA'!$D6&lt;&gt;"",'RAW DATA'!$D6,"")</f>
        <v/>
      </c>
      <c r="D6" s="1" t="str">
        <f>IF(AND($B5&lt;&gt;"", $B6=""), "TOTAL:", IF($D5="TOTAL:","VESSEL TARGET "&amp;'RAW DATA'!$E$2&amp;":",IF('RAW DATA'!$E6&lt;&gt;"",'RAW DATA'!$E6,"")))</f>
        <v/>
      </c>
      <c r="E6" s="4" t="str">
        <f>IF($D5="TOTAL:",FIXED(ROUND(((SUM($E$4:$E4)/'RAW DATA'!$E$2)*100),1),1)&amp;"%",IF($D6="TOTAL:",SUM($E$4:$E5),IF(SUMIF('RAW DATA'!M:M,'RAW DATA'!B6,'RAW DATA'!H:H)=0,"",SUMIF('RAW DATA'!M:M,'RAW DATA'!B6,'RAW DATA'!H:H))))</f>
        <v/>
      </c>
      <c r="F6" s="4" t="str">
        <f>IF($D5="TOTAL:",FIXED(ROUND(((SUM($F$4:$F4)/'RAW DATA'!$E$2)*100),1),1)&amp;"%",IF($D6="TOTAL:",SUM($F$4:$F5),IF(SUMIF('RAW DATA'!M:M,'RAW DATA'!B6,'RAW DATA'!I:I)=0,"",SUMIF('RAW DATA'!M:M,'RAW DATA'!B6,'RAW DATA'!I:I))))</f>
        <v/>
      </c>
      <c r="G6" s="24" t="str">
        <f t="shared" ref="G6:G69" si="0">IF(OR($B6="", $E6="",$F6=""),"",IF(AND($E6&gt;=2,$F6&gt;=2),1,""))</f>
        <v/>
      </c>
      <c r="H6" s="5"/>
      <c r="I6" s="5"/>
    </row>
    <row r="7" spans="2:9" x14ac:dyDescent="0.25">
      <c r="B7" s="1" t="str">
        <f>IF('RAW DATA'!$C7&lt;&gt;"",'RAW DATA'!$C7,"")</f>
        <v/>
      </c>
      <c r="C7" s="1" t="str">
        <f>IF('RAW DATA'!$D7&lt;&gt;"",'RAW DATA'!$D7,"")</f>
        <v/>
      </c>
      <c r="D7" s="1" t="str">
        <f>IF(AND($B6&lt;&gt;"", $B7=""), "TOTAL:", IF($D6="TOTAL:","VESSEL TARGET "&amp;'RAW DATA'!$E$2&amp;":",IF('RAW DATA'!$E7&lt;&gt;"",'RAW DATA'!$E7,"")))</f>
        <v/>
      </c>
      <c r="E7" s="4" t="str">
        <f>IF($D6="TOTAL:",FIXED(ROUND(((SUM($E$4:$E5)/'RAW DATA'!$E$2)*100),1),1)&amp;"%",IF($D7="TOTAL:",SUM($E$4:$E6),IF(SUMIF('RAW DATA'!M:M,'RAW DATA'!B7,'RAW DATA'!H:H)=0,"",SUMIF('RAW DATA'!M:M,'RAW DATA'!B7,'RAW DATA'!H:H))))</f>
        <v/>
      </c>
      <c r="F7" s="4" t="str">
        <f>IF($D6="TOTAL:",FIXED(ROUND(((SUM($F$4:$F5)/'RAW DATA'!$E$2)*100),1),1)&amp;"%",IF($D7="TOTAL:",SUM($F$4:$F6),IF(SUMIF('RAW DATA'!M:M,'RAW DATA'!B7,'RAW DATA'!I:I)=0,"",SUMIF('RAW DATA'!M:M,'RAW DATA'!B7,'RAW DATA'!I:I))))</f>
        <v/>
      </c>
      <c r="G7" s="24" t="str">
        <f t="shared" si="0"/>
        <v/>
      </c>
      <c r="H7" s="5"/>
      <c r="I7" s="5"/>
    </row>
    <row r="8" spans="2:9" x14ac:dyDescent="0.25">
      <c r="B8" s="1" t="str">
        <f>IF('RAW DATA'!$C8&lt;&gt;"",'RAW DATA'!$C8,"")</f>
        <v/>
      </c>
      <c r="C8" s="1" t="str">
        <f>IF('RAW DATA'!$D8&lt;&gt;"",'RAW DATA'!$D8,"")</f>
        <v/>
      </c>
      <c r="D8" s="1" t="str">
        <f>IF(AND($B7&lt;&gt;"", $B8=""), "TOTAL:", IF($D7="TOTAL:","VESSEL TARGET "&amp;'RAW DATA'!$E$2&amp;":",IF('RAW DATA'!$E8&lt;&gt;"",'RAW DATA'!$E8,"")))</f>
        <v/>
      </c>
      <c r="E8" s="4" t="str">
        <f>IF($D7="TOTAL:",FIXED(ROUND(((SUM($E$4:$E6)/'RAW DATA'!$E$2)*100),1),1)&amp;"%",IF($D8="TOTAL:",SUM($E$4:$E7),IF(SUMIF('RAW DATA'!M:M,'RAW DATA'!B8,'RAW DATA'!H:H)=0,"",SUMIF('RAW DATA'!M:M,'RAW DATA'!B8,'RAW DATA'!H:H))))</f>
        <v/>
      </c>
      <c r="F8" s="4" t="str">
        <f>IF($D7="TOTAL:",FIXED(ROUND(((SUM($F$4:$F6)/'RAW DATA'!$E$2)*100),1),1)&amp;"%",IF($D8="TOTAL:",SUM($F$4:$F7),IF(SUMIF('RAW DATA'!M:M,'RAW DATA'!B8,'RAW DATA'!I:I)=0,"",SUMIF('RAW DATA'!M:M,'RAW DATA'!B8,'RAW DATA'!I:I))))</f>
        <v/>
      </c>
      <c r="G8" s="24" t="str">
        <f t="shared" si="0"/>
        <v/>
      </c>
      <c r="H8" s="5"/>
      <c r="I8" s="5"/>
    </row>
    <row r="9" spans="2:9" x14ac:dyDescent="0.25">
      <c r="B9" s="1" t="str">
        <f>IF('RAW DATA'!$C9&lt;&gt;"",'RAW DATA'!$C9,"")</f>
        <v/>
      </c>
      <c r="C9" s="1" t="str">
        <f>IF('RAW DATA'!$D9&lt;&gt;"",'RAW DATA'!$D9,"")</f>
        <v/>
      </c>
      <c r="D9" s="1" t="str">
        <f>IF(AND($B8&lt;&gt;"", $B9=""), "TOTAL:", IF($D8="TOTAL:","VESSEL TARGET "&amp;'RAW DATA'!$E$2&amp;":",IF('RAW DATA'!$E9&lt;&gt;"",'RAW DATA'!$E9,"")))</f>
        <v/>
      </c>
      <c r="E9" s="4" t="str">
        <f>IF($D8="TOTAL:",FIXED(ROUND(((SUM($E$4:$E7)/'RAW DATA'!$E$2)*100),1),1)&amp;"%",IF($D9="TOTAL:",SUM($E$4:$E8),IF(SUMIF('RAW DATA'!M:M,'RAW DATA'!B9,'RAW DATA'!H:H)=0,"",SUMIF('RAW DATA'!M:M,'RAW DATA'!B9,'RAW DATA'!H:H))))</f>
        <v/>
      </c>
      <c r="F9" s="4" t="str">
        <f>IF($D8="TOTAL:",FIXED(ROUND(((SUM($F$4:$F7)/'RAW DATA'!$E$2)*100),1),1)&amp;"%",IF($D9="TOTAL:",SUM($F$4:$F8),IF(SUMIF('RAW DATA'!M:M,'RAW DATA'!B9,'RAW DATA'!I:I)=0,"",SUMIF('RAW DATA'!M:M,'RAW DATA'!B9,'RAW DATA'!I:I))))</f>
        <v/>
      </c>
      <c r="G9" s="24" t="str">
        <f t="shared" si="0"/>
        <v/>
      </c>
      <c r="H9" s="5"/>
      <c r="I9" s="5"/>
    </row>
    <row r="10" spans="2:9" x14ac:dyDescent="0.25">
      <c r="B10" s="1" t="str">
        <f>IF('RAW DATA'!$C10&lt;&gt;"",'RAW DATA'!$C10,"")</f>
        <v/>
      </c>
      <c r="C10" s="1" t="str">
        <f>IF('RAW DATA'!$D10&lt;&gt;"",'RAW DATA'!$D10,"")</f>
        <v/>
      </c>
      <c r="D10" s="1" t="str">
        <f>IF(AND($B9&lt;&gt;"", $B10=""), "TOTAL:", IF($D9="TOTAL:","VESSEL TARGET "&amp;'RAW DATA'!$E$2&amp;":",IF('RAW DATA'!$E10&lt;&gt;"",'RAW DATA'!$E10,"")))</f>
        <v/>
      </c>
      <c r="E10" s="4" t="str">
        <f>IF($D9="TOTAL:",FIXED(ROUND(((SUM($E$4:$E8)/'RAW DATA'!$E$2)*100),1),1)&amp;"%",IF($D10="TOTAL:",SUM($E$4:$E9),IF(SUMIF('RAW DATA'!M:M,'RAW DATA'!B10,'RAW DATA'!H:H)=0,"",SUMIF('RAW DATA'!M:M,'RAW DATA'!B10,'RAW DATA'!H:H))))</f>
        <v/>
      </c>
      <c r="F10" s="4" t="str">
        <f>IF($D9="TOTAL:",FIXED(ROUND(((SUM($F$4:$F8)/'RAW DATA'!$E$2)*100),1),1)&amp;"%",IF($D10="TOTAL:",SUM($F$4:$F9),IF(SUMIF('RAW DATA'!M:M,'RAW DATA'!B10,'RAW DATA'!I:I)=0,"",SUMIF('RAW DATA'!M:M,'RAW DATA'!B10,'RAW DATA'!I:I))))</f>
        <v/>
      </c>
      <c r="G10" s="24" t="str">
        <f t="shared" si="0"/>
        <v/>
      </c>
      <c r="H10" s="5"/>
      <c r="I10" s="5"/>
    </row>
    <row r="11" spans="2:9" x14ac:dyDescent="0.25">
      <c r="B11" s="1" t="str">
        <f>IF('RAW DATA'!$C11&lt;&gt;"",'RAW DATA'!$C11,"")</f>
        <v/>
      </c>
      <c r="C11" s="1" t="str">
        <f>IF('RAW DATA'!$D11&lt;&gt;"",'RAW DATA'!$D11,"")</f>
        <v/>
      </c>
      <c r="D11" s="1" t="str">
        <f>IF(AND($B10&lt;&gt;"", $B11=""), "TOTAL:", IF($D10="TOTAL:","VESSEL TARGET "&amp;'RAW DATA'!$E$2&amp;":",IF('RAW DATA'!$E11&lt;&gt;"",'RAW DATA'!$E11,"")))</f>
        <v/>
      </c>
      <c r="E11" s="4" t="str">
        <f>IF($D10="TOTAL:",FIXED(ROUND(((SUM($E$4:$E9)/'RAW DATA'!$E$2)*100),1),1)&amp;"%",IF($D11="TOTAL:",SUM($E$4:$E10),IF(SUMIF('RAW DATA'!M:M,'RAW DATA'!B11,'RAW DATA'!H:H)=0,"",SUMIF('RAW DATA'!M:M,'RAW DATA'!B11,'RAW DATA'!H:H))))</f>
        <v/>
      </c>
      <c r="F11" s="4" t="str">
        <f>IF($D10="TOTAL:",FIXED(ROUND(((SUM($F$4:$F9)/'RAW DATA'!$E$2)*100),1),1)&amp;"%",IF($D11="TOTAL:",SUM($F$4:$F10),IF(SUMIF('RAW DATA'!M:M,'RAW DATA'!B11,'RAW DATA'!I:I)=0,"",SUMIF('RAW DATA'!M:M,'RAW DATA'!B11,'RAW DATA'!I:I))))</f>
        <v/>
      </c>
      <c r="G11" s="24" t="str">
        <f t="shared" si="0"/>
        <v/>
      </c>
      <c r="H11" s="5"/>
      <c r="I11" s="5"/>
    </row>
    <row r="12" spans="2:9" x14ac:dyDescent="0.25">
      <c r="B12" s="1" t="str">
        <f>IF('RAW DATA'!$C12&lt;&gt;"",'RAW DATA'!$C12,"")</f>
        <v/>
      </c>
      <c r="C12" s="1" t="str">
        <f>IF('RAW DATA'!$D12&lt;&gt;"",'RAW DATA'!$D12,"")</f>
        <v/>
      </c>
      <c r="D12" s="1" t="str">
        <f>IF(AND($B11&lt;&gt;"", $B12=""), "TOTAL:", IF($D11="TOTAL:","VESSEL TARGET "&amp;'RAW DATA'!$E$2&amp;":",IF('RAW DATA'!$E12&lt;&gt;"",'RAW DATA'!$E12,"")))</f>
        <v/>
      </c>
      <c r="E12" s="4" t="str">
        <f>IF($D11="TOTAL:",FIXED(ROUND(((SUM($E$4:$E10)/'RAW DATA'!$E$2)*100),1),1)&amp;"%",IF($D12="TOTAL:",SUM($E$4:$E11),IF(SUMIF('RAW DATA'!M:M,'RAW DATA'!B12,'RAW DATA'!H:H)=0,"",SUMIF('RAW DATA'!M:M,'RAW DATA'!B12,'RAW DATA'!H:H))))</f>
        <v/>
      </c>
      <c r="F12" s="4" t="str">
        <f>IF($D11="TOTAL:",FIXED(ROUND(((SUM($F$4:$F10)/'RAW DATA'!$E$2)*100),1),1)&amp;"%",IF($D12="TOTAL:",SUM($F$4:$F11),IF(SUMIF('RAW DATA'!M:M,'RAW DATA'!B12,'RAW DATA'!I:I)=0,"",SUMIF('RAW DATA'!M:M,'RAW DATA'!B12,'RAW DATA'!I:I))))</f>
        <v/>
      </c>
      <c r="G12" s="24" t="str">
        <f t="shared" si="0"/>
        <v/>
      </c>
      <c r="H12" s="5"/>
      <c r="I12" s="5"/>
    </row>
    <row r="13" spans="2:9" x14ac:dyDescent="0.25">
      <c r="B13" s="1" t="str">
        <f>IF('RAW DATA'!$C13&lt;&gt;"",'RAW DATA'!$C13,"")</f>
        <v/>
      </c>
      <c r="C13" s="1" t="str">
        <f>IF('RAW DATA'!$D13&lt;&gt;"",'RAW DATA'!$D13,"")</f>
        <v/>
      </c>
      <c r="D13" s="1" t="str">
        <f>IF(AND($B12&lt;&gt;"", $B13=""), "TOTAL:", IF($D12="TOTAL:","VESSEL TARGET "&amp;'RAW DATA'!$E$2&amp;":",IF('RAW DATA'!$E13&lt;&gt;"",'RAW DATA'!$E13,"")))</f>
        <v/>
      </c>
      <c r="E13" s="4" t="str">
        <f>IF($D12="TOTAL:",FIXED(ROUND(((SUM($E$4:$E11)/'RAW DATA'!$E$2)*100),1),1)&amp;"%",IF($D13="TOTAL:",SUM($E$4:$E12),IF(SUMIF('RAW DATA'!M:M,'RAW DATA'!B13,'RAW DATA'!H:H)=0,"",SUMIF('RAW DATA'!M:M,'RAW DATA'!B13,'RAW DATA'!H:H))))</f>
        <v/>
      </c>
      <c r="F13" s="4" t="str">
        <f>IF($D12="TOTAL:",FIXED(ROUND(((SUM($F$4:$F11)/'RAW DATA'!$E$2)*100),1),1)&amp;"%",IF($D13="TOTAL:",SUM($F$4:$F12),IF(SUMIF('RAW DATA'!M:M,'RAW DATA'!B13,'RAW DATA'!I:I)=0,"",SUMIF('RAW DATA'!M:M,'RAW DATA'!B13,'RAW DATA'!I:I))))</f>
        <v/>
      </c>
      <c r="G13" s="24" t="str">
        <f t="shared" si="0"/>
        <v/>
      </c>
      <c r="H13" s="5"/>
      <c r="I13" s="5"/>
    </row>
    <row r="14" spans="2:9" x14ac:dyDescent="0.25">
      <c r="B14" s="1" t="str">
        <f>IF('RAW DATA'!$C14&lt;&gt;"",'RAW DATA'!$C14,"")</f>
        <v/>
      </c>
      <c r="C14" s="1" t="str">
        <f>IF('RAW DATA'!$D14&lt;&gt;"",'RAW DATA'!$D14,"")</f>
        <v/>
      </c>
      <c r="D14" s="1" t="str">
        <f>IF(AND($B13&lt;&gt;"", $B14=""), "TOTAL:", IF($D13="TOTAL:","VESSEL TARGET "&amp;'RAW DATA'!$E$2&amp;":",IF('RAW DATA'!$E14&lt;&gt;"",'RAW DATA'!$E14,"")))</f>
        <v/>
      </c>
      <c r="E14" s="4" t="str">
        <f>IF($D13="TOTAL:",FIXED(ROUND(((SUM($E$4:$E12)/'RAW DATA'!$E$2)*100),1),1)&amp;"%",IF($D14="TOTAL:",SUM($E$4:$E13),IF(SUMIF('RAW DATA'!M:M,'RAW DATA'!B14,'RAW DATA'!H:H)=0,"",SUMIF('RAW DATA'!M:M,'RAW DATA'!B14,'RAW DATA'!H:H))))</f>
        <v/>
      </c>
      <c r="F14" s="4" t="str">
        <f>IF($D13="TOTAL:",FIXED(ROUND(((SUM($F$4:$F12)/'RAW DATA'!$E$2)*100),1),1)&amp;"%",IF($D14="TOTAL:",SUM($F$4:$F13),IF(SUMIF('RAW DATA'!M:M,'RAW DATA'!B14,'RAW DATA'!I:I)=0,"",SUMIF('RAW DATA'!M:M,'RAW DATA'!B14,'RAW DATA'!I:I))))</f>
        <v/>
      </c>
      <c r="G14" s="24" t="str">
        <f t="shared" si="0"/>
        <v/>
      </c>
      <c r="H14" s="5"/>
      <c r="I14" s="5"/>
    </row>
    <row r="15" spans="2:9" x14ac:dyDescent="0.25">
      <c r="B15" s="1" t="str">
        <f>IF('RAW DATA'!$C15&lt;&gt;"",'RAW DATA'!$C15,"")</f>
        <v/>
      </c>
      <c r="C15" s="1" t="str">
        <f>IF('RAW DATA'!$D15&lt;&gt;"",'RAW DATA'!$D15,"")</f>
        <v/>
      </c>
      <c r="D15" s="1" t="str">
        <f>IF(AND($B14&lt;&gt;"", $B15=""), "TOTAL:", IF($D14="TOTAL:","VESSEL TARGET "&amp;'RAW DATA'!$E$2&amp;":",IF('RAW DATA'!$E15&lt;&gt;"",'RAW DATA'!$E15,"")))</f>
        <v/>
      </c>
      <c r="E15" s="4" t="str">
        <f>IF($D14="TOTAL:",FIXED(ROUND(((SUM($E$4:$E13)/'RAW DATA'!$E$2)*100),1),1)&amp;"%",IF($D15="TOTAL:",SUM($E$4:$E14),IF(SUMIF('RAW DATA'!M:M,'RAW DATA'!B15,'RAW DATA'!H:H)=0,"",SUMIF('RAW DATA'!M:M,'RAW DATA'!B15,'RAW DATA'!H:H))))</f>
        <v/>
      </c>
      <c r="F15" s="4" t="str">
        <f>IF($D14="TOTAL:",FIXED(ROUND(((SUM($F$4:$F13)/'RAW DATA'!$E$2)*100),1),1)&amp;"%",IF($D15="TOTAL:",SUM($F$4:$F14),IF(SUMIF('RAW DATA'!M:M,'RAW DATA'!B15,'RAW DATA'!I:I)=0,"",SUMIF('RAW DATA'!M:M,'RAW DATA'!B15,'RAW DATA'!I:I))))</f>
        <v/>
      </c>
      <c r="G15" s="24" t="str">
        <f t="shared" si="0"/>
        <v/>
      </c>
      <c r="H15" s="5"/>
      <c r="I15" s="5"/>
    </row>
    <row r="16" spans="2:9" x14ac:dyDescent="0.25">
      <c r="B16" s="1" t="str">
        <f>IF('RAW DATA'!$C16&lt;&gt;"",'RAW DATA'!$C16,"")</f>
        <v/>
      </c>
      <c r="C16" s="1" t="str">
        <f>IF('RAW DATA'!$D16&lt;&gt;"",'RAW DATA'!$D16,"")</f>
        <v/>
      </c>
      <c r="D16" s="1" t="str">
        <f>IF(AND($B15&lt;&gt;"", $B16=""), "TOTAL:", IF($D15="TOTAL:","VESSEL TARGET "&amp;'RAW DATA'!$E$2&amp;":",IF('RAW DATA'!$E16&lt;&gt;"",'RAW DATA'!$E16,"")))</f>
        <v/>
      </c>
      <c r="E16" s="4" t="str">
        <f>IF($D15="TOTAL:",FIXED(ROUND(((SUM($E$4:$E14)/'RAW DATA'!$E$2)*100),1),1)&amp;"%",IF($D16="TOTAL:",SUM($E$4:$E15),IF(SUMIF('RAW DATA'!M:M,'RAW DATA'!B16,'RAW DATA'!H:H)=0,"",SUMIF('RAW DATA'!M:M,'RAW DATA'!B16,'RAW DATA'!H:H))))</f>
        <v/>
      </c>
      <c r="F16" s="4" t="str">
        <f>IF($D15="TOTAL:",FIXED(ROUND(((SUM($F$4:$F14)/'RAW DATA'!$E$2)*100),1),1)&amp;"%",IF($D16="TOTAL:",SUM($F$4:$F15),IF(SUMIF('RAW DATA'!M:M,'RAW DATA'!B16,'RAW DATA'!I:I)=0,"",SUMIF('RAW DATA'!M:M,'RAW DATA'!B16,'RAW DATA'!I:I))))</f>
        <v/>
      </c>
      <c r="G16" s="24" t="str">
        <f t="shared" si="0"/>
        <v/>
      </c>
    </row>
    <row r="17" spans="2:7" x14ac:dyDescent="0.25">
      <c r="B17" s="1" t="str">
        <f>IF('RAW DATA'!$C17&lt;&gt;"",'RAW DATA'!$C17,"")</f>
        <v/>
      </c>
      <c r="C17" s="1" t="str">
        <f>IF('RAW DATA'!$D17&lt;&gt;"",'RAW DATA'!$D17,"")</f>
        <v/>
      </c>
      <c r="D17" s="1" t="str">
        <f>IF(AND($B16&lt;&gt;"", $B17=""), "TOTAL:", IF($D16="TOTAL:","VESSEL TARGET "&amp;'RAW DATA'!$E$2&amp;":",IF('RAW DATA'!$E17&lt;&gt;"",'RAW DATA'!$E17,"")))</f>
        <v/>
      </c>
      <c r="E17" s="4" t="str">
        <f>IF($D16="TOTAL:",FIXED(ROUND(((SUM($E$4:$E15)/'RAW DATA'!$E$2)*100),1),1)&amp;"%",IF($D17="TOTAL:",SUM($E$4:$E16),IF(SUMIF('RAW DATA'!M:M,'RAW DATA'!B17,'RAW DATA'!H:H)=0,"",SUMIF('RAW DATA'!M:M,'RAW DATA'!B17,'RAW DATA'!H:H))))</f>
        <v/>
      </c>
      <c r="F17" s="4" t="str">
        <f>IF($D16="TOTAL:",FIXED(ROUND(((SUM($F$4:$F15)/'RAW DATA'!$E$2)*100),1),1)&amp;"%",IF($D17="TOTAL:",SUM($F$4:$F16),IF(SUMIF('RAW DATA'!M:M,'RAW DATA'!B17,'RAW DATA'!I:I)=0,"",SUMIF('RAW DATA'!M:M,'RAW DATA'!B17,'RAW DATA'!I:I))))</f>
        <v/>
      </c>
      <c r="G17" s="24" t="str">
        <f t="shared" si="0"/>
        <v/>
      </c>
    </row>
    <row r="18" spans="2:7" x14ac:dyDescent="0.25">
      <c r="B18" s="1" t="str">
        <f>IF('RAW DATA'!$C18&lt;&gt;"",'RAW DATA'!$C18,"")</f>
        <v/>
      </c>
      <c r="C18" s="1" t="str">
        <f>IF('RAW DATA'!$D18&lt;&gt;"",'RAW DATA'!$D18,"")</f>
        <v/>
      </c>
      <c r="D18" s="1" t="str">
        <f>IF(AND($B17&lt;&gt;"", $B18=""), "TOTAL:", IF($D17="TOTAL:","VESSEL TARGET "&amp;'RAW DATA'!$E$2&amp;":",IF('RAW DATA'!$E18&lt;&gt;"",'RAW DATA'!$E18,"")))</f>
        <v/>
      </c>
      <c r="E18" s="4" t="str">
        <f>IF($D17="TOTAL:",FIXED(ROUND(((SUM($E$4:$E16)/'RAW DATA'!$E$2)*100),1),1)&amp;"%",IF($D18="TOTAL:",SUM($E$4:$E17),IF(SUMIF('RAW DATA'!M:M,'RAW DATA'!B18,'RAW DATA'!H:H)=0,"",SUMIF('RAW DATA'!M:M,'RAW DATA'!B18,'RAW DATA'!H:H))))</f>
        <v/>
      </c>
      <c r="F18" s="4" t="str">
        <f>IF($D17="TOTAL:",FIXED(ROUND(((SUM($F$4:$F16)/'RAW DATA'!$E$2)*100),1),1)&amp;"%",IF($D18="TOTAL:",SUM($F$4:$F17),IF(SUMIF('RAW DATA'!M:M,'RAW DATA'!B18,'RAW DATA'!I:I)=0,"",SUMIF('RAW DATA'!M:M,'RAW DATA'!B18,'RAW DATA'!I:I))))</f>
        <v/>
      </c>
      <c r="G18" s="24" t="str">
        <f t="shared" si="0"/>
        <v/>
      </c>
    </row>
    <row r="19" spans="2:7" x14ac:dyDescent="0.25">
      <c r="B19" s="1" t="str">
        <f>IF('RAW DATA'!$C19&lt;&gt;"",'RAW DATA'!$C19,"")</f>
        <v/>
      </c>
      <c r="C19" s="1" t="str">
        <f>IF('RAW DATA'!$D19&lt;&gt;"",'RAW DATA'!$D19,"")</f>
        <v/>
      </c>
      <c r="D19" s="1" t="str">
        <f>IF(AND($B18&lt;&gt;"", $B19=""), "TOTAL:", IF($D18="TOTAL:","VESSEL TARGET "&amp;'RAW DATA'!$E$2&amp;":",IF('RAW DATA'!$E19&lt;&gt;"",'RAW DATA'!$E19,"")))</f>
        <v/>
      </c>
      <c r="E19" s="4" t="str">
        <f>IF($D18="TOTAL:",FIXED(ROUND(((SUM($E$4:$E17)/'RAW DATA'!$E$2)*100),1),1)&amp;"%",IF($D19="TOTAL:",SUM($E$4:$E18),IF(SUMIF('RAW DATA'!M:M,'RAW DATA'!B19,'RAW DATA'!H:H)=0,"",SUMIF('RAW DATA'!M:M,'RAW DATA'!B19,'RAW DATA'!H:H))))</f>
        <v/>
      </c>
      <c r="F19" s="4" t="str">
        <f>IF($D18="TOTAL:",FIXED(ROUND(((SUM($F$4:$F17)/'RAW DATA'!$E$2)*100),1),1)&amp;"%",IF($D19="TOTAL:",SUM($F$4:$F18),IF(SUMIF('RAW DATA'!M:M,'RAW DATA'!B19,'RAW DATA'!I:I)=0,"",SUMIF('RAW DATA'!M:M,'RAW DATA'!B19,'RAW DATA'!I:I))))</f>
        <v/>
      </c>
      <c r="G19" s="24" t="str">
        <f t="shared" si="0"/>
        <v/>
      </c>
    </row>
    <row r="20" spans="2:7" x14ac:dyDescent="0.25">
      <c r="B20" s="1" t="str">
        <f>IF('RAW DATA'!$C20&lt;&gt;"",'RAW DATA'!$C20,"")</f>
        <v/>
      </c>
      <c r="C20" s="1" t="str">
        <f>IF('RAW DATA'!$D20&lt;&gt;"",'RAW DATA'!$D20,"")</f>
        <v/>
      </c>
      <c r="D20" s="1" t="str">
        <f>IF(AND($B19&lt;&gt;"", $B20=""), "TOTAL:", IF($D19="TOTAL:","VESSEL TARGET "&amp;'RAW DATA'!$E$2&amp;":",IF('RAW DATA'!$E20&lt;&gt;"",'RAW DATA'!$E20,"")))</f>
        <v/>
      </c>
      <c r="E20" s="4" t="str">
        <f>IF($D19="TOTAL:",FIXED(ROUND(((SUM($E$4:$E18)/'RAW DATA'!$E$2)*100),1),1)&amp;"%",IF($D20="TOTAL:",SUM($E$4:$E19),IF(SUMIF('RAW DATA'!M:M,'RAW DATA'!B20,'RAW DATA'!H:H)=0,"",SUMIF('RAW DATA'!M:M,'RAW DATA'!B20,'RAW DATA'!H:H))))</f>
        <v/>
      </c>
      <c r="F20" s="4" t="str">
        <f>IF($D19="TOTAL:",FIXED(ROUND(((SUM($F$4:$F18)/'RAW DATA'!$E$2)*100),1),1)&amp;"%",IF($D20="TOTAL:",SUM($F$4:$F19),IF(SUMIF('RAW DATA'!M:M,'RAW DATA'!B20,'RAW DATA'!I:I)=0,"",SUMIF('RAW DATA'!M:M,'RAW DATA'!B20,'RAW DATA'!I:I))))</f>
        <v/>
      </c>
      <c r="G20" s="24" t="str">
        <f t="shared" si="0"/>
        <v/>
      </c>
    </row>
    <row r="21" spans="2:7" x14ac:dyDescent="0.25">
      <c r="B21" s="1" t="str">
        <f>IF('RAW DATA'!$C21&lt;&gt;"",'RAW DATA'!$C21,"")</f>
        <v/>
      </c>
      <c r="C21" s="1" t="str">
        <f>IF('RAW DATA'!$D21&lt;&gt;"",'RAW DATA'!$D21,"")</f>
        <v/>
      </c>
      <c r="D21" s="1" t="str">
        <f>IF(AND($B20&lt;&gt;"", $B21=""), "TOTAL:", IF($D20="TOTAL:","VESSEL TARGET "&amp;'RAW DATA'!$E$2&amp;":",IF('RAW DATA'!$E21&lt;&gt;"",'RAW DATA'!$E21,"")))</f>
        <v/>
      </c>
      <c r="E21" s="4" t="str">
        <f>IF($D20="TOTAL:",FIXED(ROUND(((SUM($E$4:$E19)/'RAW DATA'!$E$2)*100),1),1)&amp;"%",IF($D21="TOTAL:",SUM($E$4:$E20),IF(SUMIF('RAW DATA'!M:M,'RAW DATA'!B21,'RAW DATA'!H:H)=0,"",SUMIF('RAW DATA'!M:M,'RAW DATA'!B21,'RAW DATA'!H:H))))</f>
        <v/>
      </c>
      <c r="F21" s="4" t="str">
        <f>IF($D20="TOTAL:",FIXED(ROUND(((SUM($F$4:$F19)/'RAW DATA'!$E$2)*100),1),1)&amp;"%",IF($D21="TOTAL:",SUM($F$4:$F20),IF(SUMIF('RAW DATA'!M:M,'RAW DATA'!B21,'RAW DATA'!I:I)=0,"",SUMIF('RAW DATA'!M:M,'RAW DATA'!B21,'RAW DATA'!I:I))))</f>
        <v/>
      </c>
      <c r="G21" s="24" t="str">
        <f t="shared" si="0"/>
        <v/>
      </c>
    </row>
    <row r="22" spans="2:7" x14ac:dyDescent="0.25">
      <c r="B22" s="1" t="str">
        <f>IF('RAW DATA'!$C22&lt;&gt;"",'RAW DATA'!$C22,"")</f>
        <v/>
      </c>
      <c r="C22" s="1" t="str">
        <f>IF('RAW DATA'!$D22&lt;&gt;"",'RAW DATA'!$D22,"")</f>
        <v/>
      </c>
      <c r="D22" s="1" t="str">
        <f>IF(AND($B21&lt;&gt;"", $B22=""), "TOTAL:", IF($D21="TOTAL:","VESSEL TARGET "&amp;'RAW DATA'!$E$2&amp;":",IF('RAW DATA'!$E22&lt;&gt;"",'RAW DATA'!$E22,"")))</f>
        <v/>
      </c>
      <c r="E22" s="4" t="str">
        <f>IF($D21="TOTAL:",FIXED(ROUND(((SUM($E$4:$E20)/'RAW DATA'!$E$2)*100),1),1)&amp;"%",IF($D22="TOTAL:",SUM($E$4:$E21),IF(SUMIF('RAW DATA'!M:M,'RAW DATA'!B22,'RAW DATA'!H:H)=0,"",SUMIF('RAW DATA'!M:M,'RAW DATA'!B22,'RAW DATA'!H:H))))</f>
        <v/>
      </c>
      <c r="F22" s="4" t="str">
        <f>IF($D21="TOTAL:",FIXED(ROUND(((SUM($F$4:$F20)/'RAW DATA'!$E$2)*100),1),1)&amp;"%",IF($D22="TOTAL:",SUM($F$4:$F21),IF(SUMIF('RAW DATA'!M:M,'RAW DATA'!B22,'RAW DATA'!I:I)=0,"",SUMIF('RAW DATA'!M:M,'RAW DATA'!B22,'RAW DATA'!I:I))))</f>
        <v/>
      </c>
      <c r="G22" s="24" t="str">
        <f t="shared" si="0"/>
        <v/>
      </c>
    </row>
    <row r="23" spans="2:7" ht="14.45" x14ac:dyDescent="0.3">
      <c r="B23" s="1" t="str">
        <f>IF('RAW DATA'!$C23&lt;&gt;"",'RAW DATA'!$C23,"")</f>
        <v/>
      </c>
      <c r="C23" s="1" t="str">
        <f>IF('RAW DATA'!$D23&lt;&gt;"",'RAW DATA'!$D23,"")</f>
        <v/>
      </c>
      <c r="D23" s="1" t="str">
        <f>IF(AND($B22&lt;&gt;"", $B23=""), "TOTAL:", IF($D22="TOTAL:","VESSEL TARGET "&amp;'RAW DATA'!$E$2&amp;":",IF('RAW DATA'!$E23&lt;&gt;"",'RAW DATA'!$E23,"")))</f>
        <v/>
      </c>
      <c r="E23" s="4" t="str">
        <f>IF($D22="TOTAL:",FIXED(ROUND(((SUM($E$4:$E21)/'RAW DATA'!$E$2)*100),1),1)&amp;"%",IF($D23="TOTAL:",SUM($E$4:$E22),IF(SUMIF('RAW DATA'!M:M,'RAW DATA'!B23,'RAW DATA'!H:H)=0,"",SUMIF('RAW DATA'!M:M,'RAW DATA'!B23,'RAW DATA'!H:H))))</f>
        <v/>
      </c>
      <c r="F23" s="4" t="str">
        <f>IF($D22="TOTAL:",FIXED(ROUND(((SUM($F$4:$F21)/'RAW DATA'!$E$2)*100),1),1)&amp;"%",IF($D23="TOTAL:",SUM($F$4:$F22),IF(SUMIF('RAW DATA'!M:M,'RAW DATA'!B23,'RAW DATA'!I:I)=0,"",SUMIF('RAW DATA'!M:M,'RAW DATA'!B23,'RAW DATA'!I:I))))</f>
        <v/>
      </c>
      <c r="G23" s="24" t="str">
        <f t="shared" si="0"/>
        <v/>
      </c>
    </row>
    <row r="24" spans="2:7" ht="14.45" x14ac:dyDescent="0.3">
      <c r="B24" s="1" t="str">
        <f>IF('RAW DATA'!$C24&lt;&gt;"",'RAW DATA'!$C24,"")</f>
        <v/>
      </c>
      <c r="C24" s="1" t="str">
        <f>IF('RAW DATA'!$D24&lt;&gt;"",'RAW DATA'!$D24,"")</f>
        <v/>
      </c>
      <c r="D24" s="1" t="str">
        <f>IF(AND($B23&lt;&gt;"", $B24=""), "TOTAL:", IF($D23="TOTAL:","VESSEL TARGET "&amp;'RAW DATA'!$E$2&amp;":",IF('RAW DATA'!$E24&lt;&gt;"",'RAW DATA'!$E24,"")))</f>
        <v/>
      </c>
      <c r="E24" s="4" t="str">
        <f>IF($D23="TOTAL:",FIXED(ROUND(((SUM($E$4:$E22)/'RAW DATA'!$E$2)*100),1),1)&amp;"%",IF($D24="TOTAL:",SUM($E$4:$E23),IF(SUMIF('RAW DATA'!M:M,'RAW DATA'!B24,'RAW DATA'!H:H)=0,"",SUMIF('RAW DATA'!M:M,'RAW DATA'!B24,'RAW DATA'!H:H))))</f>
        <v/>
      </c>
      <c r="F24" s="4" t="str">
        <f>IF($D23="TOTAL:",FIXED(ROUND(((SUM($F$4:$F22)/'RAW DATA'!$E$2)*100),1),1)&amp;"%",IF($D24="TOTAL:",SUM($F$4:$F23),IF(SUMIF('RAW DATA'!M:M,'RAW DATA'!B24,'RAW DATA'!I:I)=0,"",SUMIF('RAW DATA'!M:M,'RAW DATA'!B24,'RAW DATA'!I:I))))</f>
        <v/>
      </c>
      <c r="G24" s="24" t="str">
        <f t="shared" si="0"/>
        <v/>
      </c>
    </row>
    <row r="25" spans="2:7" ht="14.45" x14ac:dyDescent="0.3">
      <c r="B25" s="1" t="str">
        <f>IF('RAW DATA'!$C25&lt;&gt;"",'RAW DATA'!$C25,"")</f>
        <v/>
      </c>
      <c r="C25" s="1" t="str">
        <f>IF('RAW DATA'!$D25&lt;&gt;"",'RAW DATA'!$D25,"")</f>
        <v/>
      </c>
      <c r="D25" s="1" t="str">
        <f>IF(AND($B24&lt;&gt;"", $B25=""), "TOTAL:", IF($D24="TOTAL:","VESSEL TARGET "&amp;'RAW DATA'!$E$2&amp;":",IF('RAW DATA'!$E25&lt;&gt;"",'RAW DATA'!$E25,"")))</f>
        <v/>
      </c>
      <c r="E25" s="4" t="str">
        <f>IF($D24="TOTAL:",FIXED(ROUND(((SUM($E$4:$E23)/'RAW DATA'!$E$2)*100),1),1)&amp;"%",IF($D25="TOTAL:",SUM($E$4:$E24),IF(SUMIF('RAW DATA'!M:M,'RAW DATA'!B25,'RAW DATA'!H:H)=0,"",SUMIF('RAW DATA'!M:M,'RAW DATA'!B25,'RAW DATA'!H:H))))</f>
        <v/>
      </c>
      <c r="F25" s="4" t="str">
        <f>IF($D24="TOTAL:",FIXED(ROUND(((SUM($F$4:$F23)/'RAW DATA'!$E$2)*100),1),1)&amp;"%",IF($D25="TOTAL:",SUM($F$4:$F24),IF(SUMIF('RAW DATA'!M:M,'RAW DATA'!B25,'RAW DATA'!I:I)=0,"",SUMIF('RAW DATA'!M:M,'RAW DATA'!B25,'RAW DATA'!I:I))))</f>
        <v/>
      </c>
      <c r="G25" s="24" t="str">
        <f t="shared" si="0"/>
        <v/>
      </c>
    </row>
    <row r="26" spans="2:7" ht="14.45" x14ac:dyDescent="0.3">
      <c r="B26" s="1" t="str">
        <f>IF('RAW DATA'!$C26&lt;&gt;"",'RAW DATA'!$C26,"")</f>
        <v/>
      </c>
      <c r="C26" s="1" t="str">
        <f>IF('RAW DATA'!$D26&lt;&gt;"",'RAW DATA'!$D26,"")</f>
        <v/>
      </c>
      <c r="D26" s="1" t="str">
        <f>IF(AND($B25&lt;&gt;"", $B26=""), "TOTAL:", IF($D25="TOTAL:","VESSEL TARGET "&amp;'RAW DATA'!$E$2&amp;":",IF('RAW DATA'!$E26&lt;&gt;"",'RAW DATA'!$E26,"")))</f>
        <v/>
      </c>
      <c r="E26" s="4" t="str">
        <f>IF($D25="TOTAL:",FIXED(ROUND(((SUM($E$4:$E24)/'RAW DATA'!$E$2)*100),1),1)&amp;"%",IF($D26="TOTAL:",SUM($E$4:$E25),IF(SUMIF('RAW DATA'!M:M,'RAW DATA'!B26,'RAW DATA'!H:H)=0,"",SUMIF('RAW DATA'!M:M,'RAW DATA'!B26,'RAW DATA'!H:H))))</f>
        <v/>
      </c>
      <c r="F26" s="4" t="str">
        <f>IF($D25="TOTAL:",FIXED(ROUND(((SUM($F$4:$F24)/'RAW DATA'!$E$2)*100),1),1)&amp;"%",IF($D26="TOTAL:",SUM($F$4:$F25),IF(SUMIF('RAW DATA'!M:M,'RAW DATA'!B26,'RAW DATA'!I:I)=0,"",SUMIF('RAW DATA'!M:M,'RAW DATA'!B26,'RAW DATA'!I:I))))</f>
        <v/>
      </c>
      <c r="G26" s="24" t="str">
        <f t="shared" si="0"/>
        <v/>
      </c>
    </row>
    <row r="27" spans="2:7" ht="14.45" x14ac:dyDescent="0.3">
      <c r="B27" s="1" t="str">
        <f>IF('RAW DATA'!$C27&lt;&gt;"",'RAW DATA'!$C27,"")</f>
        <v/>
      </c>
      <c r="C27" s="1" t="str">
        <f>IF('RAW DATA'!$D27&lt;&gt;"",'RAW DATA'!$D27,"")</f>
        <v/>
      </c>
      <c r="D27" s="1" t="str">
        <f>IF(AND($B26&lt;&gt;"", $B27=""), "TOTAL:", IF($D26="TOTAL:","VESSEL TARGET "&amp;'RAW DATA'!$E$2&amp;":",IF('RAW DATA'!$E27&lt;&gt;"",'RAW DATA'!$E27,"")))</f>
        <v/>
      </c>
      <c r="E27" s="4" t="str">
        <f>IF($D26="TOTAL:",FIXED(ROUND(((SUM($E$4:$E25)/'RAW DATA'!$E$2)*100),1),1)&amp;"%",IF($D27="TOTAL:",SUM($E$4:$E26),IF(SUMIF('RAW DATA'!M:M,'RAW DATA'!B27,'RAW DATA'!H:H)=0,"",SUMIF('RAW DATA'!M:M,'RAW DATA'!B27,'RAW DATA'!H:H))))</f>
        <v/>
      </c>
      <c r="F27" s="4" t="str">
        <f>IF($D26="TOTAL:",FIXED(ROUND(((SUM($F$4:$F25)/'RAW DATA'!$E$2)*100),1),1)&amp;"%",IF($D27="TOTAL:",SUM($F$4:$F26),IF(SUMIF('RAW DATA'!M:M,'RAW DATA'!B27,'RAW DATA'!I:I)=0,"",SUMIF('RAW DATA'!M:M,'RAW DATA'!B27,'RAW DATA'!I:I))))</f>
        <v/>
      </c>
      <c r="G27" s="24" t="str">
        <f t="shared" si="0"/>
        <v/>
      </c>
    </row>
    <row r="28" spans="2:7" ht="14.45" x14ac:dyDescent="0.3">
      <c r="B28" s="1" t="str">
        <f>IF('RAW DATA'!$C28&lt;&gt;"",'RAW DATA'!$C28,"")</f>
        <v/>
      </c>
      <c r="C28" s="1" t="str">
        <f>IF('RAW DATA'!$D28&lt;&gt;"",'RAW DATA'!$D28,"")</f>
        <v/>
      </c>
      <c r="D28" s="1" t="str">
        <f>IF(AND($B27&lt;&gt;"", $B28=""), "TOTAL:", IF($D27="TOTAL:","VESSEL TARGET "&amp;'RAW DATA'!$E$2&amp;":",IF('RAW DATA'!$E28&lt;&gt;"",'RAW DATA'!$E28,"")))</f>
        <v/>
      </c>
      <c r="E28" s="4" t="str">
        <f>IF($D27="TOTAL:",FIXED(ROUND(((SUM($E$4:$E26)/'RAW DATA'!$E$2)*100),1),1)&amp;"%",IF($D28="TOTAL:",SUM($E$4:$E27),IF(SUMIF('RAW DATA'!M:M,'RAW DATA'!B28,'RAW DATA'!H:H)=0,"",SUMIF('RAW DATA'!M:M,'RAW DATA'!B28,'RAW DATA'!H:H))))</f>
        <v/>
      </c>
      <c r="F28" s="4" t="str">
        <f>IF($D27="TOTAL:",FIXED(ROUND(((SUM($F$4:$F26)/'RAW DATA'!$E$2)*100),1),1)&amp;"%",IF($D28="TOTAL:",SUM($F$4:$F27),IF(SUMIF('RAW DATA'!M:M,'RAW DATA'!B28,'RAW DATA'!I:I)=0,"",SUMIF('RAW DATA'!M:M,'RAW DATA'!B28,'RAW DATA'!I:I))))</f>
        <v/>
      </c>
      <c r="G28" s="24" t="str">
        <f t="shared" si="0"/>
        <v/>
      </c>
    </row>
    <row r="29" spans="2:7" ht="14.45" x14ac:dyDescent="0.3">
      <c r="B29" s="1" t="str">
        <f>IF('RAW DATA'!$C29&lt;&gt;"",'RAW DATA'!$C29,"")</f>
        <v/>
      </c>
      <c r="C29" s="1" t="str">
        <f>IF('RAW DATA'!$D29&lt;&gt;"",'RAW DATA'!$D29,"")</f>
        <v/>
      </c>
      <c r="D29" s="1" t="str">
        <f>IF(AND($B28&lt;&gt;"", $B29=""), "TOTAL:", IF($D28="TOTAL:","VESSEL TARGET "&amp;'RAW DATA'!$E$2&amp;":",IF('RAW DATA'!$E29&lt;&gt;"",'RAW DATA'!$E29,"")))</f>
        <v/>
      </c>
      <c r="E29" s="4" t="str">
        <f>IF($D28="TOTAL:",FIXED(ROUND(((SUM($E$4:$E27)/'RAW DATA'!$E$2)*100),1),1)&amp;"%",IF($D29="TOTAL:",SUM($E$4:$E28),IF(SUMIF('RAW DATA'!M:M,'RAW DATA'!B29,'RAW DATA'!H:H)=0,"",SUMIF('RAW DATA'!M:M,'RAW DATA'!B29,'RAW DATA'!H:H))))</f>
        <v/>
      </c>
      <c r="F29" s="4" t="str">
        <f>IF($D28="TOTAL:",FIXED(ROUND(((SUM($F$4:$F27)/'RAW DATA'!$E$2)*100),1),1)&amp;"%",IF($D29="TOTAL:",SUM($F$4:$F28),IF(SUMIF('RAW DATA'!M:M,'RAW DATA'!B29,'RAW DATA'!I:I)=0,"",SUMIF('RAW DATA'!M:M,'RAW DATA'!B29,'RAW DATA'!I:I))))</f>
        <v/>
      </c>
      <c r="G29" s="24" t="str">
        <f t="shared" si="0"/>
        <v/>
      </c>
    </row>
    <row r="30" spans="2:7" ht="14.45" x14ac:dyDescent="0.3">
      <c r="B30" s="1" t="str">
        <f>IF('RAW DATA'!$C30&lt;&gt;"",'RAW DATA'!$C30,"")</f>
        <v/>
      </c>
      <c r="C30" s="1" t="str">
        <f>IF('RAW DATA'!$D30&lt;&gt;"",'RAW DATA'!$D30,"")</f>
        <v/>
      </c>
      <c r="D30" s="1" t="str">
        <f>IF(AND($B29&lt;&gt;"", $B30=""), "TOTAL:", IF($D29="TOTAL:","VESSEL TARGET "&amp;'RAW DATA'!$E$2&amp;":",IF('RAW DATA'!$E30&lt;&gt;"",'RAW DATA'!$E30,"")))</f>
        <v/>
      </c>
      <c r="E30" s="4" t="str">
        <f>IF($D29="TOTAL:",FIXED(ROUND(((SUM($E$4:$E28)/'RAW DATA'!$E$2)*100),1),1)&amp;"%",IF($D30="TOTAL:",SUM($E$4:$E29),IF(SUMIF('RAW DATA'!M:M,'RAW DATA'!B30,'RAW DATA'!H:H)=0,"",SUMIF('RAW DATA'!M:M,'RAW DATA'!B30,'RAW DATA'!H:H))))</f>
        <v/>
      </c>
      <c r="F30" s="4" t="str">
        <f>IF($D29="TOTAL:",FIXED(ROUND(((SUM($F$4:$F28)/'RAW DATA'!$E$2)*100),1),1)&amp;"%",IF($D30="TOTAL:",SUM($F$4:$F29),IF(SUMIF('RAW DATA'!M:M,'RAW DATA'!B30,'RAW DATA'!I:I)=0,"",SUMIF('RAW DATA'!M:M,'RAW DATA'!B30,'RAW DATA'!I:I))))</f>
        <v/>
      </c>
      <c r="G30" s="24" t="str">
        <f t="shared" si="0"/>
        <v/>
      </c>
    </row>
    <row r="31" spans="2:7" ht="14.45" x14ac:dyDescent="0.3">
      <c r="B31" s="1" t="str">
        <f>IF('RAW DATA'!$C31&lt;&gt;"",'RAW DATA'!$C31,"")</f>
        <v/>
      </c>
      <c r="C31" s="1" t="str">
        <f>IF('RAW DATA'!$D31&lt;&gt;"",'RAW DATA'!$D31,"")</f>
        <v/>
      </c>
      <c r="D31" s="1" t="str">
        <f>IF(AND($B30&lt;&gt;"", $B31=""), "TOTAL:", IF($D30="TOTAL:","VESSEL TARGET "&amp;'RAW DATA'!$E$2&amp;":",IF('RAW DATA'!$E31&lt;&gt;"",'RAW DATA'!$E31,"")))</f>
        <v/>
      </c>
      <c r="E31" s="4" t="str">
        <f>IF($D30="TOTAL:",FIXED(ROUND(((SUM($E$4:$E29)/'RAW DATA'!$E$2)*100),1),1)&amp;"%",IF($D31="TOTAL:",SUM($E$4:$E30),IF(SUMIF('RAW DATA'!M:M,'RAW DATA'!B31,'RAW DATA'!H:H)=0,"",SUMIF('RAW DATA'!M:M,'RAW DATA'!B31,'RAW DATA'!H:H))))</f>
        <v/>
      </c>
      <c r="F31" s="4" t="str">
        <f>IF($D30="TOTAL:",FIXED(ROUND(((SUM($F$4:$F29)/'RAW DATA'!$E$2)*100),1),1)&amp;"%",IF($D31="TOTAL:",SUM($F$4:$F30),IF(SUMIF('RAW DATA'!M:M,'RAW DATA'!B31,'RAW DATA'!I:I)=0,"",SUMIF('RAW DATA'!M:M,'RAW DATA'!B31,'RAW DATA'!I:I))))</f>
        <v/>
      </c>
      <c r="G31" s="24" t="str">
        <f t="shared" si="0"/>
        <v/>
      </c>
    </row>
    <row r="32" spans="2:7" ht="14.45" x14ac:dyDescent="0.3">
      <c r="B32" s="1" t="str">
        <f>IF('RAW DATA'!$C32&lt;&gt;"",'RAW DATA'!$C32,"")</f>
        <v/>
      </c>
      <c r="C32" s="1" t="str">
        <f>IF('RAW DATA'!$D32&lt;&gt;"",'RAW DATA'!$D32,"")</f>
        <v/>
      </c>
      <c r="D32" s="1" t="str">
        <f>IF(AND($B31&lt;&gt;"", $B32=""), "TOTAL:", IF($D31="TOTAL:","VESSEL TARGET "&amp;'RAW DATA'!$E$2&amp;":",IF('RAW DATA'!$E32&lt;&gt;"",'RAW DATA'!$E32,"")))</f>
        <v/>
      </c>
      <c r="E32" s="4" t="str">
        <f>IF($D31="TOTAL:",FIXED(ROUND(((SUM($E$4:$E30)/'RAW DATA'!$E$2)*100),1),1)&amp;"%",IF($D32="TOTAL:",SUM($E$4:$E31),IF(SUMIF('RAW DATA'!M:M,'RAW DATA'!B32,'RAW DATA'!H:H)=0,"",SUMIF('RAW DATA'!M:M,'RAW DATA'!B32,'RAW DATA'!H:H))))</f>
        <v/>
      </c>
      <c r="F32" s="4" t="str">
        <f>IF($D31="TOTAL:",FIXED(ROUND(((SUM($F$4:$F30)/'RAW DATA'!$E$2)*100),1),1)&amp;"%",IF($D32="TOTAL:",SUM($F$4:$F31),IF(SUMIF('RAW DATA'!M:M,'RAW DATA'!B32,'RAW DATA'!I:I)=0,"",SUMIF('RAW DATA'!M:M,'RAW DATA'!B32,'RAW DATA'!I:I))))</f>
        <v/>
      </c>
      <c r="G32" s="24" t="str">
        <f t="shared" si="0"/>
        <v/>
      </c>
    </row>
    <row r="33" spans="2:7" ht="14.45" x14ac:dyDescent="0.3">
      <c r="B33" s="1" t="str">
        <f>IF('RAW DATA'!$C33&lt;&gt;"",'RAW DATA'!$C33,"")</f>
        <v/>
      </c>
      <c r="C33" s="1" t="str">
        <f>IF('RAW DATA'!$D33&lt;&gt;"",'RAW DATA'!$D33,"")</f>
        <v/>
      </c>
      <c r="D33" s="1" t="str">
        <f>IF(AND($B32&lt;&gt;"", $B33=""), "TOTAL:", IF($D32="TOTAL:","VESSEL TARGET "&amp;'RAW DATA'!$E$2&amp;":",IF('RAW DATA'!$E33&lt;&gt;"",'RAW DATA'!$E33,"")))</f>
        <v/>
      </c>
      <c r="E33" s="4" t="str">
        <f>IF($D32="TOTAL:",FIXED(ROUND(((SUM($E$4:$E31)/'RAW DATA'!$E$2)*100),1),1)&amp;"%",IF($D33="TOTAL:",SUM($E$4:$E32),IF(SUMIF('RAW DATA'!M:M,'RAW DATA'!B33,'RAW DATA'!H:H)=0,"",SUMIF('RAW DATA'!M:M,'RAW DATA'!B33,'RAW DATA'!H:H))))</f>
        <v/>
      </c>
      <c r="F33" s="4" t="str">
        <f>IF($D32="TOTAL:",FIXED(ROUND(((SUM($F$4:$F31)/'RAW DATA'!$E$2)*100),1),1)&amp;"%",IF($D33="TOTAL:",SUM($F$4:$F32),IF(SUMIF('RAW DATA'!M:M,'RAW DATA'!B33,'RAW DATA'!I:I)=0,"",SUMIF('RAW DATA'!M:M,'RAW DATA'!B33,'RAW DATA'!I:I))))</f>
        <v/>
      </c>
      <c r="G33" s="24" t="str">
        <f t="shared" si="0"/>
        <v/>
      </c>
    </row>
    <row r="34" spans="2:7" ht="14.45" x14ac:dyDescent="0.3">
      <c r="B34" s="1" t="str">
        <f>IF('RAW DATA'!$C34&lt;&gt;"",'RAW DATA'!$C34,"")</f>
        <v/>
      </c>
      <c r="C34" s="1" t="str">
        <f>IF('RAW DATA'!$D34&lt;&gt;"",'RAW DATA'!$D34,"")</f>
        <v/>
      </c>
      <c r="D34" s="1" t="str">
        <f>IF(AND($B33&lt;&gt;"", $B34=""), "TOTAL:", IF($D33="TOTAL:","VESSEL TARGET "&amp;'RAW DATA'!$E$2&amp;":",IF('RAW DATA'!$E34&lt;&gt;"",'RAW DATA'!$E34,"")))</f>
        <v/>
      </c>
      <c r="E34" s="4" t="str">
        <f>IF($D33="TOTAL:",FIXED(ROUND(((SUM($E$4:$E32)/'RAW DATA'!$E$2)*100),1),1)&amp;"%",IF($D34="TOTAL:",SUM($E$4:$E33),IF(SUMIF('RAW DATA'!M:M,'RAW DATA'!B34,'RAW DATA'!H:H)=0,"",SUMIF('RAW DATA'!M:M,'RAW DATA'!B34,'RAW DATA'!H:H))))</f>
        <v/>
      </c>
      <c r="F34" s="4" t="str">
        <f>IF($D33="TOTAL:",FIXED(ROUND(((SUM($F$4:$F32)/'RAW DATA'!$E$2)*100),1),1)&amp;"%",IF($D34="TOTAL:",SUM($F$4:$F33),IF(SUMIF('RAW DATA'!M:M,'RAW DATA'!B34,'RAW DATA'!I:I)=0,"",SUMIF('RAW DATA'!M:M,'RAW DATA'!B34,'RAW DATA'!I:I))))</f>
        <v/>
      </c>
      <c r="G34" s="24" t="str">
        <f t="shared" si="0"/>
        <v/>
      </c>
    </row>
    <row r="35" spans="2:7" ht="14.45" x14ac:dyDescent="0.3">
      <c r="B35" s="1" t="str">
        <f>IF('RAW DATA'!$C35&lt;&gt;"",'RAW DATA'!$C35,"")</f>
        <v/>
      </c>
      <c r="C35" s="1" t="str">
        <f>IF('RAW DATA'!$D35&lt;&gt;"",'RAW DATA'!$D35,"")</f>
        <v/>
      </c>
      <c r="D35" s="1" t="str">
        <f>IF(AND($B34&lt;&gt;"", $B35=""), "TOTAL:", IF($D34="TOTAL:","VESSEL TARGET "&amp;'RAW DATA'!$E$2&amp;":",IF('RAW DATA'!$E35&lt;&gt;"",'RAW DATA'!$E35,"")))</f>
        <v/>
      </c>
      <c r="E35" s="4" t="str">
        <f>IF($D34="TOTAL:",FIXED(ROUND(((SUM($E$4:$E33)/'RAW DATA'!$E$2)*100),1),1)&amp;"%",IF($D35="TOTAL:",SUM($E$4:$E34),IF(SUMIF('RAW DATA'!M:M,'RAW DATA'!B35,'RAW DATA'!H:H)=0,"",SUMIF('RAW DATA'!M:M,'RAW DATA'!B35,'RAW DATA'!H:H))))</f>
        <v/>
      </c>
      <c r="F35" s="4" t="str">
        <f>IF($D34="TOTAL:",FIXED(ROUND(((SUM($F$4:$F33)/'RAW DATA'!$E$2)*100),1),1)&amp;"%",IF($D35="TOTAL:",SUM($F$4:$F34),IF(SUMIF('RAW DATA'!M:M,'RAW DATA'!B35,'RAW DATA'!I:I)=0,"",SUMIF('RAW DATA'!M:M,'RAW DATA'!B35,'RAW DATA'!I:I))))</f>
        <v/>
      </c>
      <c r="G35" s="24" t="str">
        <f t="shared" si="0"/>
        <v/>
      </c>
    </row>
    <row r="36" spans="2:7" ht="14.45" x14ac:dyDescent="0.3">
      <c r="B36" s="1" t="str">
        <f>IF('RAW DATA'!$C36&lt;&gt;"",'RAW DATA'!$C36,"")</f>
        <v/>
      </c>
      <c r="C36" s="1" t="str">
        <f>IF('RAW DATA'!$D36&lt;&gt;"",'RAW DATA'!$D36,"")</f>
        <v/>
      </c>
      <c r="D36" s="1" t="str">
        <f>IF(AND($B35&lt;&gt;"", $B36=""), "TOTAL:", IF($D35="TOTAL:","VESSEL TARGET "&amp;'RAW DATA'!$E$2&amp;":",IF('RAW DATA'!$E36&lt;&gt;"",'RAW DATA'!$E36,"")))</f>
        <v/>
      </c>
      <c r="E36" s="4" t="str">
        <f>IF($D35="TOTAL:",FIXED(ROUND(((SUM($E$4:$E34)/'RAW DATA'!$E$2)*100),1),1)&amp;"%",IF($D36="TOTAL:",SUM($E$4:$E35),IF(SUMIF('RAW DATA'!M:M,'RAW DATA'!B36,'RAW DATA'!H:H)=0,"",SUMIF('RAW DATA'!M:M,'RAW DATA'!B36,'RAW DATA'!H:H))))</f>
        <v/>
      </c>
      <c r="F36" s="4" t="str">
        <f>IF($D35="TOTAL:",FIXED(ROUND(((SUM($F$4:$F34)/'RAW DATA'!$E$2)*100),1),1)&amp;"%",IF($D36="TOTAL:",SUM($F$4:$F35),IF(SUMIF('RAW DATA'!M:M,'RAW DATA'!B36,'RAW DATA'!I:I)=0,"",SUMIF('RAW DATA'!M:M,'RAW DATA'!B36,'RAW DATA'!I:I))))</f>
        <v/>
      </c>
      <c r="G36" s="24" t="str">
        <f t="shared" si="0"/>
        <v/>
      </c>
    </row>
    <row r="37" spans="2:7" ht="14.45" x14ac:dyDescent="0.3">
      <c r="B37" s="1" t="str">
        <f>IF('RAW DATA'!$C37&lt;&gt;"",'RAW DATA'!$C37,"")</f>
        <v/>
      </c>
      <c r="C37" s="1" t="str">
        <f>IF('RAW DATA'!$D37&lt;&gt;"",'RAW DATA'!$D37,"")</f>
        <v/>
      </c>
      <c r="D37" s="1" t="str">
        <f>IF(AND($B36&lt;&gt;"", $B37=""), "TOTAL:", IF($D36="TOTAL:","VESSEL TARGET "&amp;'RAW DATA'!$E$2&amp;":",IF('RAW DATA'!$E37&lt;&gt;"",'RAW DATA'!$E37,"")))</f>
        <v/>
      </c>
      <c r="E37" s="4" t="str">
        <f>IF($D36="TOTAL:",FIXED(ROUND(((SUM($E$4:$E35)/'RAW DATA'!$E$2)*100),1),1)&amp;"%",IF($D37="TOTAL:",SUM($E$4:$E36),IF(SUMIF('RAW DATA'!M:M,'RAW DATA'!B37,'RAW DATA'!H:H)=0,"",SUMIF('RAW DATA'!M:M,'RAW DATA'!B37,'RAW DATA'!H:H))))</f>
        <v/>
      </c>
      <c r="F37" s="4" t="str">
        <f>IF($D36="TOTAL:",FIXED(ROUND(((SUM($F$4:$F35)/'RAW DATA'!$E$2)*100),1),1)&amp;"%",IF($D37="TOTAL:",SUM($F$4:$F36),IF(SUMIF('RAW DATA'!M:M,'RAW DATA'!B37,'RAW DATA'!I:I)=0,"",SUMIF('RAW DATA'!M:M,'RAW DATA'!B37,'RAW DATA'!I:I))))</f>
        <v/>
      </c>
      <c r="G37" s="24" t="str">
        <f t="shared" si="0"/>
        <v/>
      </c>
    </row>
    <row r="38" spans="2:7" ht="14.45" x14ac:dyDescent="0.3">
      <c r="B38" s="1" t="str">
        <f>IF('RAW DATA'!$C38&lt;&gt;"",'RAW DATA'!$C38,"")</f>
        <v/>
      </c>
      <c r="C38" s="1" t="str">
        <f>IF('RAW DATA'!$D38&lt;&gt;"",'RAW DATA'!$D38,"")</f>
        <v/>
      </c>
      <c r="D38" s="1" t="str">
        <f>IF(AND($B37&lt;&gt;"", $B38=""), "TOTAL:", IF($D37="TOTAL:","VESSEL TARGET "&amp;'RAW DATA'!$E$2&amp;":",IF('RAW DATA'!$E38&lt;&gt;"",'RAW DATA'!$E38,"")))</f>
        <v/>
      </c>
      <c r="E38" s="4" t="str">
        <f>IF($D37="TOTAL:",FIXED(ROUND(((SUM($E$4:$E36)/'RAW DATA'!$E$2)*100),1),1)&amp;"%",IF($D38="TOTAL:",SUM($E$4:$E37),IF(SUMIF('RAW DATA'!M:M,'RAW DATA'!B38,'RAW DATA'!H:H)=0,"",SUMIF('RAW DATA'!M:M,'RAW DATA'!B38,'RAW DATA'!H:H))))</f>
        <v/>
      </c>
      <c r="F38" s="4" t="str">
        <f>IF($D37="TOTAL:",FIXED(ROUND(((SUM($F$4:$F36)/'RAW DATA'!$E$2)*100),1),1)&amp;"%",IF($D38="TOTAL:",SUM($F$4:$F37),IF(SUMIF('RAW DATA'!M:M,'RAW DATA'!B38,'RAW DATA'!I:I)=0,"",SUMIF('RAW DATA'!M:M,'RAW DATA'!B38,'RAW DATA'!I:I))))</f>
        <v/>
      </c>
      <c r="G38" s="24" t="str">
        <f t="shared" si="0"/>
        <v/>
      </c>
    </row>
    <row r="39" spans="2:7" ht="14.45" x14ac:dyDescent="0.3">
      <c r="B39" s="1" t="str">
        <f>IF('RAW DATA'!$C39&lt;&gt;"",'RAW DATA'!$C39,"")</f>
        <v/>
      </c>
      <c r="C39" s="1" t="str">
        <f>IF('RAW DATA'!$D39&lt;&gt;"",'RAW DATA'!$D39,"")</f>
        <v/>
      </c>
      <c r="D39" s="1" t="str">
        <f>IF(AND($B38&lt;&gt;"", $B39=""), "TOTAL:", IF($D38="TOTAL:","VESSEL TARGET "&amp;'RAW DATA'!$E$2&amp;":",IF('RAW DATA'!$E39&lt;&gt;"",'RAW DATA'!$E39,"")))</f>
        <v/>
      </c>
      <c r="E39" s="4" t="str">
        <f>IF($D38="TOTAL:",FIXED(ROUND(((SUM($E$4:$E37)/'RAW DATA'!$E$2)*100),1),1)&amp;"%",IF($D39="TOTAL:",SUM($E$4:$E38),IF(SUMIF('RAW DATA'!M:M,'RAW DATA'!B39,'RAW DATA'!H:H)=0,"",SUMIF('RAW DATA'!M:M,'RAW DATA'!B39,'RAW DATA'!H:H))))</f>
        <v/>
      </c>
      <c r="F39" s="4" t="str">
        <f>IF($D38="TOTAL:",FIXED(ROUND(((SUM($F$4:$F37)/'RAW DATA'!$E$2)*100),1),1)&amp;"%",IF($D39="TOTAL:",SUM($F$4:$F38),IF(SUMIF('RAW DATA'!M:M,'RAW DATA'!B39,'RAW DATA'!I:I)=0,"",SUMIF('RAW DATA'!M:M,'RAW DATA'!B39,'RAW DATA'!I:I))))</f>
        <v/>
      </c>
      <c r="G39" s="24" t="str">
        <f t="shared" si="0"/>
        <v/>
      </c>
    </row>
    <row r="40" spans="2:7" ht="14.45" x14ac:dyDescent="0.3">
      <c r="B40" s="1" t="str">
        <f>IF('RAW DATA'!$C40&lt;&gt;"",'RAW DATA'!$C40,"")</f>
        <v/>
      </c>
      <c r="C40" s="1" t="str">
        <f>IF('RAW DATA'!$D40&lt;&gt;"",'RAW DATA'!$D40,"")</f>
        <v/>
      </c>
      <c r="D40" s="1" t="str">
        <f>IF(AND($B39&lt;&gt;"", $B40=""), "TOTAL:", IF($D39="TOTAL:","VESSEL TARGET "&amp;'RAW DATA'!$E$2&amp;":",IF('RAW DATA'!$E40&lt;&gt;"",'RAW DATA'!$E40,"")))</f>
        <v/>
      </c>
      <c r="E40" s="4" t="str">
        <f>IF($D39="TOTAL:",FIXED(ROUND(((SUM($E$4:$E38)/'RAW DATA'!$E$2)*100),1),1)&amp;"%",IF($D40="TOTAL:",SUM($E$4:$E39),IF(SUMIF('RAW DATA'!M:M,'RAW DATA'!B40,'RAW DATA'!H:H)=0,"",SUMIF('RAW DATA'!M:M,'RAW DATA'!B40,'RAW DATA'!H:H))))</f>
        <v/>
      </c>
      <c r="F40" s="4" t="str">
        <f>IF($D39="TOTAL:",FIXED(ROUND(((SUM($F$4:$F38)/'RAW DATA'!$E$2)*100),1),1)&amp;"%",IF($D40="TOTAL:",SUM($F$4:$F39),IF(SUMIF('RAW DATA'!M:M,'RAW DATA'!B40,'RAW DATA'!I:I)=0,"",SUMIF('RAW DATA'!M:M,'RAW DATA'!B40,'RAW DATA'!I:I))))</f>
        <v/>
      </c>
      <c r="G40" s="24" t="str">
        <f t="shared" si="0"/>
        <v/>
      </c>
    </row>
    <row r="41" spans="2:7" ht="14.45" x14ac:dyDescent="0.3">
      <c r="B41" s="1" t="str">
        <f>IF('RAW DATA'!$C41&lt;&gt;"",'RAW DATA'!$C41,"")</f>
        <v/>
      </c>
      <c r="C41" s="1" t="str">
        <f>IF('RAW DATA'!$D41&lt;&gt;"",'RAW DATA'!$D41,"")</f>
        <v/>
      </c>
      <c r="D41" s="1" t="str">
        <f>IF(AND($B40&lt;&gt;"", $B41=""), "TOTAL:", IF($D40="TOTAL:","VESSEL TARGET "&amp;'RAW DATA'!$E$2&amp;":",IF('RAW DATA'!$E41&lt;&gt;"",'RAW DATA'!$E41,"")))</f>
        <v/>
      </c>
      <c r="E41" s="4" t="str">
        <f>IF($D40="TOTAL:",FIXED(ROUND(((SUM($E$4:$E39)/'RAW DATA'!$E$2)*100),1),1)&amp;"%",IF($D41="TOTAL:",SUM($E$4:$E40),IF(SUMIF('RAW DATA'!M:M,'RAW DATA'!B41,'RAW DATA'!H:H)=0,"",SUMIF('RAW DATA'!M:M,'RAW DATA'!B41,'RAW DATA'!H:H))))</f>
        <v/>
      </c>
      <c r="F41" s="4" t="str">
        <f>IF($D40="TOTAL:",FIXED(ROUND(((SUM($F$4:$F39)/'RAW DATA'!$E$2)*100),1),1)&amp;"%",IF($D41="TOTAL:",SUM($F$4:$F40),IF(SUMIF('RAW DATA'!M:M,'RAW DATA'!B41,'RAW DATA'!I:I)=0,"",SUMIF('RAW DATA'!M:M,'RAW DATA'!B41,'RAW DATA'!I:I))))</f>
        <v/>
      </c>
      <c r="G41" s="24" t="str">
        <f t="shared" si="0"/>
        <v/>
      </c>
    </row>
    <row r="42" spans="2:7" ht="14.45" x14ac:dyDescent="0.3">
      <c r="B42" s="1" t="str">
        <f>IF('RAW DATA'!$C42&lt;&gt;"",'RAW DATA'!$C42,"")</f>
        <v/>
      </c>
      <c r="C42" s="1" t="str">
        <f>IF('RAW DATA'!$D42&lt;&gt;"",'RAW DATA'!$D42,"")</f>
        <v/>
      </c>
      <c r="D42" s="1" t="str">
        <f>IF(AND($B41&lt;&gt;"", $B42=""), "TOTAL:", IF($D41="TOTAL:","VESSEL TARGET "&amp;'RAW DATA'!$E$2&amp;":",IF('RAW DATA'!$E42&lt;&gt;"",'RAW DATA'!$E42,"")))</f>
        <v/>
      </c>
      <c r="E42" s="4" t="str">
        <f>IF($D41="TOTAL:",FIXED(ROUND(((SUM($E$4:$E40)/'RAW DATA'!$E$2)*100),1),1)&amp;"%",IF($D42="TOTAL:",SUM($E$4:$E41),IF(SUMIF('RAW DATA'!M:M,'RAW DATA'!B42,'RAW DATA'!H:H)=0,"",SUMIF('RAW DATA'!M:M,'RAW DATA'!B42,'RAW DATA'!H:H))))</f>
        <v/>
      </c>
      <c r="F42" s="4" t="str">
        <f>IF($D41="TOTAL:",FIXED(ROUND(((SUM($F$4:$F40)/'RAW DATA'!$E$2)*100),1),1)&amp;"%",IF($D42="TOTAL:",SUM($F$4:$F41),IF(SUMIF('RAW DATA'!M:M,'RAW DATA'!B42,'RAW DATA'!I:I)=0,"",SUMIF('RAW DATA'!M:M,'RAW DATA'!B42,'RAW DATA'!I:I))))</f>
        <v/>
      </c>
      <c r="G42" s="24" t="str">
        <f t="shared" si="0"/>
        <v/>
      </c>
    </row>
    <row r="43" spans="2:7" ht="14.45" x14ac:dyDescent="0.3">
      <c r="B43" s="1" t="str">
        <f>IF('RAW DATA'!$C43&lt;&gt;"",'RAW DATA'!$C43,"")</f>
        <v/>
      </c>
      <c r="C43" s="1" t="str">
        <f>IF('RAW DATA'!$D43&lt;&gt;"",'RAW DATA'!$D43,"")</f>
        <v/>
      </c>
      <c r="D43" s="1" t="str">
        <f>IF(AND($B42&lt;&gt;"", $B43=""), "TOTAL:", IF($D42="TOTAL:","VESSEL TARGET "&amp;'RAW DATA'!$E$2&amp;":",IF('RAW DATA'!$E43&lt;&gt;"",'RAW DATA'!$E43,"")))</f>
        <v/>
      </c>
      <c r="E43" s="4" t="str">
        <f>IF($D42="TOTAL:",FIXED(ROUND(((SUM($E$4:$E41)/'RAW DATA'!$E$2)*100),1),1)&amp;"%",IF($D43="TOTAL:",SUM($E$4:$E42),IF(SUMIF('RAW DATA'!M:M,'RAW DATA'!B43,'RAW DATA'!H:H)=0,"",SUMIF('RAW DATA'!M:M,'RAW DATA'!B43,'RAW DATA'!H:H))))</f>
        <v/>
      </c>
      <c r="F43" s="4" t="str">
        <f>IF($D42="TOTAL:",FIXED(ROUND(((SUM($F$4:$F41)/'RAW DATA'!$E$2)*100),1),1)&amp;"%",IF($D43="TOTAL:",SUM($F$4:$F42),IF(SUMIF('RAW DATA'!M:M,'RAW DATA'!B43,'RAW DATA'!I:I)=0,"",SUMIF('RAW DATA'!M:M,'RAW DATA'!B43,'RAW DATA'!I:I))))</f>
        <v/>
      </c>
      <c r="G43" s="24" t="str">
        <f t="shared" si="0"/>
        <v/>
      </c>
    </row>
    <row r="44" spans="2:7" ht="14.45" x14ac:dyDescent="0.3">
      <c r="B44" s="1" t="str">
        <f>IF('RAW DATA'!$C44&lt;&gt;"",'RAW DATA'!$C44,"")</f>
        <v/>
      </c>
      <c r="C44" s="1" t="str">
        <f>IF('RAW DATA'!$D44&lt;&gt;"",'RAW DATA'!$D44,"")</f>
        <v/>
      </c>
      <c r="D44" s="1" t="str">
        <f>IF(AND($B43&lt;&gt;"", $B44=""), "TOTAL:", IF($D43="TOTAL:","VESSEL TARGET "&amp;'RAW DATA'!$E$2&amp;":",IF('RAW DATA'!$E44&lt;&gt;"",'RAW DATA'!$E44,"")))</f>
        <v/>
      </c>
      <c r="E44" s="4" t="str">
        <f>IF($D43="TOTAL:",FIXED(ROUND(((SUM($E$4:$E42)/'RAW DATA'!$E$2)*100),1),1)&amp;"%",IF($D44="TOTAL:",SUM($E$4:$E43),IF(SUMIF('RAW DATA'!M:M,'RAW DATA'!B44,'RAW DATA'!H:H)=0,"",SUMIF('RAW DATA'!M:M,'RAW DATA'!B44,'RAW DATA'!H:H))))</f>
        <v/>
      </c>
      <c r="F44" s="4" t="str">
        <f>IF($D43="TOTAL:",FIXED(ROUND(((SUM($F$4:$F42)/'RAW DATA'!$E$2)*100),1),1)&amp;"%",IF($D44="TOTAL:",SUM($F$4:$F43),IF(SUMIF('RAW DATA'!M:M,'RAW DATA'!B44,'RAW DATA'!I:I)=0,"",SUMIF('RAW DATA'!M:M,'RAW DATA'!B44,'RAW DATA'!I:I))))</f>
        <v/>
      </c>
      <c r="G44" s="24" t="str">
        <f t="shared" si="0"/>
        <v/>
      </c>
    </row>
    <row r="45" spans="2:7" ht="14.45" x14ac:dyDescent="0.3">
      <c r="B45" s="1" t="str">
        <f>IF('RAW DATA'!$C45&lt;&gt;"",'RAW DATA'!$C45,"")</f>
        <v/>
      </c>
      <c r="C45" s="1" t="str">
        <f>IF('RAW DATA'!$D45&lt;&gt;"",'RAW DATA'!$D45,"")</f>
        <v/>
      </c>
      <c r="D45" s="1" t="str">
        <f>IF(AND($B44&lt;&gt;"", $B45=""), "TOTAL:", IF($D44="TOTAL:","VESSEL TARGET "&amp;'RAW DATA'!$E$2&amp;":",IF('RAW DATA'!$E45&lt;&gt;"",'RAW DATA'!$E45,"")))</f>
        <v/>
      </c>
      <c r="E45" s="4" t="str">
        <f>IF($D44="TOTAL:",FIXED(ROUND(((SUM($E$4:$E43)/'RAW DATA'!$E$2)*100),1),1)&amp;"%",IF($D45="TOTAL:",SUM($E$4:$E44),IF(SUMIF('RAW DATA'!M:M,'RAW DATA'!B45,'RAW DATA'!H:H)=0,"",SUMIF('RAW DATA'!M:M,'RAW DATA'!B45,'RAW DATA'!H:H))))</f>
        <v/>
      </c>
      <c r="F45" s="4" t="str">
        <f>IF($D44="TOTAL:",FIXED(ROUND(((SUM($F$4:$F43)/'RAW DATA'!$E$2)*100),1),1)&amp;"%",IF($D45="TOTAL:",SUM($F$4:$F44),IF(SUMIF('RAW DATA'!M:M,'RAW DATA'!B45,'RAW DATA'!I:I)=0,"",SUMIF('RAW DATA'!M:M,'RAW DATA'!B45,'RAW DATA'!I:I))))</f>
        <v/>
      </c>
      <c r="G45" s="24" t="str">
        <f t="shared" si="0"/>
        <v/>
      </c>
    </row>
    <row r="46" spans="2:7" ht="14.45" x14ac:dyDescent="0.3">
      <c r="B46" s="1" t="str">
        <f>IF('RAW DATA'!$C46&lt;&gt;"",'RAW DATA'!$C46,"")</f>
        <v/>
      </c>
      <c r="C46" s="1" t="str">
        <f>IF('RAW DATA'!$D46&lt;&gt;"",'RAW DATA'!$D46,"")</f>
        <v/>
      </c>
      <c r="D46" s="1" t="str">
        <f>IF(AND($B45&lt;&gt;"", $B46=""), "TOTAL:", IF($D45="TOTAL:","VESSEL TARGET "&amp;'RAW DATA'!$E$2&amp;":",IF('RAW DATA'!$E46&lt;&gt;"",'RAW DATA'!$E46,"")))</f>
        <v/>
      </c>
      <c r="E46" s="4" t="str">
        <f>IF($D45="TOTAL:",FIXED(ROUND(((SUM($E$4:$E44)/'RAW DATA'!$E$2)*100),1),1)&amp;"%",IF($D46="TOTAL:",SUM($E$4:$E45),IF(SUMIF('RAW DATA'!M:M,'RAW DATA'!B46,'RAW DATA'!H:H)=0,"",SUMIF('RAW DATA'!M:M,'RAW DATA'!B46,'RAW DATA'!H:H))))</f>
        <v/>
      </c>
      <c r="F46" s="4" t="str">
        <f>IF($D45="TOTAL:",FIXED(ROUND(((SUM($F$4:$F44)/'RAW DATA'!$E$2)*100),1),1)&amp;"%",IF($D46="TOTAL:",SUM($F$4:$F45),IF(SUMIF('RAW DATA'!M:M,'RAW DATA'!B46,'RAW DATA'!I:I)=0,"",SUMIF('RAW DATA'!M:M,'RAW DATA'!B46,'RAW DATA'!I:I))))</f>
        <v/>
      </c>
      <c r="G46" s="24" t="str">
        <f t="shared" si="0"/>
        <v/>
      </c>
    </row>
    <row r="47" spans="2:7" ht="14.45" x14ac:dyDescent="0.3">
      <c r="B47" s="1" t="str">
        <f>IF('RAW DATA'!$C47&lt;&gt;"",'RAW DATA'!$C47,"")</f>
        <v/>
      </c>
      <c r="C47" s="1" t="str">
        <f>IF('RAW DATA'!$D47&lt;&gt;"",'RAW DATA'!$D47,"")</f>
        <v/>
      </c>
      <c r="D47" s="1" t="str">
        <f>IF(AND($B46&lt;&gt;"", $B47=""), "TOTAL:", IF($D46="TOTAL:","VESSEL TARGET "&amp;'RAW DATA'!$E$2&amp;":",IF('RAW DATA'!$E47&lt;&gt;"",'RAW DATA'!$E47,"")))</f>
        <v/>
      </c>
      <c r="E47" s="4" t="str">
        <f>IF($D46="TOTAL:",FIXED(ROUND(((SUM($E$4:$E45)/'RAW DATA'!$E$2)*100),1),1)&amp;"%",IF($D47="TOTAL:",SUM($E$4:$E46),IF(SUMIF('RAW DATA'!M:M,'RAW DATA'!B47,'RAW DATA'!H:H)=0,"",SUMIF('RAW DATA'!M:M,'RAW DATA'!B47,'RAW DATA'!H:H))))</f>
        <v/>
      </c>
      <c r="F47" s="4" t="str">
        <f>IF($D46="TOTAL:",FIXED(ROUND(((SUM($F$4:$F45)/'RAW DATA'!$E$2)*100),1),1)&amp;"%",IF($D47="TOTAL:",SUM($F$4:$F46),IF(SUMIF('RAW DATA'!M:M,'RAW DATA'!B47,'RAW DATA'!I:I)=0,"",SUMIF('RAW DATA'!M:M,'RAW DATA'!B47,'RAW DATA'!I:I))))</f>
        <v/>
      </c>
      <c r="G47" s="24" t="str">
        <f t="shared" si="0"/>
        <v/>
      </c>
    </row>
    <row r="48" spans="2:7" ht="14.45" x14ac:dyDescent="0.3">
      <c r="B48" s="1" t="str">
        <f>IF('RAW DATA'!$C48&lt;&gt;"",'RAW DATA'!$C48,"")</f>
        <v/>
      </c>
      <c r="C48" s="1" t="str">
        <f>IF('RAW DATA'!$D48&lt;&gt;"",'RAW DATA'!$D48,"")</f>
        <v/>
      </c>
      <c r="D48" s="1" t="str">
        <f>IF(AND($B47&lt;&gt;"", $B48=""), "TOTAL:", IF($D47="TOTAL:","VESSEL TARGET "&amp;'RAW DATA'!$E$2&amp;":",IF('RAW DATA'!$E48&lt;&gt;"",'RAW DATA'!$E48,"")))</f>
        <v/>
      </c>
      <c r="E48" s="4" t="str">
        <f>IF($D47="TOTAL:",FIXED(ROUND(((SUM($E$4:$E46)/'RAW DATA'!$E$2)*100),1),1)&amp;"%",IF($D48="TOTAL:",SUM($E$4:$E47),IF(SUMIF('RAW DATA'!M:M,'RAW DATA'!B48,'RAW DATA'!H:H)=0,"",SUMIF('RAW DATA'!M:M,'RAW DATA'!B48,'RAW DATA'!H:H))))</f>
        <v/>
      </c>
      <c r="F48" s="4" t="str">
        <f>IF($D47="TOTAL:",FIXED(ROUND(((SUM($F$4:$F46)/'RAW DATA'!$E$2)*100),1),1)&amp;"%",IF($D48="TOTAL:",SUM($F$4:$F47),IF(SUMIF('RAW DATA'!M:M,'RAW DATA'!B48,'RAW DATA'!I:I)=0,"",SUMIF('RAW DATA'!M:M,'RAW DATA'!B48,'RAW DATA'!I:I))))</f>
        <v/>
      </c>
      <c r="G48" s="24" t="str">
        <f t="shared" si="0"/>
        <v/>
      </c>
    </row>
    <row r="49" spans="2:7" ht="14.45" x14ac:dyDescent="0.3">
      <c r="B49" s="1" t="str">
        <f>IF('RAW DATA'!$C49&lt;&gt;"",'RAW DATA'!$C49,"")</f>
        <v/>
      </c>
      <c r="C49" s="1" t="str">
        <f>IF('RAW DATA'!$D49&lt;&gt;"",'RAW DATA'!$D49,"")</f>
        <v/>
      </c>
      <c r="D49" s="1" t="str">
        <f>IF(AND($B48&lt;&gt;"", $B49=""), "TOTAL:", IF($D48="TOTAL:","VESSEL TARGET "&amp;'RAW DATA'!$E$2&amp;":",IF('RAW DATA'!$E49&lt;&gt;"",'RAW DATA'!$E49,"")))</f>
        <v/>
      </c>
      <c r="E49" s="4" t="str">
        <f>IF($D48="TOTAL:",FIXED(ROUND(((SUM($E$4:$E47)/'RAW DATA'!$E$2)*100),1),1)&amp;"%",IF($D49="TOTAL:",SUM($E$4:$E48),IF(SUMIF('RAW DATA'!M:M,'RAW DATA'!B49,'RAW DATA'!H:H)=0,"",SUMIF('RAW DATA'!M:M,'RAW DATA'!B49,'RAW DATA'!H:H))))</f>
        <v/>
      </c>
      <c r="F49" s="4" t="str">
        <f>IF($D48="TOTAL:",FIXED(ROUND(((SUM($F$4:$F47)/'RAW DATA'!$E$2)*100),1),1)&amp;"%",IF($D49="TOTAL:",SUM($F$4:$F48),IF(SUMIF('RAW DATA'!M:M,'RAW DATA'!B49,'RAW DATA'!I:I)=0,"",SUMIF('RAW DATA'!M:M,'RAW DATA'!B49,'RAW DATA'!I:I))))</f>
        <v/>
      </c>
      <c r="G49" s="24" t="str">
        <f t="shared" si="0"/>
        <v/>
      </c>
    </row>
    <row r="50" spans="2:7" ht="14.45" x14ac:dyDescent="0.3">
      <c r="B50" s="1" t="str">
        <f>IF('RAW DATA'!$C50&lt;&gt;"",'RAW DATA'!$C50,"")</f>
        <v/>
      </c>
      <c r="C50" s="1" t="str">
        <f>IF('RAW DATA'!$D50&lt;&gt;"",'RAW DATA'!$D50,"")</f>
        <v/>
      </c>
      <c r="D50" s="1" t="str">
        <f>IF(AND($B49&lt;&gt;"", $B50=""), "TOTAL:", IF($D49="TOTAL:","VESSEL TARGET "&amp;'RAW DATA'!$E$2&amp;":",IF('RAW DATA'!$E50&lt;&gt;"",'RAW DATA'!$E50,"")))</f>
        <v/>
      </c>
      <c r="E50" s="4" t="str">
        <f>IF($D49="TOTAL:",FIXED(ROUND(((SUM($E$4:$E48)/'RAW DATA'!$E$2)*100),1),1)&amp;"%",IF($D50="TOTAL:",SUM($E$4:$E49),IF(SUMIF('RAW DATA'!M:M,'RAW DATA'!B50,'RAW DATA'!H:H)=0,"",SUMIF('RAW DATA'!M:M,'RAW DATA'!B50,'RAW DATA'!H:H))))</f>
        <v/>
      </c>
      <c r="F50" s="4" t="str">
        <f>IF($D49="TOTAL:",FIXED(ROUND(((SUM($F$4:$F48)/'RAW DATA'!$E$2)*100),1),1)&amp;"%",IF($D50="TOTAL:",SUM($F$4:$F49),IF(SUMIF('RAW DATA'!M:M,'RAW DATA'!B50,'RAW DATA'!I:I)=0,"",SUMIF('RAW DATA'!M:M,'RAW DATA'!B50,'RAW DATA'!I:I))))</f>
        <v/>
      </c>
      <c r="G50" s="24" t="str">
        <f t="shared" si="0"/>
        <v/>
      </c>
    </row>
    <row r="51" spans="2:7" ht="14.45" x14ac:dyDescent="0.3">
      <c r="B51" s="1" t="str">
        <f>IF('RAW DATA'!$C51&lt;&gt;"",'RAW DATA'!$C51,"")</f>
        <v/>
      </c>
      <c r="C51" s="1" t="str">
        <f>IF('RAW DATA'!$D51&lt;&gt;"",'RAW DATA'!$D51,"")</f>
        <v/>
      </c>
      <c r="D51" s="1" t="str">
        <f>IF(AND($B50&lt;&gt;"", $B51=""), "TOTAL:", IF($D50="TOTAL:","VESSEL TARGET "&amp;'RAW DATA'!$E$2&amp;":",IF('RAW DATA'!$E51&lt;&gt;"",'RAW DATA'!$E51,"")))</f>
        <v/>
      </c>
      <c r="E51" s="4" t="str">
        <f>IF($D50="TOTAL:",FIXED(ROUND(((SUM($E$4:$E49)/'RAW DATA'!$E$2)*100),1),1)&amp;"%",IF($D51="TOTAL:",SUM($E$4:$E50),IF(SUMIF('RAW DATA'!M:M,'RAW DATA'!B51,'RAW DATA'!H:H)=0,"",SUMIF('RAW DATA'!M:M,'RAW DATA'!B51,'RAW DATA'!H:H))))</f>
        <v/>
      </c>
      <c r="F51" s="4" t="str">
        <f>IF($D50="TOTAL:",FIXED(ROUND(((SUM($F$4:$F49)/'RAW DATA'!$E$2)*100),1),1)&amp;"%",IF($D51="TOTAL:",SUM($F$4:$F50),IF(SUMIF('RAW DATA'!M:M,'RAW DATA'!B51,'RAW DATA'!I:I)=0,"",SUMIF('RAW DATA'!M:M,'RAW DATA'!B51,'RAW DATA'!I:I))))</f>
        <v/>
      </c>
      <c r="G51" s="24" t="str">
        <f t="shared" si="0"/>
        <v/>
      </c>
    </row>
    <row r="52" spans="2:7" ht="14.45" x14ac:dyDescent="0.3">
      <c r="B52" s="1" t="str">
        <f>IF('RAW DATA'!$C52&lt;&gt;"",'RAW DATA'!$C52,"")</f>
        <v/>
      </c>
      <c r="C52" s="1" t="str">
        <f>IF('RAW DATA'!$D52&lt;&gt;"",'RAW DATA'!$D52,"")</f>
        <v/>
      </c>
      <c r="D52" s="1" t="str">
        <f>IF(AND($B51&lt;&gt;"", $B52=""), "TOTAL:", IF($D51="TOTAL:","VESSEL TARGET "&amp;'RAW DATA'!$E$2&amp;":",IF('RAW DATA'!$E52&lt;&gt;"",'RAW DATA'!$E52,"")))</f>
        <v/>
      </c>
      <c r="E52" s="4" t="str">
        <f>IF($D51="TOTAL:",FIXED(ROUND(((SUM($E$4:$E50)/'RAW DATA'!$E$2)*100),1),1)&amp;"%",IF($D52="TOTAL:",SUM($E$4:$E51),IF(SUMIF('RAW DATA'!M:M,'RAW DATA'!B52,'RAW DATA'!H:H)=0,"",SUMIF('RAW DATA'!M:M,'RAW DATA'!B52,'RAW DATA'!H:H))))</f>
        <v/>
      </c>
      <c r="F52" s="4" t="str">
        <f>IF($D51="TOTAL:",FIXED(ROUND(((SUM($F$4:$F50)/'RAW DATA'!$E$2)*100),1),1)&amp;"%",IF($D52="TOTAL:",SUM($F$4:$F51),IF(SUMIF('RAW DATA'!M:M,'RAW DATA'!B52,'RAW DATA'!I:I)=0,"",SUMIF('RAW DATA'!M:M,'RAW DATA'!B52,'RAW DATA'!I:I))))</f>
        <v/>
      </c>
      <c r="G52" s="24" t="str">
        <f t="shared" si="0"/>
        <v/>
      </c>
    </row>
    <row r="53" spans="2:7" ht="14.45" x14ac:dyDescent="0.3">
      <c r="B53" s="1" t="str">
        <f>IF('RAW DATA'!$C53&lt;&gt;"",'RAW DATA'!$C53,"")</f>
        <v/>
      </c>
      <c r="C53" s="1" t="str">
        <f>IF('RAW DATA'!$D53&lt;&gt;"",'RAW DATA'!$D53,"")</f>
        <v/>
      </c>
      <c r="D53" s="1" t="str">
        <f>IF(AND($B52&lt;&gt;"", $B53=""), "TOTAL:", IF($D52="TOTAL:","VESSEL TARGET "&amp;'RAW DATA'!$E$2&amp;":",IF('RAW DATA'!$E53&lt;&gt;"",'RAW DATA'!$E53,"")))</f>
        <v/>
      </c>
      <c r="E53" s="4" t="str">
        <f>IF($D52="TOTAL:",FIXED(ROUND(((SUM($E$4:$E51)/'RAW DATA'!$E$2)*100),1),1)&amp;"%",IF($D53="TOTAL:",SUM($E$4:$E52),IF(SUMIF('RAW DATA'!M:M,'RAW DATA'!B53,'RAW DATA'!H:H)=0,"",SUMIF('RAW DATA'!M:M,'RAW DATA'!B53,'RAW DATA'!H:H))))</f>
        <v/>
      </c>
      <c r="F53" s="4" t="str">
        <f>IF($D52="TOTAL:",FIXED(ROUND(((SUM($F$4:$F51)/'RAW DATA'!$E$2)*100),1),1)&amp;"%",IF($D53="TOTAL:",SUM($F$4:$F52),IF(SUMIF('RAW DATA'!M:M,'RAW DATA'!B53,'RAW DATA'!I:I)=0,"",SUMIF('RAW DATA'!M:M,'RAW DATA'!B53,'RAW DATA'!I:I))))</f>
        <v/>
      </c>
      <c r="G53" s="24" t="str">
        <f t="shared" si="0"/>
        <v/>
      </c>
    </row>
    <row r="54" spans="2:7" ht="14.45" x14ac:dyDescent="0.3">
      <c r="B54" s="1" t="str">
        <f>IF('RAW DATA'!$C54&lt;&gt;"",'RAW DATA'!$C54,"")</f>
        <v/>
      </c>
      <c r="C54" s="1" t="str">
        <f>IF('RAW DATA'!$D54&lt;&gt;"",'RAW DATA'!$D54,"")</f>
        <v/>
      </c>
      <c r="D54" s="1" t="str">
        <f>IF(AND($B53&lt;&gt;"", $B54=""), "TOTAL:", IF($D53="TOTAL:","VESSEL TARGET "&amp;'RAW DATA'!$E$2&amp;":",IF('RAW DATA'!$E54&lt;&gt;"",'RAW DATA'!$E54,"")))</f>
        <v/>
      </c>
      <c r="E54" s="4" t="str">
        <f>IF($D53="TOTAL:",FIXED(ROUND(((SUM($E$4:$E52)/'RAW DATA'!$E$2)*100),1),1)&amp;"%",IF($D54="TOTAL:",SUM($E$4:$E53),IF(SUMIF('RAW DATA'!M:M,'RAW DATA'!B54,'RAW DATA'!H:H)=0,"",SUMIF('RAW DATA'!M:M,'RAW DATA'!B54,'RAW DATA'!H:H))))</f>
        <v/>
      </c>
      <c r="F54" s="4" t="str">
        <f>IF($D53="TOTAL:",FIXED(ROUND(((SUM($F$4:$F52)/'RAW DATA'!$E$2)*100),1),1)&amp;"%",IF($D54="TOTAL:",SUM($F$4:$F53),IF(SUMIF('RAW DATA'!M:M,'RAW DATA'!B54,'RAW DATA'!I:I)=0,"",SUMIF('RAW DATA'!M:M,'RAW DATA'!B54,'RAW DATA'!I:I))))</f>
        <v/>
      </c>
      <c r="G54" s="24" t="str">
        <f t="shared" si="0"/>
        <v/>
      </c>
    </row>
    <row r="55" spans="2:7" ht="14.45" x14ac:dyDescent="0.3">
      <c r="B55" s="1" t="str">
        <f>IF('RAW DATA'!$C55&lt;&gt;"",'RAW DATA'!$C55,"")</f>
        <v/>
      </c>
      <c r="C55" s="1" t="str">
        <f>IF('RAW DATA'!$D55&lt;&gt;"",'RAW DATA'!$D55,"")</f>
        <v/>
      </c>
      <c r="D55" s="1" t="str">
        <f>IF(AND($B54&lt;&gt;"", $B55=""), "TOTAL:", IF($D54="TOTAL:","VESSEL TARGET "&amp;'RAW DATA'!$E$2&amp;":",IF('RAW DATA'!$E55&lt;&gt;"",'RAW DATA'!$E55,"")))</f>
        <v/>
      </c>
      <c r="E55" s="4" t="str">
        <f>IF($D54="TOTAL:",FIXED(ROUND(((SUM($E$4:$E53)/'RAW DATA'!$E$2)*100),1),1)&amp;"%",IF($D55="TOTAL:",SUM($E$4:$E54),IF(SUMIF('RAW DATA'!M:M,'RAW DATA'!B55,'RAW DATA'!H:H)=0,"",SUMIF('RAW DATA'!M:M,'RAW DATA'!B55,'RAW DATA'!H:H))))</f>
        <v/>
      </c>
      <c r="F55" s="4" t="str">
        <f>IF($D54="TOTAL:",FIXED(ROUND(((SUM($F$4:$F53)/'RAW DATA'!$E$2)*100),1),1)&amp;"%",IF($D55="TOTAL:",SUM($F$4:$F54),IF(SUMIF('RAW DATA'!M:M,'RAW DATA'!B55,'RAW DATA'!I:I)=0,"",SUMIF('RAW DATA'!M:M,'RAW DATA'!B55,'RAW DATA'!I:I))))</f>
        <v/>
      </c>
      <c r="G55" s="24" t="str">
        <f t="shared" si="0"/>
        <v/>
      </c>
    </row>
    <row r="56" spans="2:7" ht="14.45" x14ac:dyDescent="0.3">
      <c r="B56" s="1" t="str">
        <f>IF('RAW DATA'!$C56&lt;&gt;"",'RAW DATA'!$C56,"")</f>
        <v/>
      </c>
      <c r="C56" s="1" t="str">
        <f>IF('RAW DATA'!$D56&lt;&gt;"",'RAW DATA'!$D56,"")</f>
        <v/>
      </c>
      <c r="D56" s="1" t="str">
        <f>IF(AND($B55&lt;&gt;"", $B56=""), "TOTAL:", IF($D55="TOTAL:","VESSEL TARGET "&amp;'RAW DATA'!$E$2&amp;":",IF('RAW DATA'!$E56&lt;&gt;"",'RAW DATA'!$E56,"")))</f>
        <v/>
      </c>
      <c r="E56" s="4" t="str">
        <f>IF($D55="TOTAL:",FIXED(ROUND(((SUM($E$4:$E54)/'RAW DATA'!$E$2)*100),1),1)&amp;"%",IF($D56="TOTAL:",SUM($E$4:$E55),IF(SUMIF('RAW DATA'!M:M,'RAW DATA'!B56,'RAW DATA'!H:H)=0,"",SUMIF('RAW DATA'!M:M,'RAW DATA'!B56,'RAW DATA'!H:H))))</f>
        <v/>
      </c>
      <c r="F56" s="4" t="str">
        <f>IF($D55="TOTAL:",FIXED(ROUND(((SUM($F$4:$F54)/'RAW DATA'!$E$2)*100),1),1)&amp;"%",IF($D56="TOTAL:",SUM($F$4:$F55),IF(SUMIF('RAW DATA'!M:M,'RAW DATA'!B56,'RAW DATA'!I:I)=0,"",SUMIF('RAW DATA'!M:M,'RAW DATA'!B56,'RAW DATA'!I:I))))</f>
        <v/>
      </c>
      <c r="G56" s="24" t="str">
        <f t="shared" si="0"/>
        <v/>
      </c>
    </row>
    <row r="57" spans="2:7" ht="14.45" x14ac:dyDescent="0.3">
      <c r="B57" s="1" t="str">
        <f>IF('RAW DATA'!$C57&lt;&gt;"",'RAW DATA'!$C57,"")</f>
        <v/>
      </c>
      <c r="C57" s="1" t="str">
        <f>IF('RAW DATA'!$D57&lt;&gt;"",'RAW DATA'!$D57,"")</f>
        <v/>
      </c>
      <c r="D57" s="1" t="str">
        <f>IF(AND($B56&lt;&gt;"", $B57=""), "TOTAL:", IF($D56="TOTAL:","VESSEL TARGET "&amp;'RAW DATA'!$E$2&amp;":",IF('RAW DATA'!$E57&lt;&gt;"",'RAW DATA'!$E57,"")))</f>
        <v/>
      </c>
      <c r="E57" s="4" t="str">
        <f>IF($D56="TOTAL:",FIXED(ROUND(((SUM($E$4:$E55)/'RAW DATA'!$E$2)*100),1),1)&amp;"%",IF($D57="TOTAL:",SUM($E$4:$E56),IF(SUMIF('RAW DATA'!M:M,'RAW DATA'!B57,'RAW DATA'!H:H)=0,"",SUMIF('RAW DATA'!M:M,'RAW DATA'!B57,'RAW DATA'!H:H))))</f>
        <v/>
      </c>
      <c r="F57" s="4" t="str">
        <f>IF($D56="TOTAL:",FIXED(ROUND(((SUM($F$4:$F55)/'RAW DATA'!$E$2)*100),1),1)&amp;"%",IF($D57="TOTAL:",SUM($F$4:$F56),IF(SUMIF('RAW DATA'!M:M,'RAW DATA'!B57,'RAW DATA'!I:I)=0,"",SUMIF('RAW DATA'!M:M,'RAW DATA'!B57,'RAW DATA'!I:I))))</f>
        <v/>
      </c>
      <c r="G57" s="24" t="str">
        <f t="shared" si="0"/>
        <v/>
      </c>
    </row>
    <row r="58" spans="2:7" ht="14.45" x14ac:dyDescent="0.3">
      <c r="B58" s="1" t="str">
        <f>IF('RAW DATA'!$C58&lt;&gt;"",'RAW DATA'!$C58,"")</f>
        <v/>
      </c>
      <c r="C58" s="1" t="str">
        <f>IF('RAW DATA'!$D58&lt;&gt;"",'RAW DATA'!$D58,"")</f>
        <v/>
      </c>
      <c r="D58" s="1" t="str">
        <f>IF(AND($B57&lt;&gt;"", $B58=""), "TOTAL:", IF($D57="TOTAL:","VESSEL TARGET "&amp;'RAW DATA'!$E$2&amp;":",IF('RAW DATA'!$E58&lt;&gt;"",'RAW DATA'!$E58,"")))</f>
        <v/>
      </c>
      <c r="E58" s="4" t="str">
        <f>IF($D57="TOTAL:",FIXED(ROUND(((SUM($E$4:$E56)/'RAW DATA'!$E$2)*100),1),1)&amp;"%",IF($D58="TOTAL:",SUM($E$4:$E57),IF(SUMIF('RAW DATA'!M:M,'RAW DATA'!B58,'RAW DATA'!H:H)=0,"",SUMIF('RAW DATA'!M:M,'RAW DATA'!B58,'RAW DATA'!H:H))))</f>
        <v/>
      </c>
      <c r="F58" s="4" t="str">
        <f>IF($D57="TOTAL:",FIXED(ROUND(((SUM($F$4:$F56)/'RAW DATA'!$E$2)*100),1),1)&amp;"%",IF($D58="TOTAL:",SUM($F$4:$F57),IF(SUMIF('RAW DATA'!M:M,'RAW DATA'!B58,'RAW DATA'!I:I)=0,"",SUMIF('RAW DATA'!M:M,'RAW DATA'!B58,'RAW DATA'!I:I))))</f>
        <v/>
      </c>
      <c r="G58" s="24" t="str">
        <f t="shared" si="0"/>
        <v/>
      </c>
    </row>
    <row r="59" spans="2:7" ht="14.45" x14ac:dyDescent="0.3">
      <c r="B59" s="1" t="str">
        <f>IF('RAW DATA'!$C59&lt;&gt;"",'RAW DATA'!$C59,"")</f>
        <v/>
      </c>
      <c r="C59" s="1" t="str">
        <f>IF('RAW DATA'!$D59&lt;&gt;"",'RAW DATA'!$D59,"")</f>
        <v/>
      </c>
      <c r="D59" s="1" t="str">
        <f>IF(AND($B58&lt;&gt;"", $B59=""), "TOTAL:", IF($D58="TOTAL:","VESSEL TARGET "&amp;'RAW DATA'!$E$2&amp;":",IF('RAW DATA'!$E59&lt;&gt;"",'RAW DATA'!$E59,"")))</f>
        <v/>
      </c>
      <c r="E59" s="4" t="str">
        <f>IF($D58="TOTAL:",FIXED(ROUND(((SUM($E$4:$E57)/'RAW DATA'!$E$2)*100),1),1)&amp;"%",IF($D59="TOTAL:",SUM($E$4:$E58),IF(SUMIF('RAW DATA'!M:M,'RAW DATA'!B59,'RAW DATA'!H:H)=0,"",SUMIF('RAW DATA'!M:M,'RAW DATA'!B59,'RAW DATA'!H:H))))</f>
        <v/>
      </c>
      <c r="F59" s="4" t="str">
        <f>IF($D58="TOTAL:",FIXED(ROUND(((SUM($F$4:$F57)/'RAW DATA'!$E$2)*100),1),1)&amp;"%",IF($D59="TOTAL:",SUM($F$4:$F58),IF(SUMIF('RAW DATA'!M:M,'RAW DATA'!B59,'RAW DATA'!I:I)=0,"",SUMIF('RAW DATA'!M:M,'RAW DATA'!B59,'RAW DATA'!I:I))))</f>
        <v/>
      </c>
      <c r="G59" s="24" t="str">
        <f t="shared" si="0"/>
        <v/>
      </c>
    </row>
    <row r="60" spans="2:7" ht="14.45" x14ac:dyDescent="0.3">
      <c r="B60" s="1" t="str">
        <f>IF('RAW DATA'!$C60&lt;&gt;"",'RAW DATA'!$C60,"")</f>
        <v/>
      </c>
      <c r="C60" s="1" t="str">
        <f>IF('RAW DATA'!$D60&lt;&gt;"",'RAW DATA'!$D60,"")</f>
        <v/>
      </c>
      <c r="D60" s="1" t="str">
        <f>IF(AND($B59&lt;&gt;"", $B60=""), "TOTAL:", IF($D59="TOTAL:","VESSEL TARGET "&amp;'RAW DATA'!$E$2&amp;":",IF('RAW DATA'!$E60&lt;&gt;"",'RAW DATA'!$E60,"")))</f>
        <v/>
      </c>
      <c r="E60" s="4" t="str">
        <f>IF($D59="TOTAL:",FIXED(ROUND(((SUM($E$4:$E58)/'RAW DATA'!$E$2)*100),1),1)&amp;"%",IF($D60="TOTAL:",SUM($E$4:$E59),IF(SUMIF('RAW DATA'!M:M,'RAW DATA'!B60,'RAW DATA'!H:H)=0,"",SUMIF('RAW DATA'!M:M,'RAW DATA'!B60,'RAW DATA'!H:H))))</f>
        <v/>
      </c>
      <c r="F60" s="4" t="str">
        <f>IF($D59="TOTAL:",FIXED(ROUND(((SUM($F$4:$F58)/'RAW DATA'!$E$2)*100),1),1)&amp;"%",IF($D60="TOTAL:",SUM($F$4:$F59),IF(SUMIF('RAW DATA'!M:M,'RAW DATA'!B60,'RAW DATA'!I:I)=0,"",SUMIF('RAW DATA'!M:M,'RAW DATA'!B60,'RAW DATA'!I:I))))</f>
        <v/>
      </c>
      <c r="G60" s="24" t="str">
        <f t="shared" si="0"/>
        <v/>
      </c>
    </row>
    <row r="61" spans="2:7" ht="14.45" x14ac:dyDescent="0.3">
      <c r="B61" s="1" t="str">
        <f>IF('RAW DATA'!$C61&lt;&gt;"",'RAW DATA'!$C61,"")</f>
        <v/>
      </c>
      <c r="C61" s="1" t="str">
        <f>IF('RAW DATA'!$D61&lt;&gt;"",'RAW DATA'!$D61,"")</f>
        <v/>
      </c>
      <c r="D61" s="1" t="str">
        <f>IF(AND($B60&lt;&gt;"", $B61=""), "TOTAL:", IF($D60="TOTAL:","VESSEL TARGET "&amp;'RAW DATA'!$E$2&amp;":",IF('RAW DATA'!$E61&lt;&gt;"",'RAW DATA'!$E61,"")))</f>
        <v/>
      </c>
      <c r="E61" s="4" t="str">
        <f>IF($D60="TOTAL:",FIXED(ROUND(((SUM($E$4:$E59)/'RAW DATA'!$E$2)*100),1),1)&amp;"%",IF($D61="TOTAL:",SUM($E$4:$E60),IF(SUMIF('RAW DATA'!M:M,'RAW DATA'!B61,'RAW DATA'!H:H)=0,"",SUMIF('RAW DATA'!M:M,'RAW DATA'!B61,'RAW DATA'!H:H))))</f>
        <v/>
      </c>
      <c r="F61" s="4" t="str">
        <f>IF($D60="TOTAL:",FIXED(ROUND(((SUM($F$4:$F59)/'RAW DATA'!$E$2)*100),1),1)&amp;"%",IF($D61="TOTAL:",SUM($F$4:$F60),IF(SUMIF('RAW DATA'!M:M,'RAW DATA'!B61,'RAW DATA'!I:I)=0,"",SUMIF('RAW DATA'!M:M,'RAW DATA'!B61,'RAW DATA'!I:I))))</f>
        <v/>
      </c>
      <c r="G61" s="24" t="str">
        <f t="shared" si="0"/>
        <v/>
      </c>
    </row>
    <row r="62" spans="2:7" ht="14.45" x14ac:dyDescent="0.3">
      <c r="B62" s="1" t="str">
        <f>IF('RAW DATA'!$C62&lt;&gt;"",'RAW DATA'!$C62,"")</f>
        <v/>
      </c>
      <c r="C62" s="1" t="str">
        <f>IF('RAW DATA'!$D62&lt;&gt;"",'RAW DATA'!$D62,"")</f>
        <v/>
      </c>
      <c r="D62" s="1" t="str">
        <f>IF(AND($B61&lt;&gt;"", $B62=""), "TOTAL:", IF($D61="TOTAL:","VESSEL TARGET "&amp;'RAW DATA'!$E$2&amp;":",IF('RAW DATA'!$E62&lt;&gt;"",'RAW DATA'!$E62,"")))</f>
        <v/>
      </c>
      <c r="E62" s="4" t="str">
        <f>IF($D61="TOTAL:",FIXED(ROUND(((SUM($E$4:$E60)/'RAW DATA'!$E$2)*100),1),1)&amp;"%",IF($D62="TOTAL:",SUM($E$4:$E61),IF(SUMIF('RAW DATA'!M:M,'RAW DATA'!B62,'RAW DATA'!H:H)=0,"",SUMIF('RAW DATA'!M:M,'RAW DATA'!B62,'RAW DATA'!H:H))))</f>
        <v/>
      </c>
      <c r="F62" s="4" t="str">
        <f>IF($D61="TOTAL:",FIXED(ROUND(((SUM($F$4:$F60)/'RAW DATA'!$E$2)*100),1),1)&amp;"%",IF($D62="TOTAL:",SUM($F$4:$F61),IF(SUMIF('RAW DATA'!M:M,'RAW DATA'!B62,'RAW DATA'!I:I)=0,"",SUMIF('RAW DATA'!M:M,'RAW DATA'!B62,'RAW DATA'!I:I))))</f>
        <v/>
      </c>
      <c r="G62" s="24" t="str">
        <f t="shared" si="0"/>
        <v/>
      </c>
    </row>
    <row r="63" spans="2:7" ht="14.45" x14ac:dyDescent="0.3">
      <c r="B63" s="1" t="str">
        <f>IF('RAW DATA'!$C63&lt;&gt;"",'RAW DATA'!$C63,"")</f>
        <v/>
      </c>
      <c r="C63" s="1" t="str">
        <f>IF('RAW DATA'!$D63&lt;&gt;"",'RAW DATA'!$D63,"")</f>
        <v/>
      </c>
      <c r="D63" s="1" t="str">
        <f>IF(AND($B62&lt;&gt;"", $B63=""), "TOTAL:", IF($D62="TOTAL:","VESSEL TARGET "&amp;'RAW DATA'!$E$2&amp;":",IF('RAW DATA'!$E63&lt;&gt;"",'RAW DATA'!$E63,"")))</f>
        <v/>
      </c>
      <c r="E63" s="4" t="str">
        <f>IF($D62="TOTAL:",FIXED(ROUND(((SUM($E$4:$E61)/'RAW DATA'!$E$2)*100),1),1)&amp;"%",IF($D63="TOTAL:",SUM($E$4:$E62),IF(SUMIF('RAW DATA'!M:M,'RAW DATA'!B63,'RAW DATA'!H:H)=0,"",SUMIF('RAW DATA'!M:M,'RAW DATA'!B63,'RAW DATA'!H:H))))</f>
        <v/>
      </c>
      <c r="F63" s="4" t="str">
        <f>IF($D62="TOTAL:",FIXED(ROUND(((SUM($F$4:$F61)/'RAW DATA'!$E$2)*100),1),1)&amp;"%",IF($D63="TOTAL:",SUM($F$4:$F62),IF(SUMIF('RAW DATA'!M:M,'RAW DATA'!B63,'RAW DATA'!I:I)=0,"",SUMIF('RAW DATA'!M:M,'RAW DATA'!B63,'RAW DATA'!I:I))))</f>
        <v/>
      </c>
      <c r="G63" s="24" t="str">
        <f t="shared" si="0"/>
        <v/>
      </c>
    </row>
    <row r="64" spans="2:7" ht="14.45" x14ac:dyDescent="0.3">
      <c r="B64" s="1" t="str">
        <f>IF('RAW DATA'!$C64&lt;&gt;"",'RAW DATA'!$C64,"")</f>
        <v/>
      </c>
      <c r="C64" s="1" t="str">
        <f>IF('RAW DATA'!$D64&lt;&gt;"",'RAW DATA'!$D64,"")</f>
        <v/>
      </c>
      <c r="D64" s="1" t="str">
        <f>IF(AND($B63&lt;&gt;"", $B64=""), "TOTAL:", IF($D63="TOTAL:","VESSEL TARGET "&amp;'RAW DATA'!$E$2&amp;":",IF('RAW DATA'!$E64&lt;&gt;"",'RAW DATA'!$E64,"")))</f>
        <v/>
      </c>
      <c r="E64" s="4" t="str">
        <f>IF($D63="TOTAL:",FIXED(ROUND(((SUM($E$4:$E62)/'RAW DATA'!$E$2)*100),1),1)&amp;"%",IF($D64="TOTAL:",SUM($E$4:$E63),IF(SUMIF('RAW DATA'!M:M,'RAW DATA'!B64,'RAW DATA'!H:H)=0,"",SUMIF('RAW DATA'!M:M,'RAW DATA'!B64,'RAW DATA'!H:H))))</f>
        <v/>
      </c>
      <c r="F64" s="4" t="str">
        <f>IF($D63="TOTAL:",FIXED(ROUND(((SUM($F$4:$F62)/'RAW DATA'!$E$2)*100),1),1)&amp;"%",IF($D64="TOTAL:",SUM($F$4:$F63),IF(SUMIF('RAW DATA'!M:M,'RAW DATA'!B64,'RAW DATA'!I:I)=0,"",SUMIF('RAW DATA'!M:M,'RAW DATA'!B64,'RAW DATA'!I:I))))</f>
        <v/>
      </c>
      <c r="G64" s="24" t="str">
        <f t="shared" si="0"/>
        <v/>
      </c>
    </row>
    <row r="65" spans="2:7" ht="14.45" x14ac:dyDescent="0.3">
      <c r="B65" s="1" t="str">
        <f>IF('RAW DATA'!$C65&lt;&gt;"",'RAW DATA'!$C65,"")</f>
        <v/>
      </c>
      <c r="C65" s="1" t="str">
        <f>IF('RAW DATA'!$D65&lt;&gt;"",'RAW DATA'!$D65,"")</f>
        <v/>
      </c>
      <c r="D65" s="1" t="str">
        <f>IF(AND($B64&lt;&gt;"", $B65=""), "TOTAL:", IF($D64="TOTAL:","VESSEL TARGET "&amp;'RAW DATA'!$E$2&amp;":",IF('RAW DATA'!$E65&lt;&gt;"",'RAW DATA'!$E65,"")))</f>
        <v/>
      </c>
      <c r="E65" s="4" t="str">
        <f>IF($D64="TOTAL:",FIXED(ROUND(((SUM($E$4:$E63)/'RAW DATA'!$E$2)*100),1),1)&amp;"%",IF($D65="TOTAL:",SUM($E$4:$E64),IF(SUMIF('RAW DATA'!M:M,'RAW DATA'!B65,'RAW DATA'!H:H)=0,"",SUMIF('RAW DATA'!M:M,'RAW DATA'!B65,'RAW DATA'!H:H))))</f>
        <v/>
      </c>
      <c r="F65" s="4" t="str">
        <f>IF($D64="TOTAL:",FIXED(ROUND(((SUM($F$4:$F63)/'RAW DATA'!$E$2)*100),1),1)&amp;"%",IF($D65="TOTAL:",SUM($F$4:$F64),IF(SUMIF('RAW DATA'!M:M,'RAW DATA'!B65,'RAW DATA'!I:I)=0,"",SUMIF('RAW DATA'!M:M,'RAW DATA'!B65,'RAW DATA'!I:I))))</f>
        <v/>
      </c>
      <c r="G65" s="24" t="str">
        <f t="shared" si="0"/>
        <v/>
      </c>
    </row>
    <row r="66" spans="2:7" ht="14.45" x14ac:dyDescent="0.3">
      <c r="B66" s="1" t="str">
        <f>IF('RAW DATA'!$C66&lt;&gt;"",'RAW DATA'!$C66,"")</f>
        <v/>
      </c>
      <c r="C66" s="1" t="str">
        <f>IF('RAW DATA'!$D66&lt;&gt;"",'RAW DATA'!$D66,"")</f>
        <v/>
      </c>
      <c r="D66" s="1" t="str">
        <f>IF(AND($B65&lt;&gt;"", $B66=""), "TOTAL:", IF($D65="TOTAL:","VESSEL TARGET "&amp;'RAW DATA'!$E$2&amp;":",IF('RAW DATA'!$E66&lt;&gt;"",'RAW DATA'!$E66,"")))</f>
        <v/>
      </c>
      <c r="E66" s="4" t="str">
        <f>IF($D65="TOTAL:",FIXED(ROUND(((SUM($E$4:$E64)/'RAW DATA'!$E$2)*100),1),1)&amp;"%",IF($D66="TOTAL:",SUM($E$4:$E65),IF(SUMIF('RAW DATA'!M:M,'RAW DATA'!B66,'RAW DATA'!H:H)=0,"",SUMIF('RAW DATA'!M:M,'RAW DATA'!B66,'RAW DATA'!H:H))))</f>
        <v/>
      </c>
      <c r="F66" s="4" t="str">
        <f>IF($D65="TOTAL:",FIXED(ROUND(((SUM($F$4:$F64)/'RAW DATA'!$E$2)*100),1),1)&amp;"%",IF($D66="TOTAL:",SUM($F$4:$F65),IF(SUMIF('RAW DATA'!M:M,'RAW DATA'!B66,'RAW DATA'!I:I)=0,"",SUMIF('RAW DATA'!M:M,'RAW DATA'!B66,'RAW DATA'!I:I))))</f>
        <v/>
      </c>
      <c r="G66" s="24" t="str">
        <f t="shared" si="0"/>
        <v/>
      </c>
    </row>
    <row r="67" spans="2:7" ht="14.45" x14ac:dyDescent="0.3">
      <c r="B67" s="1" t="str">
        <f>IF('RAW DATA'!$C67&lt;&gt;"",'RAW DATA'!$C67,"")</f>
        <v/>
      </c>
      <c r="C67" s="1" t="str">
        <f>IF('RAW DATA'!$D67&lt;&gt;"",'RAW DATA'!$D67,"")</f>
        <v/>
      </c>
      <c r="D67" s="1" t="str">
        <f>IF(AND($B66&lt;&gt;"", $B67=""), "TOTAL:", IF($D66="TOTAL:","VESSEL TARGET "&amp;'RAW DATA'!$E$2&amp;":",IF('RAW DATA'!$E67&lt;&gt;"",'RAW DATA'!$E67,"")))</f>
        <v/>
      </c>
      <c r="E67" s="4" t="str">
        <f>IF($D66="TOTAL:",FIXED(ROUND(((SUM($E$4:$E65)/'RAW DATA'!$E$2)*100),1),1)&amp;"%",IF($D67="TOTAL:",SUM($E$4:$E66),IF(SUMIF('RAW DATA'!M:M,'RAW DATA'!B67,'RAW DATA'!H:H)=0,"",SUMIF('RAW DATA'!M:M,'RAW DATA'!B67,'RAW DATA'!H:H))))</f>
        <v/>
      </c>
      <c r="F67" s="4" t="str">
        <f>IF($D66="TOTAL:",FIXED(ROUND(((SUM($F$4:$F65)/'RAW DATA'!$E$2)*100),1),1)&amp;"%",IF($D67="TOTAL:",SUM($F$4:$F66),IF(SUMIF('RAW DATA'!M:M,'RAW DATA'!B67,'RAW DATA'!I:I)=0,"",SUMIF('RAW DATA'!M:M,'RAW DATA'!B67,'RAW DATA'!I:I))))</f>
        <v/>
      </c>
      <c r="G67" s="24" t="str">
        <f t="shared" si="0"/>
        <v/>
      </c>
    </row>
    <row r="68" spans="2:7" x14ac:dyDescent="0.25">
      <c r="B68" s="1" t="str">
        <f>IF('RAW DATA'!$C68&lt;&gt;"",'RAW DATA'!$C68,"")</f>
        <v/>
      </c>
      <c r="C68" s="1" t="str">
        <f>IF('RAW DATA'!$D68&lt;&gt;"",'RAW DATA'!$D68,"")</f>
        <v/>
      </c>
      <c r="D68" s="1" t="str">
        <f>IF(AND($B67&lt;&gt;"", $B68=""), "TOTAL:", IF($D67="TOTAL:","VESSEL TARGET "&amp;'RAW DATA'!$E$2&amp;":",IF('RAW DATA'!$E68&lt;&gt;"",'RAW DATA'!$E68,"")))</f>
        <v/>
      </c>
      <c r="E68" s="4" t="str">
        <f>IF($D67="TOTAL:",FIXED(ROUND(((SUM($E$4:$E66)/'RAW DATA'!$E$2)*100),1),1)&amp;"%",IF($D68="TOTAL:",SUM($E$4:$E67),IF(SUMIF('RAW DATA'!M:M,'RAW DATA'!B68,'RAW DATA'!H:H)=0,"",SUMIF('RAW DATA'!M:M,'RAW DATA'!B68,'RAW DATA'!H:H))))</f>
        <v/>
      </c>
      <c r="F68" s="4" t="str">
        <f>IF($D67="TOTAL:",FIXED(ROUND(((SUM($F$4:$F66)/'RAW DATA'!$E$2)*100),1),1)&amp;"%",IF($D68="TOTAL:",SUM($F$4:$F67),IF(SUMIF('RAW DATA'!M:M,'RAW DATA'!B68,'RAW DATA'!I:I)=0,"",SUMIF('RAW DATA'!M:M,'RAW DATA'!B68,'RAW DATA'!I:I))))</f>
        <v/>
      </c>
      <c r="G68" s="24" t="str">
        <f t="shared" si="0"/>
        <v/>
      </c>
    </row>
    <row r="69" spans="2:7" x14ac:dyDescent="0.25">
      <c r="B69" s="1" t="str">
        <f>IF('RAW DATA'!$C69&lt;&gt;"",'RAW DATA'!$C69,"")</f>
        <v/>
      </c>
      <c r="C69" s="1" t="str">
        <f>IF('RAW DATA'!$D69&lt;&gt;"",'RAW DATA'!$D69,"")</f>
        <v/>
      </c>
      <c r="D69" s="1" t="str">
        <f>IF(AND($B68&lt;&gt;"", $B69=""), "TOTAL:", IF($D68="TOTAL:","VESSEL TARGET "&amp;'RAW DATA'!$E$2&amp;":",IF('RAW DATA'!$E69&lt;&gt;"",'RAW DATA'!$E69,"")))</f>
        <v/>
      </c>
      <c r="E69" s="4" t="str">
        <f>IF($D68="TOTAL:",FIXED(ROUND(((SUM($E$4:$E67)/'RAW DATA'!$E$2)*100),1),1)&amp;"%",IF($D69="TOTAL:",SUM($E$4:$E68),IF(SUMIF('RAW DATA'!M:M,'RAW DATA'!B69,'RAW DATA'!H:H)=0,"",SUMIF('RAW DATA'!M:M,'RAW DATA'!B69,'RAW DATA'!H:H))))</f>
        <v/>
      </c>
      <c r="F69" s="4" t="str">
        <f>IF($D68="TOTAL:",FIXED(ROUND(((SUM($F$4:$F67)/'RAW DATA'!$E$2)*100),1),1)&amp;"%",IF($D69="TOTAL:",SUM($F$4:$F68),IF(SUMIF('RAW DATA'!M:M,'RAW DATA'!B69,'RAW DATA'!I:I)=0,"",SUMIF('RAW DATA'!M:M,'RAW DATA'!B69,'RAW DATA'!I:I))))</f>
        <v/>
      </c>
      <c r="G69" s="24" t="str">
        <f t="shared" si="0"/>
        <v/>
      </c>
    </row>
    <row r="70" spans="2:7" x14ac:dyDescent="0.25">
      <c r="B70" s="1" t="str">
        <f>IF('RAW DATA'!$C70&lt;&gt;"",'RAW DATA'!$C70,"")</f>
        <v/>
      </c>
      <c r="C70" s="1" t="str">
        <f>IF('RAW DATA'!$D70&lt;&gt;"",'RAW DATA'!$D70,"")</f>
        <v/>
      </c>
      <c r="D70" s="1" t="str">
        <f>IF(AND($B69&lt;&gt;"", $B70=""), "TOTAL:", IF($D69="TOTAL:","VESSEL TARGET "&amp;'RAW DATA'!$E$2&amp;":",IF('RAW DATA'!$E70&lt;&gt;"",'RAW DATA'!$E70,"")))</f>
        <v/>
      </c>
      <c r="E70" s="4" t="str">
        <f>IF($D69="TOTAL:",FIXED(ROUND(((SUM($E$4:$E68)/'RAW DATA'!$E$2)*100),1),1)&amp;"%",IF($D70="TOTAL:",SUM($E$4:$E69),IF(SUMIF('RAW DATA'!M:M,'RAW DATA'!B70,'RAW DATA'!H:H)=0,"",SUMIF('RAW DATA'!M:M,'RAW DATA'!B70,'RAW DATA'!H:H))))</f>
        <v/>
      </c>
      <c r="F70" s="4" t="str">
        <f>IF($D69="TOTAL:",FIXED(ROUND(((SUM($F$4:$F68)/'RAW DATA'!$E$2)*100),1),1)&amp;"%",IF($D70="TOTAL:",SUM($F$4:$F69),IF(SUMIF('RAW DATA'!M:M,'RAW DATA'!B70,'RAW DATA'!I:I)=0,"",SUMIF('RAW DATA'!M:M,'RAW DATA'!B70,'RAW DATA'!I:I))))</f>
        <v/>
      </c>
      <c r="G70" s="24" t="str">
        <f t="shared" ref="G70:G133" si="1">IF(OR($B70="", $E70="",$F70=""),"",IF(AND($E70&gt;=2,$F70&gt;=2),1,""))</f>
        <v/>
      </c>
    </row>
    <row r="71" spans="2:7" x14ac:dyDescent="0.25">
      <c r="B71" s="1" t="str">
        <f>IF('RAW DATA'!$C71&lt;&gt;"",'RAW DATA'!$C71,"")</f>
        <v/>
      </c>
      <c r="C71" s="1" t="str">
        <f>IF('RAW DATA'!$D71&lt;&gt;"",'RAW DATA'!$D71,"")</f>
        <v/>
      </c>
      <c r="D71" s="1" t="str">
        <f>IF(AND($B70&lt;&gt;"", $B71=""), "TOTAL:", IF($D70="TOTAL:","VESSEL TARGET "&amp;'RAW DATA'!$E$2&amp;":",IF('RAW DATA'!$E71&lt;&gt;"",'RAW DATA'!$E71,"")))</f>
        <v/>
      </c>
      <c r="E71" s="4" t="str">
        <f>IF($D70="TOTAL:",FIXED(ROUND(((SUM($E$4:$E69)/'RAW DATA'!$E$2)*100),1),1)&amp;"%",IF($D71="TOTAL:",SUM($E$4:$E70),IF(SUMIF('RAW DATA'!M:M,'RAW DATA'!B71,'RAW DATA'!H:H)=0,"",SUMIF('RAW DATA'!M:M,'RAW DATA'!B71,'RAW DATA'!H:H))))</f>
        <v/>
      </c>
      <c r="F71" s="4" t="str">
        <f>IF($D70="TOTAL:",FIXED(ROUND(((SUM($F$4:$F69)/'RAW DATA'!$E$2)*100),1),1)&amp;"%",IF($D71="TOTAL:",SUM($F$4:$F70),IF(SUMIF('RAW DATA'!M:M,'RAW DATA'!B71,'RAW DATA'!I:I)=0,"",SUMIF('RAW DATA'!M:M,'RAW DATA'!B71,'RAW DATA'!I:I))))</f>
        <v/>
      </c>
      <c r="G71" s="24" t="str">
        <f t="shared" si="1"/>
        <v/>
      </c>
    </row>
    <row r="72" spans="2:7" x14ac:dyDescent="0.25">
      <c r="B72" s="1" t="str">
        <f>IF('RAW DATA'!$C72&lt;&gt;"",'RAW DATA'!$C72,"")</f>
        <v/>
      </c>
      <c r="C72" s="1" t="str">
        <f>IF('RAW DATA'!$D72&lt;&gt;"",'RAW DATA'!$D72,"")</f>
        <v/>
      </c>
      <c r="D72" s="1" t="str">
        <f>IF(AND($B71&lt;&gt;"", $B72=""), "TOTAL:", IF($D71="TOTAL:","VESSEL TARGET "&amp;'RAW DATA'!$E$2&amp;":",IF('RAW DATA'!$E72&lt;&gt;"",'RAW DATA'!$E72,"")))</f>
        <v/>
      </c>
      <c r="E72" s="4" t="str">
        <f>IF($D71="TOTAL:",FIXED(ROUND(((SUM($E$4:$E70)/'RAW DATA'!$E$2)*100),1),1)&amp;"%",IF($D72="TOTAL:",SUM($E$4:$E71),IF(SUMIF('RAW DATA'!M:M,'RAW DATA'!B72,'RAW DATA'!H:H)=0,"",SUMIF('RAW DATA'!M:M,'RAW DATA'!B72,'RAW DATA'!H:H))))</f>
        <v/>
      </c>
      <c r="F72" s="4" t="str">
        <f>IF($D71="TOTAL:",FIXED(ROUND(((SUM($F$4:$F70)/'RAW DATA'!$E$2)*100),1),1)&amp;"%",IF($D72="TOTAL:",SUM($F$4:$F71),IF(SUMIF('RAW DATA'!M:M,'RAW DATA'!B72,'RAW DATA'!I:I)=0,"",SUMIF('RAW DATA'!M:M,'RAW DATA'!B72,'RAW DATA'!I:I))))</f>
        <v/>
      </c>
      <c r="G72" s="24" t="str">
        <f t="shared" si="1"/>
        <v/>
      </c>
    </row>
    <row r="73" spans="2:7" x14ac:dyDescent="0.25">
      <c r="B73" s="1" t="str">
        <f>IF('RAW DATA'!$C73&lt;&gt;"",'RAW DATA'!$C73,"")</f>
        <v/>
      </c>
      <c r="C73" s="1" t="str">
        <f>IF('RAW DATA'!$D73&lt;&gt;"",'RAW DATA'!$D73,"")</f>
        <v/>
      </c>
      <c r="D73" s="1" t="str">
        <f>IF(AND($B72&lt;&gt;"", $B73=""), "TOTAL:", IF($D72="TOTAL:","VESSEL TARGET "&amp;'RAW DATA'!$E$2&amp;":",IF('RAW DATA'!$E73&lt;&gt;"",'RAW DATA'!$E73,"")))</f>
        <v/>
      </c>
      <c r="E73" s="4" t="str">
        <f>IF($D72="TOTAL:",FIXED(ROUND(((SUM($E$4:$E71)/'RAW DATA'!$E$2)*100),1),1)&amp;"%",IF($D73="TOTAL:",SUM($E$4:$E72),IF(SUMIF('RAW DATA'!M:M,'RAW DATA'!B73,'RAW DATA'!H:H)=0,"",SUMIF('RAW DATA'!M:M,'RAW DATA'!B73,'RAW DATA'!H:H))))</f>
        <v/>
      </c>
      <c r="F73" s="4" t="str">
        <f>IF($D72="TOTAL:",FIXED(ROUND(((SUM($F$4:$F71)/'RAW DATA'!$E$2)*100),1),1)&amp;"%",IF($D73="TOTAL:",SUM($F$4:$F72),IF(SUMIF('RAW DATA'!M:M,'RAW DATA'!B73,'RAW DATA'!I:I)=0,"",SUMIF('RAW DATA'!M:M,'RAW DATA'!B73,'RAW DATA'!I:I))))</f>
        <v/>
      </c>
      <c r="G73" s="24" t="str">
        <f t="shared" si="1"/>
        <v/>
      </c>
    </row>
    <row r="74" spans="2:7" x14ac:dyDescent="0.25">
      <c r="B74" s="1" t="str">
        <f>IF('RAW DATA'!$C74&lt;&gt;"",'RAW DATA'!$C74,"")</f>
        <v/>
      </c>
      <c r="C74" s="1" t="str">
        <f>IF('RAW DATA'!$D74&lt;&gt;"",'RAW DATA'!$D74,"")</f>
        <v/>
      </c>
      <c r="D74" s="1" t="str">
        <f>IF(AND($B73&lt;&gt;"", $B74=""), "TOTAL:", IF($D73="TOTAL:","VESSEL TARGET "&amp;'RAW DATA'!$E$2&amp;":",IF('RAW DATA'!$E74&lt;&gt;"",'RAW DATA'!$E74,"")))</f>
        <v/>
      </c>
      <c r="E74" s="4" t="str">
        <f>IF($D73="TOTAL:",FIXED(ROUND(((SUM($E$4:$E72)/'RAW DATA'!$E$2)*100),1),1)&amp;"%",IF($D74="TOTAL:",SUM($E$4:$E73),IF(SUMIF('RAW DATA'!M:M,'RAW DATA'!B74,'RAW DATA'!H:H)=0,"",SUMIF('RAW DATA'!M:M,'RAW DATA'!B74,'RAW DATA'!H:H))))</f>
        <v/>
      </c>
      <c r="F74" s="4" t="str">
        <f>IF($D73="TOTAL:",FIXED(ROUND(((SUM($F$4:$F72)/'RAW DATA'!$E$2)*100),1),1)&amp;"%",IF($D74="TOTAL:",SUM($F$4:$F73),IF(SUMIF('RAW DATA'!M:M,'RAW DATA'!B74,'RAW DATA'!I:I)=0,"",SUMIF('RAW DATA'!M:M,'RAW DATA'!B74,'RAW DATA'!I:I))))</f>
        <v/>
      </c>
      <c r="G74" s="24" t="str">
        <f t="shared" si="1"/>
        <v/>
      </c>
    </row>
    <row r="75" spans="2:7" x14ac:dyDescent="0.25">
      <c r="B75" s="1" t="str">
        <f>IF('RAW DATA'!$C75&lt;&gt;"",'RAW DATA'!$C75,"")</f>
        <v/>
      </c>
      <c r="C75" s="1" t="str">
        <f>IF('RAW DATA'!$D75&lt;&gt;"",'RAW DATA'!$D75,"")</f>
        <v/>
      </c>
      <c r="D75" s="1" t="str">
        <f>IF(AND($B74&lt;&gt;"", $B75=""), "TOTAL:", IF($D74="TOTAL:","VESSEL TARGET "&amp;'RAW DATA'!$E$2&amp;":",IF('RAW DATA'!$E75&lt;&gt;"",'RAW DATA'!$E75,"")))</f>
        <v/>
      </c>
      <c r="E75" s="4" t="str">
        <f>IF($D74="TOTAL:",FIXED(ROUND(((SUM($E$4:$E73)/'RAW DATA'!$E$2)*100),1),1)&amp;"%",IF($D75="TOTAL:",SUM($E$4:$E74),IF(SUMIF('RAW DATA'!M:M,'RAW DATA'!B75,'RAW DATA'!H:H)=0,"",SUMIF('RAW DATA'!M:M,'RAW DATA'!B75,'RAW DATA'!H:H))))</f>
        <v/>
      </c>
      <c r="F75" s="4" t="str">
        <f>IF($D74="TOTAL:",FIXED(ROUND(((SUM($F$4:$F73)/'RAW DATA'!$E$2)*100),1),1)&amp;"%",IF($D75="TOTAL:",SUM($F$4:$F74),IF(SUMIF('RAW DATA'!M:M,'RAW DATA'!B75,'RAW DATA'!I:I)=0,"",SUMIF('RAW DATA'!M:M,'RAW DATA'!B75,'RAW DATA'!I:I))))</f>
        <v/>
      </c>
      <c r="G75" s="24" t="str">
        <f t="shared" si="1"/>
        <v/>
      </c>
    </row>
    <row r="76" spans="2:7" x14ac:dyDescent="0.25">
      <c r="B76" s="1" t="str">
        <f>IF('RAW DATA'!$C76&lt;&gt;"",'RAW DATA'!$C76,"")</f>
        <v/>
      </c>
      <c r="C76" s="1" t="str">
        <f>IF('RAW DATA'!$D76&lt;&gt;"",'RAW DATA'!$D76,"")</f>
        <v/>
      </c>
      <c r="D76" s="1" t="str">
        <f>IF(AND($B75&lt;&gt;"", $B76=""), "TOTAL:", IF($D75="TOTAL:","VESSEL TARGET "&amp;'RAW DATA'!$E$2&amp;":",IF('RAW DATA'!$E76&lt;&gt;"",'RAW DATA'!$E76,"")))</f>
        <v/>
      </c>
      <c r="E76" s="4" t="str">
        <f>IF($D75="TOTAL:",FIXED(ROUND(((SUM($E$4:$E74)/'RAW DATA'!$E$2)*100),1),1)&amp;"%",IF($D76="TOTAL:",SUM($E$4:$E75),IF(SUMIF('RAW DATA'!M:M,'RAW DATA'!B76,'RAW DATA'!H:H)=0,"",SUMIF('RAW DATA'!M:M,'RAW DATA'!B76,'RAW DATA'!H:H))))</f>
        <v/>
      </c>
      <c r="F76" s="4" t="str">
        <f>IF($D75="TOTAL:",FIXED(ROUND(((SUM($F$4:$F74)/'RAW DATA'!$E$2)*100),1),1)&amp;"%",IF($D76="TOTAL:",SUM($F$4:$F75),IF(SUMIF('RAW DATA'!M:M,'RAW DATA'!B76,'RAW DATA'!I:I)=0,"",SUMIF('RAW DATA'!M:M,'RAW DATA'!B76,'RAW DATA'!I:I))))</f>
        <v/>
      </c>
      <c r="G76" s="24" t="str">
        <f t="shared" si="1"/>
        <v/>
      </c>
    </row>
    <row r="77" spans="2:7" x14ac:dyDescent="0.25">
      <c r="B77" s="1" t="str">
        <f>IF('RAW DATA'!$C77&lt;&gt;"",'RAW DATA'!$C77,"")</f>
        <v/>
      </c>
      <c r="C77" s="1" t="str">
        <f>IF('RAW DATA'!$D77&lt;&gt;"",'RAW DATA'!$D77,"")</f>
        <v/>
      </c>
      <c r="D77" s="1" t="str">
        <f>IF(AND($B76&lt;&gt;"", $B77=""), "TOTAL:", IF($D76="TOTAL:","VESSEL TARGET "&amp;'RAW DATA'!$E$2&amp;":",IF('RAW DATA'!$E77&lt;&gt;"",'RAW DATA'!$E77,"")))</f>
        <v/>
      </c>
      <c r="E77" s="4" t="str">
        <f>IF($D76="TOTAL:",FIXED(ROUND(((SUM($E$4:$E75)/'RAW DATA'!$E$2)*100),1),1)&amp;"%",IF($D77="TOTAL:",SUM($E$4:$E76),IF(SUMIF('RAW DATA'!M:M,'RAW DATA'!B77,'RAW DATA'!H:H)=0,"",SUMIF('RAW DATA'!M:M,'RAW DATA'!B77,'RAW DATA'!H:H))))</f>
        <v/>
      </c>
      <c r="F77" s="4" t="str">
        <f>IF($D76="TOTAL:",FIXED(ROUND(((SUM($F$4:$F75)/'RAW DATA'!$E$2)*100),1),1)&amp;"%",IF($D77="TOTAL:",SUM($F$4:$F76),IF(SUMIF('RAW DATA'!M:M,'RAW DATA'!B77,'RAW DATA'!I:I)=0,"",SUMIF('RAW DATA'!M:M,'RAW DATA'!B77,'RAW DATA'!I:I))))</f>
        <v/>
      </c>
      <c r="G77" s="24" t="str">
        <f t="shared" si="1"/>
        <v/>
      </c>
    </row>
    <row r="78" spans="2:7" x14ac:dyDescent="0.25">
      <c r="B78" s="1" t="str">
        <f>IF('RAW DATA'!$C78&lt;&gt;"",'RAW DATA'!$C78,"")</f>
        <v/>
      </c>
      <c r="C78" s="1" t="str">
        <f>IF('RAW DATA'!$D78&lt;&gt;"",'RAW DATA'!$D78,"")</f>
        <v/>
      </c>
      <c r="D78" s="1" t="str">
        <f>IF(AND($B77&lt;&gt;"", $B78=""), "TOTAL:", IF($D77="TOTAL:","VESSEL TARGET "&amp;'RAW DATA'!$E$2&amp;":",IF('RAW DATA'!$E78&lt;&gt;"",'RAW DATA'!$E78,"")))</f>
        <v/>
      </c>
      <c r="E78" s="4" t="str">
        <f>IF($D77="TOTAL:",FIXED(ROUND(((SUM($E$4:$E76)/'RAW DATA'!$E$2)*100),1),1)&amp;"%",IF($D78="TOTAL:",SUM($E$4:$E77),IF(SUMIF('RAW DATA'!M:M,'RAW DATA'!B78,'RAW DATA'!H:H)=0,"",SUMIF('RAW DATA'!M:M,'RAW DATA'!B78,'RAW DATA'!H:H))))</f>
        <v/>
      </c>
      <c r="F78" s="4" t="str">
        <f>IF($D77="TOTAL:",FIXED(ROUND(((SUM($F$4:$F76)/'RAW DATA'!$E$2)*100),1),1)&amp;"%",IF($D78="TOTAL:",SUM($F$4:$F77),IF(SUMIF('RAW DATA'!M:M,'RAW DATA'!B78,'RAW DATA'!I:I)=0,"",SUMIF('RAW DATA'!M:M,'RAW DATA'!B78,'RAW DATA'!I:I))))</f>
        <v/>
      </c>
      <c r="G78" s="24" t="str">
        <f t="shared" si="1"/>
        <v/>
      </c>
    </row>
    <row r="79" spans="2:7" x14ac:dyDescent="0.25">
      <c r="B79" s="1" t="str">
        <f>IF('RAW DATA'!$C79&lt;&gt;"",'RAW DATA'!$C79,"")</f>
        <v/>
      </c>
      <c r="C79" s="1" t="str">
        <f>IF('RAW DATA'!$D79&lt;&gt;"",'RAW DATA'!$D79,"")</f>
        <v/>
      </c>
      <c r="D79" s="1" t="str">
        <f>IF(AND($B78&lt;&gt;"", $B79=""), "TOTAL:", IF($D78="TOTAL:","VESSEL TARGET "&amp;'RAW DATA'!$E$2&amp;":",IF('RAW DATA'!$E79&lt;&gt;"",'RAW DATA'!$E79,"")))</f>
        <v/>
      </c>
      <c r="E79" s="4" t="str">
        <f>IF($D78="TOTAL:",FIXED(ROUND(((SUM($E$4:$E77)/'RAW DATA'!$E$2)*100),1),1)&amp;"%",IF($D79="TOTAL:",SUM($E$4:$E78),IF(SUMIF('RAW DATA'!M:M,'RAW DATA'!B79,'RAW DATA'!H:H)=0,"",SUMIF('RAW DATA'!M:M,'RAW DATA'!B79,'RAW DATA'!H:H))))</f>
        <v/>
      </c>
      <c r="F79" s="4" t="str">
        <f>IF($D78="TOTAL:",FIXED(ROUND(((SUM($F$4:$F77)/'RAW DATA'!$E$2)*100),1),1)&amp;"%",IF($D79="TOTAL:",SUM($F$4:$F78),IF(SUMIF('RAW DATA'!M:M,'RAW DATA'!B79,'RAW DATA'!I:I)=0,"",SUMIF('RAW DATA'!M:M,'RAW DATA'!B79,'RAW DATA'!I:I))))</f>
        <v/>
      </c>
      <c r="G79" s="24" t="str">
        <f t="shared" si="1"/>
        <v/>
      </c>
    </row>
    <row r="80" spans="2:7" x14ac:dyDescent="0.25">
      <c r="B80" s="1" t="str">
        <f>IF('RAW DATA'!$C80&lt;&gt;"",'RAW DATA'!$C80,"")</f>
        <v/>
      </c>
      <c r="C80" s="1" t="str">
        <f>IF('RAW DATA'!$D80&lt;&gt;"",'RAW DATA'!$D80,"")</f>
        <v/>
      </c>
      <c r="D80" s="1" t="str">
        <f>IF(AND($B79&lt;&gt;"", $B80=""), "TOTAL:", IF($D79="TOTAL:","VESSEL TARGET "&amp;'RAW DATA'!$E$2&amp;":",IF('RAW DATA'!$E80&lt;&gt;"",'RAW DATA'!$E80,"")))</f>
        <v/>
      </c>
      <c r="E80" s="4" t="str">
        <f>IF($D79="TOTAL:",FIXED(ROUND(((SUM($E$4:$E78)/'RAW DATA'!$E$2)*100),1),1)&amp;"%",IF($D80="TOTAL:",SUM($E$4:$E79),IF(SUMIF('RAW DATA'!M:M,'RAW DATA'!B80,'RAW DATA'!H:H)=0,"",SUMIF('RAW DATA'!M:M,'RAW DATA'!B80,'RAW DATA'!H:H))))</f>
        <v/>
      </c>
      <c r="F80" s="4" t="str">
        <f>IF($D79="TOTAL:",FIXED(ROUND(((SUM($F$4:$F78)/'RAW DATA'!$E$2)*100),1),1)&amp;"%",IF($D80="TOTAL:",SUM($F$4:$F79),IF(SUMIF('RAW DATA'!M:M,'RAW DATA'!B80,'RAW DATA'!I:I)=0,"",SUMIF('RAW DATA'!M:M,'RAW DATA'!B80,'RAW DATA'!I:I))))</f>
        <v/>
      </c>
      <c r="G80" s="24" t="str">
        <f t="shared" si="1"/>
        <v/>
      </c>
    </row>
    <row r="81" spans="2:7" x14ac:dyDescent="0.25">
      <c r="B81" s="1" t="str">
        <f>IF('RAW DATA'!$C81&lt;&gt;"",'RAW DATA'!$C81,"")</f>
        <v/>
      </c>
      <c r="C81" s="1" t="str">
        <f>IF('RAW DATA'!$D81&lt;&gt;"",'RAW DATA'!$D81,"")</f>
        <v/>
      </c>
      <c r="D81" s="1" t="str">
        <f>IF(AND($B80&lt;&gt;"", $B81=""), "TOTAL:", IF($D80="TOTAL:","VESSEL TARGET "&amp;'RAW DATA'!$E$2&amp;":",IF('RAW DATA'!$E81&lt;&gt;"",'RAW DATA'!$E81,"")))</f>
        <v/>
      </c>
      <c r="E81" s="4" t="str">
        <f>IF($D80="TOTAL:",FIXED(ROUND(((SUM($E$4:$E79)/'RAW DATA'!$E$2)*100),1),1)&amp;"%",IF($D81="TOTAL:",SUM($E$4:$E80),IF(SUMIF('RAW DATA'!M:M,'RAW DATA'!B81,'RAW DATA'!H:H)=0,"",SUMIF('RAW DATA'!M:M,'RAW DATA'!B81,'RAW DATA'!H:H))))</f>
        <v/>
      </c>
      <c r="F81" s="4" t="str">
        <f>IF($D80="TOTAL:",FIXED(ROUND(((SUM($F$4:$F79)/'RAW DATA'!$E$2)*100),1),1)&amp;"%",IF($D81="TOTAL:",SUM($F$4:$F80),IF(SUMIF('RAW DATA'!M:M,'RAW DATA'!B81,'RAW DATA'!I:I)=0,"",SUMIF('RAW DATA'!M:M,'RAW DATA'!B81,'RAW DATA'!I:I))))</f>
        <v/>
      </c>
      <c r="G81" s="24" t="str">
        <f t="shared" si="1"/>
        <v/>
      </c>
    </row>
    <row r="82" spans="2:7" x14ac:dyDescent="0.25">
      <c r="B82" s="1" t="str">
        <f>IF('RAW DATA'!$C82&lt;&gt;"",'RAW DATA'!$C82,"")</f>
        <v/>
      </c>
      <c r="C82" s="1" t="str">
        <f>IF('RAW DATA'!$D82&lt;&gt;"",'RAW DATA'!$D82,"")</f>
        <v/>
      </c>
      <c r="D82" s="1" t="str">
        <f>IF(AND($B81&lt;&gt;"", $B82=""), "TOTAL:", IF($D81="TOTAL:","VESSEL TARGET "&amp;'RAW DATA'!$E$2&amp;":",IF('RAW DATA'!$E82&lt;&gt;"",'RAW DATA'!$E82,"")))</f>
        <v/>
      </c>
      <c r="E82" s="4" t="str">
        <f>IF($D81="TOTAL:",FIXED(ROUND(((SUM($E$4:$E80)/'RAW DATA'!$E$2)*100),1),1)&amp;"%",IF($D82="TOTAL:",SUM($E$4:$E81),IF(SUMIF('RAW DATA'!M:M,'RAW DATA'!B82,'RAW DATA'!H:H)=0,"",SUMIF('RAW DATA'!M:M,'RAW DATA'!B82,'RAW DATA'!H:H))))</f>
        <v/>
      </c>
      <c r="F82" s="4" t="str">
        <f>IF($D81="TOTAL:",FIXED(ROUND(((SUM($F$4:$F80)/'RAW DATA'!$E$2)*100),1),1)&amp;"%",IF($D82="TOTAL:",SUM($F$4:$F81),IF(SUMIF('RAW DATA'!M:M,'RAW DATA'!B82,'RAW DATA'!I:I)=0,"",SUMIF('RAW DATA'!M:M,'RAW DATA'!B82,'RAW DATA'!I:I))))</f>
        <v/>
      </c>
      <c r="G82" s="24" t="str">
        <f t="shared" si="1"/>
        <v/>
      </c>
    </row>
    <row r="83" spans="2:7" x14ac:dyDescent="0.25">
      <c r="B83" s="1" t="str">
        <f>IF('RAW DATA'!$C83&lt;&gt;"",'RAW DATA'!$C83,"")</f>
        <v/>
      </c>
      <c r="C83" s="1" t="str">
        <f>IF('RAW DATA'!$D83&lt;&gt;"",'RAW DATA'!$D83,"")</f>
        <v/>
      </c>
      <c r="D83" s="1" t="str">
        <f>IF(AND($B82&lt;&gt;"", $B83=""), "TOTAL:", IF($D82="TOTAL:","VESSEL TARGET "&amp;'RAW DATA'!$E$2&amp;":",IF('RAW DATA'!$E83&lt;&gt;"",'RAW DATA'!$E83,"")))</f>
        <v/>
      </c>
      <c r="E83" s="4" t="str">
        <f>IF($D82="TOTAL:",FIXED(ROUND(((SUM($E$4:$E81)/'RAW DATA'!$E$2)*100),1),1)&amp;"%",IF($D83="TOTAL:",SUM($E$4:$E82),IF(SUMIF('RAW DATA'!M:M,'RAW DATA'!B83,'RAW DATA'!H:H)=0,"",SUMIF('RAW DATA'!M:M,'RAW DATA'!B83,'RAW DATA'!H:H))))</f>
        <v/>
      </c>
      <c r="F83" s="4" t="str">
        <f>IF($D82="TOTAL:",FIXED(ROUND(((SUM($F$4:$F81)/'RAW DATA'!$E$2)*100),1),1)&amp;"%",IF($D83="TOTAL:",SUM($F$4:$F82),IF(SUMIF('RAW DATA'!M:M,'RAW DATA'!B83,'RAW DATA'!I:I)=0,"",SUMIF('RAW DATA'!M:M,'RAW DATA'!B83,'RAW DATA'!I:I))))</f>
        <v/>
      </c>
      <c r="G83" s="24" t="str">
        <f t="shared" si="1"/>
        <v/>
      </c>
    </row>
    <row r="84" spans="2:7" x14ac:dyDescent="0.25">
      <c r="B84" s="1" t="str">
        <f>IF('RAW DATA'!$C84&lt;&gt;"",'RAW DATA'!$C84,"")</f>
        <v/>
      </c>
      <c r="C84" s="1" t="str">
        <f>IF('RAW DATA'!$D84&lt;&gt;"",'RAW DATA'!$D84,"")</f>
        <v/>
      </c>
      <c r="D84" s="1" t="str">
        <f>IF(AND($B83&lt;&gt;"", $B84=""), "TOTAL:", IF($D83="TOTAL:","VESSEL TARGET "&amp;'RAW DATA'!$E$2&amp;":",IF('RAW DATA'!$E84&lt;&gt;"",'RAW DATA'!$E84,"")))</f>
        <v/>
      </c>
      <c r="E84" s="4" t="str">
        <f>IF($D83="TOTAL:",FIXED(ROUND(((SUM($E$4:$E82)/'RAW DATA'!$E$2)*100),1),1)&amp;"%",IF($D84="TOTAL:",SUM($E$4:$E83),IF(SUMIF('RAW DATA'!M:M,'RAW DATA'!B84,'RAW DATA'!H:H)=0,"",SUMIF('RAW DATA'!M:M,'RAW DATA'!B84,'RAW DATA'!H:H))))</f>
        <v/>
      </c>
      <c r="F84" s="4" t="str">
        <f>IF($D83="TOTAL:",FIXED(ROUND(((SUM($F$4:$F82)/'RAW DATA'!$E$2)*100),1),1)&amp;"%",IF($D84="TOTAL:",SUM($F$4:$F83),IF(SUMIF('RAW DATA'!M:M,'RAW DATA'!B84,'RAW DATA'!I:I)=0,"",SUMIF('RAW DATA'!M:M,'RAW DATA'!B84,'RAW DATA'!I:I))))</f>
        <v/>
      </c>
      <c r="G84" s="24" t="str">
        <f t="shared" si="1"/>
        <v/>
      </c>
    </row>
    <row r="85" spans="2:7" x14ac:dyDescent="0.25">
      <c r="B85" s="1" t="str">
        <f>IF('RAW DATA'!$C85&lt;&gt;"",'RAW DATA'!$C85,"")</f>
        <v/>
      </c>
      <c r="C85" s="1" t="str">
        <f>IF('RAW DATA'!$D85&lt;&gt;"",'RAW DATA'!$D85,"")</f>
        <v/>
      </c>
      <c r="D85" s="1" t="str">
        <f>IF(AND($B84&lt;&gt;"", $B85=""), "TOTAL:", IF($D84="TOTAL:","VESSEL TARGET "&amp;'RAW DATA'!$E$2&amp;":",IF('RAW DATA'!$E85&lt;&gt;"",'RAW DATA'!$E85,"")))</f>
        <v/>
      </c>
      <c r="E85" s="4" t="str">
        <f>IF($D84="TOTAL:",FIXED(ROUND(((SUM($E$4:$E83)/'RAW DATA'!$E$2)*100),1),1)&amp;"%",IF($D85="TOTAL:",SUM($E$4:$E84),IF(SUMIF('RAW DATA'!M:M,'RAW DATA'!B85,'RAW DATA'!H:H)=0,"",SUMIF('RAW DATA'!M:M,'RAW DATA'!B85,'RAW DATA'!H:H))))</f>
        <v/>
      </c>
      <c r="F85" s="4" t="str">
        <f>IF($D84="TOTAL:",FIXED(ROUND(((SUM($F$4:$F83)/'RAW DATA'!$E$2)*100),1),1)&amp;"%",IF($D85="TOTAL:",SUM($F$4:$F84),IF(SUMIF('RAW DATA'!M:M,'RAW DATA'!B85,'RAW DATA'!I:I)=0,"",SUMIF('RAW DATA'!M:M,'RAW DATA'!B85,'RAW DATA'!I:I))))</f>
        <v/>
      </c>
      <c r="G85" s="24" t="str">
        <f t="shared" si="1"/>
        <v/>
      </c>
    </row>
    <row r="86" spans="2:7" x14ac:dyDescent="0.25">
      <c r="B86" s="1" t="str">
        <f>IF('RAW DATA'!$C86&lt;&gt;"",'RAW DATA'!$C86,"")</f>
        <v/>
      </c>
      <c r="C86" s="1" t="str">
        <f>IF('RAW DATA'!$D86&lt;&gt;"",'RAW DATA'!$D86,"")</f>
        <v/>
      </c>
      <c r="D86" s="1" t="str">
        <f>IF(AND($B85&lt;&gt;"", $B86=""), "TOTAL:", IF($D85="TOTAL:","VESSEL TARGET "&amp;'RAW DATA'!$E$2&amp;":",IF('RAW DATA'!$E86&lt;&gt;"",'RAW DATA'!$E86,"")))</f>
        <v/>
      </c>
      <c r="E86" s="4" t="str">
        <f>IF($D85="TOTAL:",FIXED(ROUND(((SUM($E$4:$E84)/'RAW DATA'!$E$2)*100),1),1)&amp;"%",IF($D86="TOTAL:",SUM($E$4:$E85),IF(SUMIF('RAW DATA'!M:M,'RAW DATA'!B86,'RAW DATA'!H:H)=0,"",SUMIF('RAW DATA'!M:M,'RAW DATA'!B86,'RAW DATA'!H:H))))</f>
        <v/>
      </c>
      <c r="F86" s="4" t="str">
        <f>IF($D85="TOTAL:",FIXED(ROUND(((SUM($F$4:$F84)/'RAW DATA'!$E$2)*100),1),1)&amp;"%",IF($D86="TOTAL:",SUM($F$4:$F85),IF(SUMIF('RAW DATA'!M:M,'RAW DATA'!B86,'RAW DATA'!I:I)=0,"",SUMIF('RAW DATA'!M:M,'RAW DATA'!B86,'RAW DATA'!I:I))))</f>
        <v/>
      </c>
      <c r="G86" s="24" t="str">
        <f t="shared" si="1"/>
        <v/>
      </c>
    </row>
    <row r="87" spans="2:7" x14ac:dyDescent="0.25">
      <c r="B87" s="1" t="str">
        <f>IF('RAW DATA'!$C87&lt;&gt;"",'RAW DATA'!$C87,"")</f>
        <v/>
      </c>
      <c r="C87" s="1" t="str">
        <f>IF('RAW DATA'!$D87&lt;&gt;"",'RAW DATA'!$D87,"")</f>
        <v/>
      </c>
      <c r="D87" s="1" t="str">
        <f>IF(AND($B86&lt;&gt;"", $B87=""), "TOTAL:", IF($D86="TOTAL:","VESSEL TARGET "&amp;'RAW DATA'!$E$2&amp;":",IF('RAW DATA'!$E87&lt;&gt;"",'RAW DATA'!$E87,"")))</f>
        <v/>
      </c>
      <c r="E87" s="4" t="str">
        <f>IF($D86="TOTAL:",FIXED(ROUND(((SUM($E$4:$E85)/'RAW DATA'!$E$2)*100),1),1)&amp;"%",IF($D87="TOTAL:",SUM($E$4:$E86),IF(SUMIF('RAW DATA'!M:M,'RAW DATA'!B87,'RAW DATA'!H:H)=0,"",SUMIF('RAW DATA'!M:M,'RAW DATA'!B87,'RAW DATA'!H:H))))</f>
        <v/>
      </c>
      <c r="F87" s="4" t="str">
        <f>IF($D86="TOTAL:",FIXED(ROUND(((SUM($F$4:$F85)/'RAW DATA'!$E$2)*100),1),1)&amp;"%",IF($D87="TOTAL:",SUM($F$4:$F86),IF(SUMIF('RAW DATA'!M:M,'RAW DATA'!B87,'RAW DATA'!I:I)=0,"",SUMIF('RAW DATA'!M:M,'RAW DATA'!B87,'RAW DATA'!I:I))))</f>
        <v/>
      </c>
      <c r="G87" s="24" t="str">
        <f t="shared" si="1"/>
        <v/>
      </c>
    </row>
    <row r="88" spans="2:7" x14ac:dyDescent="0.25">
      <c r="B88" s="1" t="str">
        <f>IF('RAW DATA'!$C88&lt;&gt;"",'RAW DATA'!$C88,"")</f>
        <v/>
      </c>
      <c r="C88" s="1" t="str">
        <f>IF('RAW DATA'!$D88&lt;&gt;"",'RAW DATA'!$D88,"")</f>
        <v/>
      </c>
      <c r="D88" s="1" t="str">
        <f>IF(AND($B87&lt;&gt;"", $B88=""), "TOTAL:", IF($D87="TOTAL:","VESSEL TARGET "&amp;'RAW DATA'!$E$2&amp;":",IF('RAW DATA'!$E88&lt;&gt;"",'RAW DATA'!$E88,"")))</f>
        <v/>
      </c>
      <c r="E88" s="4" t="str">
        <f>IF($D87="TOTAL:",FIXED(ROUND(((SUM($E$4:$E86)/'RAW DATA'!$E$2)*100),1),1)&amp;"%",IF($D88="TOTAL:",SUM($E$4:$E87),IF(SUMIF('RAW DATA'!M:M,'RAW DATA'!B88,'RAW DATA'!H:H)=0,"",SUMIF('RAW DATA'!M:M,'RAW DATA'!B88,'RAW DATA'!H:H))))</f>
        <v/>
      </c>
      <c r="F88" s="4" t="str">
        <f>IF($D87="TOTAL:",FIXED(ROUND(((SUM($F$4:$F86)/'RAW DATA'!$E$2)*100),1),1)&amp;"%",IF($D88="TOTAL:",SUM($F$4:$F87),IF(SUMIF('RAW DATA'!M:M,'RAW DATA'!B88,'RAW DATA'!I:I)=0,"",SUMIF('RAW DATA'!M:M,'RAW DATA'!B88,'RAW DATA'!I:I))))</f>
        <v/>
      </c>
      <c r="G88" s="24" t="str">
        <f t="shared" si="1"/>
        <v/>
      </c>
    </row>
    <row r="89" spans="2:7" x14ac:dyDescent="0.25">
      <c r="B89" s="1" t="str">
        <f>IF('RAW DATA'!$C89&lt;&gt;"",'RAW DATA'!$C89,"")</f>
        <v/>
      </c>
      <c r="C89" s="1" t="str">
        <f>IF('RAW DATA'!$D89&lt;&gt;"",'RAW DATA'!$D89,"")</f>
        <v/>
      </c>
      <c r="D89" s="1" t="str">
        <f>IF(AND($B88&lt;&gt;"", $B89=""), "TOTAL:", IF($D88="TOTAL:","VESSEL TARGET "&amp;'RAW DATA'!$E$2&amp;":",IF('RAW DATA'!$E89&lt;&gt;"",'RAW DATA'!$E89,"")))</f>
        <v/>
      </c>
      <c r="E89" s="4" t="str">
        <f>IF($D88="TOTAL:",FIXED(ROUND(((SUM($E$4:$E87)/'RAW DATA'!$E$2)*100),1),1)&amp;"%",IF($D89="TOTAL:",SUM($E$4:$E88),IF(SUMIF('RAW DATA'!M:M,'RAW DATA'!B89,'RAW DATA'!H:H)=0,"",SUMIF('RAW DATA'!M:M,'RAW DATA'!B89,'RAW DATA'!H:H))))</f>
        <v/>
      </c>
      <c r="F89" s="4" t="str">
        <f>IF($D88="TOTAL:",FIXED(ROUND(((SUM($F$4:$F87)/'RAW DATA'!$E$2)*100),1),1)&amp;"%",IF($D89="TOTAL:",SUM($F$4:$F88),IF(SUMIF('RAW DATA'!M:M,'RAW DATA'!B89,'RAW DATA'!I:I)=0,"",SUMIF('RAW DATA'!M:M,'RAW DATA'!B89,'RAW DATA'!I:I))))</f>
        <v/>
      </c>
      <c r="G89" s="24" t="str">
        <f t="shared" si="1"/>
        <v/>
      </c>
    </row>
    <row r="90" spans="2:7" x14ac:dyDescent="0.25">
      <c r="B90" s="1" t="str">
        <f>IF('RAW DATA'!$C90&lt;&gt;"",'RAW DATA'!$C90,"")</f>
        <v/>
      </c>
      <c r="C90" s="1" t="str">
        <f>IF('RAW DATA'!$D90&lt;&gt;"",'RAW DATA'!$D90,"")</f>
        <v/>
      </c>
      <c r="D90" s="1" t="str">
        <f>IF(AND($B89&lt;&gt;"", $B90=""), "TOTAL:", IF($D89="TOTAL:","VESSEL TARGET "&amp;'RAW DATA'!$E$2&amp;":",IF('RAW DATA'!$E90&lt;&gt;"",'RAW DATA'!$E90,"")))</f>
        <v/>
      </c>
      <c r="E90" s="4" t="str">
        <f>IF($D89="TOTAL:",FIXED(ROUND(((SUM($E$4:$E88)/'RAW DATA'!$E$2)*100),1),1)&amp;"%",IF($D90="TOTAL:",SUM($E$4:$E89),IF(SUMIF('RAW DATA'!M:M,'RAW DATA'!B90,'RAW DATA'!H:H)=0,"",SUMIF('RAW DATA'!M:M,'RAW DATA'!B90,'RAW DATA'!H:H))))</f>
        <v/>
      </c>
      <c r="F90" s="4" t="str">
        <f>IF($D89="TOTAL:",FIXED(ROUND(((SUM($F$4:$F88)/'RAW DATA'!$E$2)*100),1),1)&amp;"%",IF($D90="TOTAL:",SUM($F$4:$F89),IF(SUMIF('RAW DATA'!M:M,'RAW DATA'!B90,'RAW DATA'!I:I)=0,"",SUMIF('RAW DATA'!M:M,'RAW DATA'!B90,'RAW DATA'!I:I))))</f>
        <v/>
      </c>
      <c r="G90" s="24" t="str">
        <f t="shared" si="1"/>
        <v/>
      </c>
    </row>
    <row r="91" spans="2:7" x14ac:dyDescent="0.25">
      <c r="B91" s="1" t="str">
        <f>IF('RAW DATA'!$C91&lt;&gt;"",'RAW DATA'!$C91,"")</f>
        <v/>
      </c>
      <c r="C91" s="1" t="str">
        <f>IF('RAW DATA'!$D91&lt;&gt;"",'RAW DATA'!$D91,"")</f>
        <v/>
      </c>
      <c r="D91" s="1" t="str">
        <f>IF(AND($B90&lt;&gt;"", $B91=""), "TOTAL:", IF($D90="TOTAL:","VESSEL TARGET "&amp;'RAW DATA'!$E$2&amp;":",IF('RAW DATA'!$E91&lt;&gt;"",'RAW DATA'!$E91,"")))</f>
        <v/>
      </c>
      <c r="E91" s="4" t="str">
        <f>IF($D90="TOTAL:",FIXED(ROUND(((SUM($E$4:$E89)/'RAW DATA'!$E$2)*100),1),1)&amp;"%",IF($D91="TOTAL:",SUM($E$4:$E90),IF(SUMIF('RAW DATA'!M:M,'RAW DATA'!B91,'RAW DATA'!H:H)=0,"",SUMIF('RAW DATA'!M:M,'RAW DATA'!B91,'RAW DATA'!H:H))))</f>
        <v/>
      </c>
      <c r="F91" s="4" t="str">
        <f>IF($D90="TOTAL:",FIXED(ROUND(((SUM($F$4:$F89)/'RAW DATA'!$E$2)*100),1),1)&amp;"%",IF($D91="TOTAL:",SUM($F$4:$F90),IF(SUMIF('RAW DATA'!M:M,'RAW DATA'!B91,'RAW DATA'!I:I)=0,"",SUMIF('RAW DATA'!M:M,'RAW DATA'!B91,'RAW DATA'!I:I))))</f>
        <v/>
      </c>
      <c r="G91" s="24" t="str">
        <f t="shared" si="1"/>
        <v/>
      </c>
    </row>
    <row r="92" spans="2:7" x14ac:dyDescent="0.25">
      <c r="B92" s="1" t="str">
        <f>IF('RAW DATA'!$C92&lt;&gt;"",'RAW DATA'!$C92,"")</f>
        <v/>
      </c>
      <c r="C92" s="1" t="str">
        <f>IF('RAW DATA'!$D92&lt;&gt;"",'RAW DATA'!$D92,"")</f>
        <v/>
      </c>
      <c r="D92" s="1" t="str">
        <f>IF(AND($B91&lt;&gt;"", $B92=""), "TOTAL:", IF($D91="TOTAL:","VESSEL TARGET "&amp;'RAW DATA'!$E$2&amp;":",IF('RAW DATA'!$E92&lt;&gt;"",'RAW DATA'!$E92,"")))</f>
        <v/>
      </c>
      <c r="E92" s="4" t="str">
        <f>IF($D91="TOTAL:",FIXED(ROUND(((SUM($E$4:$E90)/'RAW DATA'!$E$2)*100),1),1)&amp;"%",IF($D92="TOTAL:",SUM($E$4:$E91),IF(SUMIF('RAW DATA'!M:M,'RAW DATA'!B92,'RAW DATA'!H:H)=0,"",SUMIF('RAW DATA'!M:M,'RAW DATA'!B92,'RAW DATA'!H:H))))</f>
        <v/>
      </c>
      <c r="F92" s="4" t="str">
        <f>IF($D91="TOTAL:",FIXED(ROUND(((SUM($F$4:$F90)/'RAW DATA'!$E$2)*100),1),1)&amp;"%",IF($D92="TOTAL:",SUM($F$4:$F91),IF(SUMIF('RAW DATA'!M:M,'RAW DATA'!B92,'RAW DATA'!I:I)=0,"",SUMIF('RAW DATA'!M:M,'RAW DATA'!B92,'RAW DATA'!I:I))))</f>
        <v/>
      </c>
      <c r="G92" s="24" t="str">
        <f t="shared" si="1"/>
        <v/>
      </c>
    </row>
    <row r="93" spans="2:7" x14ac:dyDescent="0.25">
      <c r="B93" s="1" t="str">
        <f>IF('RAW DATA'!$C93&lt;&gt;"",'RAW DATA'!$C93,"")</f>
        <v/>
      </c>
      <c r="C93" s="1" t="str">
        <f>IF('RAW DATA'!$D93&lt;&gt;"",'RAW DATA'!$D93,"")</f>
        <v/>
      </c>
      <c r="D93" s="1" t="str">
        <f>IF(AND($B92&lt;&gt;"", $B93=""), "TOTAL:", IF($D92="TOTAL:","VESSEL TARGET "&amp;'RAW DATA'!$E$2&amp;":",IF('RAW DATA'!$E93&lt;&gt;"",'RAW DATA'!$E93,"")))</f>
        <v/>
      </c>
      <c r="E93" s="4" t="str">
        <f>IF($D92="TOTAL:",FIXED(ROUND(((SUM($E$4:$E91)/'RAW DATA'!$E$2)*100),1),1)&amp;"%",IF($D93="TOTAL:",SUM($E$4:$E92),IF(SUMIF('RAW DATA'!M:M,'RAW DATA'!B93,'RAW DATA'!H:H)=0,"",SUMIF('RAW DATA'!M:M,'RAW DATA'!B93,'RAW DATA'!H:H))))</f>
        <v/>
      </c>
      <c r="F93" s="4" t="str">
        <f>IF($D92="TOTAL:",FIXED(ROUND(((SUM($F$4:$F91)/'RAW DATA'!$E$2)*100),1),1)&amp;"%",IF($D93="TOTAL:",SUM($F$4:$F92),IF(SUMIF('RAW DATA'!M:M,'RAW DATA'!B93,'RAW DATA'!I:I)=0,"",SUMIF('RAW DATA'!M:M,'RAW DATA'!B93,'RAW DATA'!I:I))))</f>
        <v/>
      </c>
      <c r="G93" s="24" t="str">
        <f t="shared" si="1"/>
        <v/>
      </c>
    </row>
    <row r="94" spans="2:7" x14ac:dyDescent="0.25">
      <c r="B94" s="1" t="str">
        <f>IF('RAW DATA'!$C94&lt;&gt;"",'RAW DATA'!$C94,"")</f>
        <v/>
      </c>
      <c r="C94" s="1" t="str">
        <f>IF('RAW DATA'!$D94&lt;&gt;"",'RAW DATA'!$D94,"")</f>
        <v/>
      </c>
      <c r="D94" s="1" t="str">
        <f>IF(AND($B93&lt;&gt;"", $B94=""), "TOTAL:", IF($D93="TOTAL:","VESSEL TARGET "&amp;'RAW DATA'!$E$2&amp;":",IF('RAW DATA'!$E94&lt;&gt;"",'RAW DATA'!$E94,"")))</f>
        <v/>
      </c>
      <c r="E94" s="4" t="str">
        <f>IF($D93="TOTAL:",FIXED(ROUND(((SUM($E$4:$E92)/'RAW DATA'!$E$2)*100),1),1)&amp;"%",IF($D94="TOTAL:",SUM($E$4:$E93),IF(SUMIF('RAW DATA'!M:M,'RAW DATA'!B94,'RAW DATA'!H:H)=0,"",SUMIF('RAW DATA'!M:M,'RAW DATA'!B94,'RAW DATA'!H:H))))</f>
        <v/>
      </c>
      <c r="F94" s="4" t="str">
        <f>IF($D93="TOTAL:",FIXED(ROUND(((SUM($F$4:$F92)/'RAW DATA'!$E$2)*100),1),1)&amp;"%",IF($D94="TOTAL:",SUM($F$4:$F93),IF(SUMIF('RAW DATA'!M:M,'RAW DATA'!B94,'RAW DATA'!I:I)=0,"",SUMIF('RAW DATA'!M:M,'RAW DATA'!B94,'RAW DATA'!I:I))))</f>
        <v/>
      </c>
      <c r="G94" s="24" t="str">
        <f t="shared" si="1"/>
        <v/>
      </c>
    </row>
    <row r="95" spans="2:7" x14ac:dyDescent="0.25">
      <c r="B95" s="1" t="str">
        <f>IF('RAW DATA'!$C95&lt;&gt;"",'RAW DATA'!$C95,"")</f>
        <v/>
      </c>
      <c r="C95" s="1" t="str">
        <f>IF('RAW DATA'!$D95&lt;&gt;"",'RAW DATA'!$D95,"")</f>
        <v/>
      </c>
      <c r="D95" s="1" t="str">
        <f>IF(AND($B94&lt;&gt;"", $B95=""), "TOTAL:", IF($D94="TOTAL:","VESSEL TARGET "&amp;'RAW DATA'!$E$2&amp;":",IF('RAW DATA'!$E95&lt;&gt;"",'RAW DATA'!$E95,"")))</f>
        <v/>
      </c>
      <c r="E95" s="4" t="str">
        <f>IF($D94="TOTAL:",FIXED(ROUND(((SUM($E$4:$E93)/'RAW DATA'!$E$2)*100),1),1)&amp;"%",IF($D95="TOTAL:",SUM($E$4:$E94),IF(SUMIF('RAW DATA'!M:M,'RAW DATA'!B95,'RAW DATA'!H:H)=0,"",SUMIF('RAW DATA'!M:M,'RAW DATA'!B95,'RAW DATA'!H:H))))</f>
        <v/>
      </c>
      <c r="F95" s="4" t="str">
        <f>IF($D94="TOTAL:",FIXED(ROUND(((SUM($F$4:$F93)/'RAW DATA'!$E$2)*100),1),1)&amp;"%",IF($D95="TOTAL:",SUM($F$4:$F94),IF(SUMIF('RAW DATA'!M:M,'RAW DATA'!B95,'RAW DATA'!I:I)=0,"",SUMIF('RAW DATA'!M:M,'RAW DATA'!B95,'RAW DATA'!I:I))))</f>
        <v/>
      </c>
      <c r="G95" s="24" t="str">
        <f t="shared" si="1"/>
        <v/>
      </c>
    </row>
    <row r="96" spans="2:7" x14ac:dyDescent="0.25">
      <c r="B96" s="1" t="str">
        <f>IF('RAW DATA'!$C96&lt;&gt;"",'RAW DATA'!$C96,"")</f>
        <v/>
      </c>
      <c r="C96" s="1" t="str">
        <f>IF('RAW DATA'!$D96&lt;&gt;"",'RAW DATA'!$D96,"")</f>
        <v/>
      </c>
      <c r="D96" s="1" t="str">
        <f>IF(AND($B95&lt;&gt;"", $B96=""), "TOTAL:", IF($D95="TOTAL:","VESSEL TARGET "&amp;'RAW DATA'!$E$2&amp;":",IF('RAW DATA'!$E96&lt;&gt;"",'RAW DATA'!$E96,"")))</f>
        <v/>
      </c>
      <c r="E96" s="4" t="str">
        <f>IF($D95="TOTAL:",FIXED(ROUND(((SUM($E$4:$E94)/'RAW DATA'!$E$2)*100),1),1)&amp;"%",IF($D96="TOTAL:",SUM($E$4:$E95),IF(SUMIF('RAW DATA'!M:M,'RAW DATA'!B96,'RAW DATA'!H:H)=0,"",SUMIF('RAW DATA'!M:M,'RAW DATA'!B96,'RAW DATA'!H:H))))</f>
        <v/>
      </c>
      <c r="F96" s="4" t="str">
        <f>IF($D95="TOTAL:",FIXED(ROUND(((SUM($F$4:$F94)/'RAW DATA'!$E$2)*100),1),1)&amp;"%",IF($D96="TOTAL:",SUM($F$4:$F95),IF(SUMIF('RAW DATA'!M:M,'RAW DATA'!B96,'RAW DATA'!I:I)=0,"",SUMIF('RAW DATA'!M:M,'RAW DATA'!B96,'RAW DATA'!I:I))))</f>
        <v/>
      </c>
      <c r="G96" s="24" t="str">
        <f t="shared" si="1"/>
        <v/>
      </c>
    </row>
    <row r="97" spans="2:7" x14ac:dyDescent="0.25">
      <c r="B97" s="1" t="str">
        <f>IF('RAW DATA'!$C97&lt;&gt;"",'RAW DATA'!$C97,"")</f>
        <v/>
      </c>
      <c r="C97" s="1" t="str">
        <f>IF('RAW DATA'!$D97&lt;&gt;"",'RAW DATA'!$D97,"")</f>
        <v/>
      </c>
      <c r="D97" s="1" t="str">
        <f>IF(AND($B96&lt;&gt;"", $B97=""), "TOTAL:", IF($D96="TOTAL:","VESSEL TARGET "&amp;'RAW DATA'!$E$2&amp;":",IF('RAW DATA'!$E97&lt;&gt;"",'RAW DATA'!$E97,"")))</f>
        <v/>
      </c>
      <c r="E97" s="4" t="str">
        <f>IF($D96="TOTAL:",FIXED(ROUND(((SUM($E$4:$E95)/'RAW DATA'!$E$2)*100),1),1)&amp;"%",IF($D97="TOTAL:",SUM($E$4:$E96),IF(SUMIF('RAW DATA'!M:M,'RAW DATA'!B97,'RAW DATA'!H:H)=0,"",SUMIF('RAW DATA'!M:M,'RAW DATA'!B97,'RAW DATA'!H:H))))</f>
        <v/>
      </c>
      <c r="F97" s="4" t="str">
        <f>IF($D96="TOTAL:",FIXED(ROUND(((SUM($F$4:$F95)/'RAW DATA'!$E$2)*100),1),1)&amp;"%",IF($D97="TOTAL:",SUM($F$4:$F96),IF(SUMIF('RAW DATA'!M:M,'RAW DATA'!B97,'RAW DATA'!I:I)=0,"",SUMIF('RAW DATA'!M:M,'RAW DATA'!B97,'RAW DATA'!I:I))))</f>
        <v/>
      </c>
      <c r="G97" s="24" t="str">
        <f t="shared" si="1"/>
        <v/>
      </c>
    </row>
    <row r="98" spans="2:7" x14ac:dyDescent="0.25">
      <c r="B98" s="1" t="str">
        <f>IF('RAW DATA'!$C98&lt;&gt;"",'RAW DATA'!$C98,"")</f>
        <v/>
      </c>
      <c r="C98" s="1" t="str">
        <f>IF('RAW DATA'!$D98&lt;&gt;"",'RAW DATA'!$D98,"")</f>
        <v/>
      </c>
      <c r="D98" s="1" t="str">
        <f>IF(AND($B97&lt;&gt;"", $B98=""), "TOTAL:", IF($D97="TOTAL:","VESSEL TARGET "&amp;'RAW DATA'!$E$2&amp;":",IF('RAW DATA'!$E98&lt;&gt;"",'RAW DATA'!$E98,"")))</f>
        <v/>
      </c>
      <c r="E98" s="4" t="str">
        <f>IF($D97="TOTAL:",FIXED(ROUND(((SUM($E$4:$E96)/'RAW DATA'!$E$2)*100),1),1)&amp;"%",IF($D98="TOTAL:",SUM($E$4:$E97),IF(SUMIF('RAW DATA'!M:M,'RAW DATA'!B98,'RAW DATA'!H:H)=0,"",SUMIF('RAW DATA'!M:M,'RAW DATA'!B98,'RAW DATA'!H:H))))</f>
        <v/>
      </c>
      <c r="F98" s="4" t="str">
        <f>IF($D97="TOTAL:",FIXED(ROUND(((SUM($F$4:$F96)/'RAW DATA'!$E$2)*100),1),1)&amp;"%",IF($D98="TOTAL:",SUM($F$4:$F97),IF(SUMIF('RAW DATA'!M:M,'RAW DATA'!B98,'RAW DATA'!I:I)=0,"",SUMIF('RAW DATA'!M:M,'RAW DATA'!B98,'RAW DATA'!I:I))))</f>
        <v/>
      </c>
      <c r="G98" s="24" t="str">
        <f t="shared" si="1"/>
        <v/>
      </c>
    </row>
    <row r="99" spans="2:7" x14ac:dyDescent="0.25">
      <c r="B99" s="1" t="str">
        <f>IF('RAW DATA'!$C99&lt;&gt;"",'RAW DATA'!$C99,"")</f>
        <v/>
      </c>
      <c r="C99" s="1" t="str">
        <f>IF('RAW DATA'!$D99&lt;&gt;"",'RAW DATA'!$D99,"")</f>
        <v/>
      </c>
      <c r="D99" s="1" t="str">
        <f>IF(AND($B98&lt;&gt;"", $B99=""), "TOTAL:", IF($D98="TOTAL:","VESSEL TARGET "&amp;'RAW DATA'!$E$2&amp;":",IF('RAW DATA'!$E99&lt;&gt;"",'RAW DATA'!$E99,"")))</f>
        <v/>
      </c>
      <c r="E99" s="4" t="str">
        <f>IF($D98="TOTAL:",FIXED(ROUND(((SUM($E$4:$E97)/'RAW DATA'!$E$2)*100),1),1)&amp;"%",IF($D99="TOTAL:",SUM($E$4:$E98),IF(SUMIF('RAW DATA'!M:M,'RAW DATA'!B99,'RAW DATA'!H:H)=0,"",SUMIF('RAW DATA'!M:M,'RAW DATA'!B99,'RAW DATA'!H:H))))</f>
        <v/>
      </c>
      <c r="F99" s="4" t="str">
        <f>IF($D98="TOTAL:",FIXED(ROUND(((SUM($F$4:$F97)/'RAW DATA'!$E$2)*100),1),1)&amp;"%",IF($D99="TOTAL:",SUM($F$4:$F98),IF(SUMIF('RAW DATA'!M:M,'RAW DATA'!B99,'RAW DATA'!I:I)=0,"",SUMIF('RAW DATA'!M:M,'RAW DATA'!B99,'RAW DATA'!I:I))))</f>
        <v/>
      </c>
      <c r="G99" s="24" t="str">
        <f t="shared" si="1"/>
        <v/>
      </c>
    </row>
    <row r="100" spans="2:7" x14ac:dyDescent="0.25">
      <c r="B100" s="1" t="str">
        <f>IF('RAW DATA'!$C100&lt;&gt;"",'RAW DATA'!$C100,"")</f>
        <v/>
      </c>
      <c r="C100" s="1" t="str">
        <f>IF('RAW DATA'!$D100&lt;&gt;"",'RAW DATA'!$D100,"")</f>
        <v/>
      </c>
      <c r="D100" s="1" t="str">
        <f>IF(AND($B99&lt;&gt;"", $B100=""), "TOTAL:", IF($D99="TOTAL:","VESSEL TARGET "&amp;'RAW DATA'!$E$2&amp;":",IF('RAW DATA'!$E100&lt;&gt;"",'RAW DATA'!$E100,"")))</f>
        <v/>
      </c>
      <c r="E100" s="4" t="str">
        <f>IF($D99="TOTAL:",FIXED(ROUND(((SUM($E$4:$E98)/'RAW DATA'!$E$2)*100),1),1)&amp;"%",IF($D100="TOTAL:",SUM($E$4:$E99),IF(SUMIF('RAW DATA'!M:M,'RAW DATA'!B100,'RAW DATA'!H:H)=0,"",SUMIF('RAW DATA'!M:M,'RAW DATA'!B100,'RAW DATA'!H:H))))</f>
        <v/>
      </c>
      <c r="F100" s="4" t="str">
        <f>IF($D99="TOTAL:",FIXED(ROUND(((SUM($F$4:$F98)/'RAW DATA'!$E$2)*100),1),1)&amp;"%",IF($D100="TOTAL:",SUM($F$4:$F99),IF(SUMIF('RAW DATA'!M:M,'RAW DATA'!B100,'RAW DATA'!I:I)=0,"",SUMIF('RAW DATA'!M:M,'RAW DATA'!B100,'RAW DATA'!I:I))))</f>
        <v/>
      </c>
      <c r="G100" s="24" t="str">
        <f t="shared" si="1"/>
        <v/>
      </c>
    </row>
    <row r="101" spans="2:7" x14ac:dyDescent="0.25">
      <c r="B101" s="1" t="str">
        <f>IF('RAW DATA'!$C101&lt;&gt;"",'RAW DATA'!$C101,"")</f>
        <v/>
      </c>
      <c r="C101" s="1" t="str">
        <f>IF('RAW DATA'!$D101&lt;&gt;"",'RAW DATA'!$D101,"")</f>
        <v/>
      </c>
      <c r="D101" s="1" t="str">
        <f>IF(AND($B100&lt;&gt;"", $B101=""), "TOTAL:", IF($D100="TOTAL:","VESSEL TARGET "&amp;'RAW DATA'!$E$2&amp;":",IF('RAW DATA'!$E101&lt;&gt;"",'RAW DATA'!$E101,"")))</f>
        <v/>
      </c>
      <c r="E101" s="4" t="str">
        <f>IF($D100="TOTAL:",FIXED(ROUND(((SUM($E$4:$E99)/'RAW DATA'!$E$2)*100),1),1)&amp;"%",IF($D101="TOTAL:",SUM($E$4:$E100),IF(SUMIF('RAW DATA'!M:M,'RAW DATA'!B101,'RAW DATA'!H:H)=0,"",SUMIF('RAW DATA'!M:M,'RAW DATA'!B101,'RAW DATA'!H:H))))</f>
        <v/>
      </c>
      <c r="F101" s="4" t="str">
        <f>IF($D100="TOTAL:",FIXED(ROUND(((SUM($F$4:$F99)/'RAW DATA'!$E$2)*100),1),1)&amp;"%",IF($D101="TOTAL:",SUM($F$4:$F100),IF(SUMIF('RAW DATA'!M:M,'RAW DATA'!B101,'RAW DATA'!I:I)=0,"",SUMIF('RAW DATA'!M:M,'RAW DATA'!B101,'RAW DATA'!I:I))))</f>
        <v/>
      </c>
      <c r="G101" s="24" t="str">
        <f t="shared" si="1"/>
        <v/>
      </c>
    </row>
    <row r="102" spans="2:7" x14ac:dyDescent="0.25">
      <c r="B102" s="1" t="str">
        <f>IF('RAW DATA'!$C102&lt;&gt;"",'RAW DATA'!$C102,"")</f>
        <v/>
      </c>
      <c r="C102" s="1" t="str">
        <f>IF('RAW DATA'!$D102&lt;&gt;"",'RAW DATA'!$D102,"")</f>
        <v/>
      </c>
      <c r="D102" s="1" t="str">
        <f>IF(AND($B101&lt;&gt;"", $B102=""), "TOTAL:", IF($D101="TOTAL:","VESSEL TARGET "&amp;'RAW DATA'!$E$2&amp;":",IF('RAW DATA'!$E102&lt;&gt;"",'RAW DATA'!$E102,"")))</f>
        <v/>
      </c>
      <c r="E102" s="4" t="str">
        <f>IF($D101="TOTAL:",FIXED(ROUND(((SUM($E$4:$E100)/'RAW DATA'!$E$2)*100),1),1)&amp;"%",IF($D102="TOTAL:",SUM($E$4:$E101),IF(SUMIF('RAW DATA'!M:M,'RAW DATA'!B102,'RAW DATA'!H:H)=0,"",SUMIF('RAW DATA'!M:M,'RAW DATA'!B102,'RAW DATA'!H:H))))</f>
        <v/>
      </c>
      <c r="F102" s="4" t="str">
        <f>IF($D101="TOTAL:",FIXED(ROUND(((SUM($F$4:$F100)/'RAW DATA'!$E$2)*100),1),1)&amp;"%",IF($D102="TOTAL:",SUM($F$4:$F101),IF(SUMIF('RAW DATA'!M:M,'RAW DATA'!B102,'RAW DATA'!I:I)=0,"",SUMIF('RAW DATA'!M:M,'RAW DATA'!B102,'RAW DATA'!I:I))))</f>
        <v/>
      </c>
      <c r="G102" s="24" t="str">
        <f t="shared" si="1"/>
        <v/>
      </c>
    </row>
    <row r="103" spans="2:7" x14ac:dyDescent="0.25">
      <c r="B103" s="1" t="str">
        <f>IF('RAW DATA'!$C103&lt;&gt;"",'RAW DATA'!$C103,"")</f>
        <v/>
      </c>
      <c r="C103" s="1" t="str">
        <f>IF('RAW DATA'!$D103&lt;&gt;"",'RAW DATA'!$D103,"")</f>
        <v/>
      </c>
      <c r="D103" s="1" t="str">
        <f>IF(AND($B102&lt;&gt;"", $B103=""), "TOTAL:", IF($D102="TOTAL:","VESSEL TARGET "&amp;'RAW DATA'!$E$2&amp;":",IF('RAW DATA'!$E103&lt;&gt;"",'RAW DATA'!$E103,"")))</f>
        <v/>
      </c>
      <c r="E103" s="4" t="str">
        <f>IF($D102="TOTAL:",FIXED(ROUND(((SUM($E$4:$E101)/'RAW DATA'!$E$2)*100),1),1)&amp;"%",IF($D103="TOTAL:",SUM($E$4:$E102),IF(SUMIF('RAW DATA'!M:M,'RAW DATA'!B103,'RAW DATA'!H:H)=0,"",SUMIF('RAW DATA'!M:M,'RAW DATA'!B103,'RAW DATA'!H:H))))</f>
        <v/>
      </c>
      <c r="F103" s="4" t="str">
        <f>IF($D102="TOTAL:",FIXED(ROUND(((SUM($F$4:$F101)/'RAW DATA'!$E$2)*100),1),1)&amp;"%",IF($D103="TOTAL:",SUM($F$4:$F102),IF(SUMIF('RAW DATA'!M:M,'RAW DATA'!B103,'RAW DATA'!I:I)=0,"",SUMIF('RAW DATA'!M:M,'RAW DATA'!B103,'RAW DATA'!I:I))))</f>
        <v/>
      </c>
      <c r="G103" s="24" t="str">
        <f t="shared" si="1"/>
        <v/>
      </c>
    </row>
    <row r="104" spans="2:7" x14ac:dyDescent="0.25">
      <c r="B104" s="1" t="str">
        <f>IF('RAW DATA'!$C104&lt;&gt;"",'RAW DATA'!$C104,"")</f>
        <v/>
      </c>
      <c r="C104" s="1" t="str">
        <f>IF('RAW DATA'!$D104&lt;&gt;"",'RAW DATA'!$D104,"")</f>
        <v/>
      </c>
      <c r="D104" s="1" t="str">
        <f>IF(AND($B103&lt;&gt;"", $B104=""), "TOTAL:", IF($D103="TOTAL:","VESSEL TARGET "&amp;'RAW DATA'!$E$2&amp;":",IF('RAW DATA'!$E104&lt;&gt;"",'RAW DATA'!$E104,"")))</f>
        <v/>
      </c>
      <c r="E104" s="4" t="str">
        <f>IF($D103="TOTAL:",FIXED(ROUND(((SUM($E$4:$E102)/'RAW DATA'!$E$2)*100),1),1)&amp;"%",IF($D104="TOTAL:",SUM($E$4:$E103),IF(SUMIF('RAW DATA'!M:M,'RAW DATA'!B104,'RAW DATA'!H:H)=0,"",SUMIF('RAW DATA'!M:M,'RAW DATA'!B104,'RAW DATA'!H:H))))</f>
        <v/>
      </c>
      <c r="F104" s="4" t="str">
        <f>IF($D103="TOTAL:",FIXED(ROUND(((SUM($F$4:$F102)/'RAW DATA'!$E$2)*100),1),1)&amp;"%",IF($D104="TOTAL:",SUM($F$4:$F103),IF(SUMIF('RAW DATA'!M:M,'RAW DATA'!B104,'RAW DATA'!I:I)=0,"",SUMIF('RAW DATA'!M:M,'RAW DATA'!B104,'RAW DATA'!I:I))))</f>
        <v/>
      </c>
      <c r="G104" s="24" t="str">
        <f t="shared" si="1"/>
        <v/>
      </c>
    </row>
    <row r="105" spans="2:7" x14ac:dyDescent="0.25">
      <c r="B105" s="1" t="str">
        <f>IF('RAW DATA'!$C105&lt;&gt;"",'RAW DATA'!$C105,"")</f>
        <v/>
      </c>
      <c r="C105" s="1" t="str">
        <f>IF('RAW DATA'!$D105&lt;&gt;"",'RAW DATA'!$D105,"")</f>
        <v/>
      </c>
      <c r="D105" s="1" t="str">
        <f>IF(AND($B104&lt;&gt;"", $B105=""), "TOTAL:", IF($D104="TOTAL:","VESSEL TARGET "&amp;'RAW DATA'!$E$2&amp;":",IF('RAW DATA'!$E105&lt;&gt;"",'RAW DATA'!$E105,"")))</f>
        <v/>
      </c>
      <c r="E105" s="4" t="str">
        <f>IF($D104="TOTAL:",FIXED(ROUND(((SUM($E$4:$E103)/'RAW DATA'!$E$2)*100),1),1)&amp;"%",IF($D105="TOTAL:",SUM($E$4:$E104),IF(SUMIF('RAW DATA'!M:M,'RAW DATA'!B105,'RAW DATA'!H:H)=0,"",SUMIF('RAW DATA'!M:M,'RAW DATA'!B105,'RAW DATA'!H:H))))</f>
        <v/>
      </c>
      <c r="F105" s="4" t="str">
        <f>IF($D104="TOTAL:",FIXED(ROUND(((SUM($F$4:$F103)/'RAW DATA'!$E$2)*100),1),1)&amp;"%",IF($D105="TOTAL:",SUM($F$4:$F104),IF(SUMIF('RAW DATA'!M:M,'RAW DATA'!B105,'RAW DATA'!I:I)=0,"",SUMIF('RAW DATA'!M:M,'RAW DATA'!B105,'RAW DATA'!I:I))))</f>
        <v/>
      </c>
      <c r="G105" s="24" t="str">
        <f t="shared" si="1"/>
        <v/>
      </c>
    </row>
    <row r="106" spans="2:7" x14ac:dyDescent="0.25">
      <c r="B106" s="1" t="str">
        <f>IF('RAW DATA'!$C106&lt;&gt;"",'RAW DATA'!$C106,"")</f>
        <v/>
      </c>
      <c r="C106" s="1" t="str">
        <f>IF('RAW DATA'!$D106&lt;&gt;"",'RAW DATA'!$D106,"")</f>
        <v/>
      </c>
      <c r="D106" s="1" t="str">
        <f>IF(AND($B105&lt;&gt;"", $B106=""), "TOTAL:", IF($D105="TOTAL:","VESSEL TARGET "&amp;'RAW DATA'!$E$2&amp;":",IF('RAW DATA'!$E106&lt;&gt;"",'RAW DATA'!$E106,"")))</f>
        <v/>
      </c>
      <c r="E106" s="4" t="str">
        <f>IF($D105="TOTAL:",FIXED(ROUND(((SUM($E$4:$E104)/'RAW DATA'!$E$2)*100),1),1)&amp;"%",IF($D106="TOTAL:",SUM($E$4:$E105),IF(SUMIF('RAW DATA'!M:M,'RAW DATA'!B106,'RAW DATA'!H:H)=0,"",SUMIF('RAW DATA'!M:M,'RAW DATA'!B106,'RAW DATA'!H:H))))</f>
        <v/>
      </c>
      <c r="F106" s="4" t="str">
        <f>IF($D105="TOTAL:",FIXED(ROUND(((SUM($F$4:$F104)/'RAW DATA'!$E$2)*100),1),1)&amp;"%",IF($D106="TOTAL:",SUM($F$4:$F105),IF(SUMIF('RAW DATA'!M:M,'RAW DATA'!B106,'RAW DATA'!I:I)=0,"",SUMIF('RAW DATA'!M:M,'RAW DATA'!B106,'RAW DATA'!I:I))))</f>
        <v/>
      </c>
      <c r="G106" s="24" t="str">
        <f t="shared" si="1"/>
        <v/>
      </c>
    </row>
    <row r="107" spans="2:7" x14ac:dyDescent="0.25">
      <c r="B107" s="1" t="str">
        <f>IF('RAW DATA'!$C107&lt;&gt;"",'RAW DATA'!$C107,"")</f>
        <v/>
      </c>
      <c r="C107" s="1" t="str">
        <f>IF('RAW DATA'!$D107&lt;&gt;"",'RAW DATA'!$D107,"")</f>
        <v/>
      </c>
      <c r="D107" s="1" t="str">
        <f>IF(AND($B106&lt;&gt;"", $B107=""), "TOTAL:", IF($D106="TOTAL:","VESSEL TARGET "&amp;'RAW DATA'!$E$2&amp;":",IF('RAW DATA'!$E107&lt;&gt;"",'RAW DATA'!$E107,"")))</f>
        <v/>
      </c>
      <c r="E107" s="4" t="str">
        <f>IF($D106="TOTAL:",FIXED(ROUND(((SUM($E$4:$E105)/'RAW DATA'!$E$2)*100),1),1)&amp;"%",IF($D107="TOTAL:",SUM($E$4:$E106),IF(SUMIF('RAW DATA'!M:M,'RAW DATA'!B107,'RAW DATA'!H:H)=0,"",SUMIF('RAW DATA'!M:M,'RAW DATA'!B107,'RAW DATA'!H:H))))</f>
        <v/>
      </c>
      <c r="F107" s="4" t="str">
        <f>IF($D106="TOTAL:",FIXED(ROUND(((SUM($F$4:$F105)/'RAW DATA'!$E$2)*100),1),1)&amp;"%",IF($D107="TOTAL:",SUM($F$4:$F106),IF(SUMIF('RAW DATA'!M:M,'RAW DATA'!B107,'RAW DATA'!I:I)=0,"",SUMIF('RAW DATA'!M:M,'RAW DATA'!B107,'RAW DATA'!I:I))))</f>
        <v/>
      </c>
      <c r="G107" s="24" t="str">
        <f t="shared" si="1"/>
        <v/>
      </c>
    </row>
    <row r="108" spans="2:7" x14ac:dyDescent="0.25">
      <c r="B108" s="1" t="str">
        <f>IF('RAW DATA'!$C108&lt;&gt;"",'RAW DATA'!$C108,"")</f>
        <v/>
      </c>
      <c r="C108" s="1" t="str">
        <f>IF('RAW DATA'!$D108&lt;&gt;"",'RAW DATA'!$D108,"")</f>
        <v/>
      </c>
      <c r="D108" s="1" t="str">
        <f>IF(AND($B107&lt;&gt;"", $B108=""), "TOTAL:", IF($D107="TOTAL:","VESSEL TARGET "&amp;'RAW DATA'!$E$2&amp;":",IF('RAW DATA'!$E108&lt;&gt;"",'RAW DATA'!$E108,"")))</f>
        <v/>
      </c>
      <c r="E108" s="4" t="str">
        <f>IF($D107="TOTAL:",FIXED(ROUND(((SUM($E$4:$E106)/'RAW DATA'!$E$2)*100),1),1)&amp;"%",IF($D108="TOTAL:",SUM($E$4:$E107),IF(SUMIF('RAW DATA'!M:M,'RAW DATA'!B108,'RAW DATA'!H:H)=0,"",SUMIF('RAW DATA'!M:M,'RAW DATA'!B108,'RAW DATA'!H:H))))</f>
        <v/>
      </c>
      <c r="F108" s="4" t="str">
        <f>IF($D107="TOTAL:",FIXED(ROUND(((SUM($F$4:$F106)/'RAW DATA'!$E$2)*100),1),1)&amp;"%",IF($D108="TOTAL:",SUM($F$4:$F107),IF(SUMIF('RAW DATA'!M:M,'RAW DATA'!B108,'RAW DATA'!I:I)=0,"",SUMIF('RAW DATA'!M:M,'RAW DATA'!B108,'RAW DATA'!I:I))))</f>
        <v/>
      </c>
      <c r="G108" s="24" t="str">
        <f t="shared" si="1"/>
        <v/>
      </c>
    </row>
    <row r="109" spans="2:7" x14ac:dyDescent="0.25">
      <c r="B109" s="1" t="str">
        <f>IF('RAW DATA'!$C109&lt;&gt;"",'RAW DATA'!$C109,"")</f>
        <v/>
      </c>
      <c r="C109" s="1" t="str">
        <f>IF('RAW DATA'!$D109&lt;&gt;"",'RAW DATA'!$D109,"")</f>
        <v/>
      </c>
      <c r="D109" s="1" t="str">
        <f>IF(AND($B108&lt;&gt;"", $B109=""), "TOTAL:", IF($D108="TOTAL:","VESSEL TARGET "&amp;'RAW DATA'!$E$2&amp;":",IF('RAW DATA'!$E109&lt;&gt;"",'RAW DATA'!$E109,"")))</f>
        <v/>
      </c>
      <c r="E109" s="4" t="str">
        <f>IF($D108="TOTAL:",FIXED(ROUND(((SUM($E$4:$E107)/'RAW DATA'!$E$2)*100),1),1)&amp;"%",IF($D109="TOTAL:",SUM($E$4:$E108),IF(SUMIF('RAW DATA'!M:M,'RAW DATA'!B109,'RAW DATA'!H:H)=0,"",SUMIF('RAW DATA'!M:M,'RAW DATA'!B109,'RAW DATA'!H:H))))</f>
        <v/>
      </c>
      <c r="F109" s="4" t="str">
        <f>IF($D108="TOTAL:",FIXED(ROUND(((SUM($F$4:$F107)/'RAW DATA'!$E$2)*100),1),1)&amp;"%",IF($D109="TOTAL:",SUM($F$4:$F108),IF(SUMIF('RAW DATA'!M:M,'RAW DATA'!B109,'RAW DATA'!I:I)=0,"",SUMIF('RAW DATA'!M:M,'RAW DATA'!B109,'RAW DATA'!I:I))))</f>
        <v/>
      </c>
      <c r="G109" s="24" t="str">
        <f t="shared" si="1"/>
        <v/>
      </c>
    </row>
    <row r="110" spans="2:7" x14ac:dyDescent="0.25">
      <c r="B110" s="1" t="str">
        <f>IF('RAW DATA'!$C110&lt;&gt;"",'RAW DATA'!$C110,"")</f>
        <v/>
      </c>
      <c r="C110" s="1" t="str">
        <f>IF('RAW DATA'!$D110&lt;&gt;"",'RAW DATA'!$D110,"")</f>
        <v/>
      </c>
      <c r="D110" s="1" t="str">
        <f>IF(AND($B109&lt;&gt;"", $B110=""), "TOTAL:", IF($D109="TOTAL:","VESSEL TARGET "&amp;'RAW DATA'!$E$2&amp;":",IF('RAW DATA'!$E110&lt;&gt;"",'RAW DATA'!$E110,"")))</f>
        <v/>
      </c>
      <c r="E110" s="4" t="str">
        <f>IF($D109="TOTAL:",FIXED(ROUND(((SUM($E$4:$E108)/'RAW DATA'!$E$2)*100),1),1)&amp;"%",IF($D110="TOTAL:",SUM($E$4:$E109),IF(SUMIF('RAW DATA'!M:M,'RAW DATA'!B110,'RAW DATA'!H:H)=0,"",SUMIF('RAW DATA'!M:M,'RAW DATA'!B110,'RAW DATA'!H:H))))</f>
        <v/>
      </c>
      <c r="F110" s="4" t="str">
        <f>IF($D109="TOTAL:",FIXED(ROUND(((SUM($F$4:$F108)/'RAW DATA'!$E$2)*100),1),1)&amp;"%",IF($D110="TOTAL:",SUM($F$4:$F109),IF(SUMIF('RAW DATA'!M:M,'RAW DATA'!B110,'RAW DATA'!I:I)=0,"",SUMIF('RAW DATA'!M:M,'RAW DATA'!B110,'RAW DATA'!I:I))))</f>
        <v/>
      </c>
      <c r="G110" s="24" t="str">
        <f t="shared" si="1"/>
        <v/>
      </c>
    </row>
    <row r="111" spans="2:7" x14ac:dyDescent="0.25">
      <c r="B111" s="1" t="str">
        <f>IF('RAW DATA'!$C111&lt;&gt;"",'RAW DATA'!$C111,"")</f>
        <v/>
      </c>
      <c r="C111" s="1" t="str">
        <f>IF('RAW DATA'!$D111&lt;&gt;"",'RAW DATA'!$D111,"")</f>
        <v/>
      </c>
      <c r="D111" s="1" t="str">
        <f>IF(AND($B110&lt;&gt;"", $B111=""), "TOTAL:", IF($D110="TOTAL:","VESSEL TARGET "&amp;'RAW DATA'!$E$2&amp;":",IF('RAW DATA'!$E111&lt;&gt;"",'RAW DATA'!$E111,"")))</f>
        <v/>
      </c>
      <c r="E111" s="4" t="str">
        <f>IF($D110="TOTAL:",FIXED(ROUND(((SUM($E$4:$E109)/'RAW DATA'!$E$2)*100),1),1)&amp;"%",IF($D111="TOTAL:",SUM($E$4:$E110),IF(SUMIF('RAW DATA'!M:M,'RAW DATA'!B111,'RAW DATA'!H:H)=0,"",SUMIF('RAW DATA'!M:M,'RAW DATA'!B111,'RAW DATA'!H:H))))</f>
        <v/>
      </c>
      <c r="F111" s="4" t="str">
        <f>IF($D110="TOTAL:",FIXED(ROUND(((SUM($F$4:$F109)/'RAW DATA'!$E$2)*100),1),1)&amp;"%",IF($D111="TOTAL:",SUM($F$4:$F110),IF(SUMIF('RAW DATA'!M:M,'RAW DATA'!B111,'RAW DATA'!I:I)=0,"",SUMIF('RAW DATA'!M:M,'RAW DATA'!B111,'RAW DATA'!I:I))))</f>
        <v/>
      </c>
      <c r="G111" s="24" t="str">
        <f t="shared" si="1"/>
        <v/>
      </c>
    </row>
    <row r="112" spans="2:7" x14ac:dyDescent="0.25">
      <c r="B112" s="1" t="str">
        <f>IF('RAW DATA'!$C112&lt;&gt;"",'RAW DATA'!$C112,"")</f>
        <v/>
      </c>
      <c r="C112" s="1" t="str">
        <f>IF('RAW DATA'!$D112&lt;&gt;"",'RAW DATA'!$D112,"")</f>
        <v/>
      </c>
      <c r="D112" s="1" t="str">
        <f>IF(AND($B111&lt;&gt;"", $B112=""), "TOTAL:", IF($D111="TOTAL:","VESSEL TARGET "&amp;'RAW DATA'!$E$2&amp;":",IF('RAW DATA'!$E112&lt;&gt;"",'RAW DATA'!$E112,"")))</f>
        <v/>
      </c>
      <c r="E112" s="4" t="str">
        <f>IF($D111="TOTAL:",FIXED(ROUND(((SUM($E$4:$E110)/'RAW DATA'!$E$2)*100),1),1)&amp;"%",IF($D112="TOTAL:",SUM($E$4:$E111),IF(SUMIF('RAW DATA'!M:M,'RAW DATA'!B112,'RAW DATA'!H:H)=0,"",SUMIF('RAW DATA'!M:M,'RAW DATA'!B112,'RAW DATA'!H:H))))</f>
        <v/>
      </c>
      <c r="F112" s="4" t="str">
        <f>IF($D111="TOTAL:",FIXED(ROUND(((SUM($F$4:$F110)/'RAW DATA'!$E$2)*100),1),1)&amp;"%",IF($D112="TOTAL:",SUM($F$4:$F111),IF(SUMIF('RAW DATA'!M:M,'RAW DATA'!B112,'RAW DATA'!I:I)=0,"",SUMIF('RAW DATA'!M:M,'RAW DATA'!B112,'RAW DATA'!I:I))))</f>
        <v/>
      </c>
      <c r="G112" s="24" t="str">
        <f t="shared" si="1"/>
        <v/>
      </c>
    </row>
    <row r="113" spans="2:7" x14ac:dyDescent="0.25">
      <c r="B113" s="1" t="str">
        <f>IF('RAW DATA'!$C113&lt;&gt;"",'RAW DATA'!$C113,"")</f>
        <v/>
      </c>
      <c r="C113" s="1" t="str">
        <f>IF('RAW DATA'!$D113&lt;&gt;"",'RAW DATA'!$D113,"")</f>
        <v/>
      </c>
      <c r="D113" s="1" t="str">
        <f>IF(AND($B112&lt;&gt;"", $B113=""), "TOTAL:", IF($D112="TOTAL:","VESSEL TARGET "&amp;'RAW DATA'!$E$2&amp;":",IF('RAW DATA'!$E113&lt;&gt;"",'RAW DATA'!$E113,"")))</f>
        <v/>
      </c>
      <c r="E113" s="4" t="str">
        <f>IF($D112="TOTAL:",FIXED(ROUND(((SUM($E$4:$E111)/'RAW DATA'!$E$2)*100),1),1)&amp;"%",IF($D113="TOTAL:",SUM($E$4:$E112),IF(SUMIF('RAW DATA'!M:M,'RAW DATA'!B113,'RAW DATA'!H:H)=0,"",SUMIF('RAW DATA'!M:M,'RAW DATA'!B113,'RAW DATA'!H:H))))</f>
        <v/>
      </c>
      <c r="F113" s="4" t="str">
        <f>IF($D112="TOTAL:",FIXED(ROUND(((SUM($F$4:$F111)/'RAW DATA'!$E$2)*100),1),1)&amp;"%",IF($D113="TOTAL:",SUM($F$4:$F112),IF(SUMIF('RAW DATA'!M:M,'RAW DATA'!B113,'RAW DATA'!I:I)=0,"",SUMIF('RAW DATA'!M:M,'RAW DATA'!B113,'RAW DATA'!I:I))))</f>
        <v/>
      </c>
      <c r="G113" s="24" t="str">
        <f t="shared" si="1"/>
        <v/>
      </c>
    </row>
    <row r="114" spans="2:7" x14ac:dyDescent="0.25">
      <c r="B114" s="1" t="str">
        <f>IF('RAW DATA'!$C114&lt;&gt;"",'RAW DATA'!$C114,"")</f>
        <v/>
      </c>
      <c r="C114" s="1" t="str">
        <f>IF('RAW DATA'!$D114&lt;&gt;"",'RAW DATA'!$D114,"")</f>
        <v/>
      </c>
      <c r="D114" s="1" t="str">
        <f>IF(AND($B113&lt;&gt;"", $B114=""), "TOTAL:", IF($D113="TOTAL:","VESSEL TARGET "&amp;'RAW DATA'!$E$2&amp;":",IF('RAW DATA'!$E114&lt;&gt;"",'RAW DATA'!$E114,"")))</f>
        <v/>
      </c>
      <c r="E114" s="4" t="str">
        <f>IF($D113="TOTAL:",FIXED(ROUND(((SUM($E$4:$E112)/'RAW DATA'!$E$2)*100),1),1)&amp;"%",IF($D114="TOTAL:",SUM($E$4:$E113),IF(SUMIF('RAW DATA'!M:M,'RAW DATA'!B114,'RAW DATA'!H:H)=0,"",SUMIF('RAW DATA'!M:M,'RAW DATA'!B114,'RAW DATA'!H:H))))</f>
        <v/>
      </c>
      <c r="F114" s="4" t="str">
        <f>IF($D113="TOTAL:",FIXED(ROUND(((SUM($F$4:$F112)/'RAW DATA'!$E$2)*100),1),1)&amp;"%",IF($D114="TOTAL:",SUM($F$4:$F113),IF(SUMIF('RAW DATA'!M:M,'RAW DATA'!B114,'RAW DATA'!I:I)=0,"",SUMIF('RAW DATA'!M:M,'RAW DATA'!B114,'RAW DATA'!I:I))))</f>
        <v/>
      </c>
      <c r="G114" s="24" t="str">
        <f t="shared" si="1"/>
        <v/>
      </c>
    </row>
    <row r="115" spans="2:7" x14ac:dyDescent="0.25">
      <c r="B115" s="1" t="str">
        <f>IF('RAW DATA'!$C115&lt;&gt;"",'RAW DATA'!$C115,"")</f>
        <v/>
      </c>
      <c r="C115" s="1" t="str">
        <f>IF('RAW DATA'!$D115&lt;&gt;"",'RAW DATA'!$D115,"")</f>
        <v/>
      </c>
      <c r="D115" s="1" t="str">
        <f>IF(AND($B114&lt;&gt;"", $B115=""), "TOTAL:", IF($D114="TOTAL:","VESSEL TARGET "&amp;'RAW DATA'!$E$2&amp;":",IF('RAW DATA'!$E115&lt;&gt;"",'RAW DATA'!$E115,"")))</f>
        <v/>
      </c>
      <c r="E115" s="4" t="str">
        <f>IF($D114="TOTAL:",FIXED(ROUND(((SUM($E$4:$E113)/'RAW DATA'!$E$2)*100),1),1)&amp;"%",IF($D115="TOTAL:",SUM($E$4:$E114),IF(SUMIF('RAW DATA'!M:M,'RAW DATA'!B115,'RAW DATA'!H:H)=0,"",SUMIF('RAW DATA'!M:M,'RAW DATA'!B115,'RAW DATA'!H:H))))</f>
        <v/>
      </c>
      <c r="F115" s="4" t="str">
        <f>IF($D114="TOTAL:",FIXED(ROUND(((SUM($F$4:$F113)/'RAW DATA'!$E$2)*100),1),1)&amp;"%",IF($D115="TOTAL:",SUM($F$4:$F114),IF(SUMIF('RAW DATA'!M:M,'RAW DATA'!B115,'RAW DATA'!I:I)=0,"",SUMIF('RAW DATA'!M:M,'RAW DATA'!B115,'RAW DATA'!I:I))))</f>
        <v/>
      </c>
      <c r="G115" s="24" t="str">
        <f t="shared" si="1"/>
        <v/>
      </c>
    </row>
    <row r="116" spans="2:7" x14ac:dyDescent="0.25">
      <c r="B116" s="1" t="str">
        <f>IF('RAW DATA'!$C116&lt;&gt;"",'RAW DATA'!$C116,"")</f>
        <v/>
      </c>
      <c r="C116" s="1" t="str">
        <f>IF('RAW DATA'!$D116&lt;&gt;"",'RAW DATA'!$D116,"")</f>
        <v/>
      </c>
      <c r="D116" s="1" t="str">
        <f>IF(AND($B115&lt;&gt;"", $B116=""), "TOTAL:", IF($D115="TOTAL:","VESSEL TARGET "&amp;'RAW DATA'!$E$2&amp;":",IF('RAW DATA'!$E116&lt;&gt;"",'RAW DATA'!$E116,"")))</f>
        <v/>
      </c>
      <c r="E116" s="4" t="str">
        <f>IF($D115="TOTAL:",FIXED(ROUND(((SUM($E$4:$E114)/'RAW DATA'!$E$2)*100),1),1)&amp;"%",IF($D116="TOTAL:",SUM($E$4:$E115),IF(SUMIF('RAW DATA'!M:M,'RAW DATA'!B116,'RAW DATA'!H:H)=0,"",SUMIF('RAW DATA'!M:M,'RAW DATA'!B116,'RAW DATA'!H:H))))</f>
        <v/>
      </c>
      <c r="F116" s="4" t="str">
        <f>IF($D115="TOTAL:",FIXED(ROUND(((SUM($F$4:$F114)/'RAW DATA'!$E$2)*100),1),1)&amp;"%",IF($D116="TOTAL:",SUM($F$4:$F115),IF(SUMIF('RAW DATA'!M:M,'RAW DATA'!B116,'RAW DATA'!I:I)=0,"",SUMIF('RAW DATA'!M:M,'RAW DATA'!B116,'RAW DATA'!I:I))))</f>
        <v/>
      </c>
      <c r="G116" s="24" t="str">
        <f t="shared" si="1"/>
        <v/>
      </c>
    </row>
    <row r="117" spans="2:7" x14ac:dyDescent="0.25">
      <c r="B117" s="1" t="str">
        <f>IF('RAW DATA'!$C117&lt;&gt;"",'RAW DATA'!$C117,"")</f>
        <v/>
      </c>
      <c r="C117" s="1" t="str">
        <f>IF('RAW DATA'!$D117&lt;&gt;"",'RAW DATA'!$D117,"")</f>
        <v/>
      </c>
      <c r="D117" s="1" t="str">
        <f>IF(AND($B116&lt;&gt;"", $B117=""), "TOTAL:", IF($D116="TOTAL:","VESSEL TARGET "&amp;'RAW DATA'!$E$2&amp;":",IF('RAW DATA'!$E117&lt;&gt;"",'RAW DATA'!$E117,"")))</f>
        <v/>
      </c>
      <c r="E117" s="4" t="str">
        <f>IF($D116="TOTAL:",FIXED(ROUND(((SUM($E$4:$E115)/'RAW DATA'!$E$2)*100),1),1)&amp;"%",IF($D117="TOTAL:",SUM($E$4:$E116),IF(SUMIF('RAW DATA'!M:M,'RAW DATA'!B117,'RAW DATA'!H:H)=0,"",SUMIF('RAW DATA'!M:M,'RAW DATA'!B117,'RAW DATA'!H:H))))</f>
        <v/>
      </c>
      <c r="F117" s="4" t="str">
        <f>IF($D116="TOTAL:",FIXED(ROUND(((SUM($F$4:$F115)/'RAW DATA'!$E$2)*100),1),1)&amp;"%",IF($D117="TOTAL:",SUM($F$4:$F116),IF(SUMIF('RAW DATA'!M:M,'RAW DATA'!B117,'RAW DATA'!I:I)=0,"",SUMIF('RAW DATA'!M:M,'RAW DATA'!B117,'RAW DATA'!I:I))))</f>
        <v/>
      </c>
      <c r="G117" s="24" t="str">
        <f t="shared" si="1"/>
        <v/>
      </c>
    </row>
    <row r="118" spans="2:7" x14ac:dyDescent="0.25">
      <c r="B118" s="1" t="str">
        <f>IF('RAW DATA'!$C118&lt;&gt;"",'RAW DATA'!$C118,"")</f>
        <v/>
      </c>
      <c r="C118" s="1" t="str">
        <f>IF('RAW DATA'!$D118&lt;&gt;"",'RAW DATA'!$D118,"")</f>
        <v/>
      </c>
      <c r="D118" s="1" t="str">
        <f>IF(AND($B117&lt;&gt;"", $B118=""), "TOTAL:", IF($D117="TOTAL:","VESSEL TARGET "&amp;'RAW DATA'!$E$2&amp;":",IF('RAW DATA'!$E118&lt;&gt;"",'RAW DATA'!$E118,"")))</f>
        <v/>
      </c>
      <c r="E118" s="4" t="str">
        <f>IF($D117="TOTAL:",FIXED(ROUND(((SUM($E$4:$E116)/'RAW DATA'!$E$2)*100),1),1)&amp;"%",IF($D118="TOTAL:",SUM($E$4:$E117),IF(SUMIF('RAW DATA'!M:M,'RAW DATA'!B118,'RAW DATA'!H:H)=0,"",SUMIF('RAW DATA'!M:M,'RAW DATA'!B118,'RAW DATA'!H:H))))</f>
        <v/>
      </c>
      <c r="F118" s="4" t="str">
        <f>IF($D117="TOTAL:",FIXED(ROUND(((SUM($F$4:$F116)/'RAW DATA'!$E$2)*100),1),1)&amp;"%",IF($D118="TOTAL:",SUM($F$4:$F117),IF(SUMIF('RAW DATA'!M:M,'RAW DATA'!B118,'RAW DATA'!I:I)=0,"",SUMIF('RAW DATA'!M:M,'RAW DATA'!B118,'RAW DATA'!I:I))))</f>
        <v/>
      </c>
      <c r="G118" s="24" t="str">
        <f t="shared" si="1"/>
        <v/>
      </c>
    </row>
    <row r="119" spans="2:7" x14ac:dyDescent="0.25">
      <c r="B119" s="1" t="str">
        <f>IF('RAW DATA'!$C119&lt;&gt;"",'RAW DATA'!$C119,"")</f>
        <v/>
      </c>
      <c r="C119" s="1" t="str">
        <f>IF('RAW DATA'!$D119&lt;&gt;"",'RAW DATA'!$D119,"")</f>
        <v/>
      </c>
      <c r="D119" s="1" t="str">
        <f>IF(AND($B118&lt;&gt;"", $B119=""), "TOTAL:", IF($D118="TOTAL:","VESSEL TARGET "&amp;'RAW DATA'!$E$2&amp;":",IF('RAW DATA'!$E119&lt;&gt;"",'RAW DATA'!$E119,"")))</f>
        <v/>
      </c>
      <c r="E119" s="4" t="str">
        <f>IF($D118="TOTAL:",FIXED(ROUND(((SUM($E$4:$E117)/'RAW DATA'!$E$2)*100),1),1)&amp;"%",IF($D119="TOTAL:",SUM($E$4:$E118),IF(SUMIF('RAW DATA'!M:M,'RAW DATA'!B119,'RAW DATA'!H:H)=0,"",SUMIF('RAW DATA'!M:M,'RAW DATA'!B119,'RAW DATA'!H:H))))</f>
        <v/>
      </c>
      <c r="F119" s="4" t="str">
        <f>IF($D118="TOTAL:",FIXED(ROUND(((SUM($F$4:$F117)/'RAW DATA'!$E$2)*100),1),1)&amp;"%",IF($D119="TOTAL:",SUM($F$4:$F118),IF(SUMIF('RAW DATA'!M:M,'RAW DATA'!B119,'RAW DATA'!I:I)=0,"",SUMIF('RAW DATA'!M:M,'RAW DATA'!B119,'RAW DATA'!I:I))))</f>
        <v/>
      </c>
      <c r="G119" s="24" t="str">
        <f t="shared" si="1"/>
        <v/>
      </c>
    </row>
    <row r="120" spans="2:7" x14ac:dyDescent="0.25">
      <c r="B120" s="1" t="str">
        <f>IF('RAW DATA'!$C120&lt;&gt;"",'RAW DATA'!$C120,"")</f>
        <v/>
      </c>
      <c r="C120" s="1" t="str">
        <f>IF('RAW DATA'!$D120&lt;&gt;"",'RAW DATA'!$D120,"")</f>
        <v/>
      </c>
      <c r="D120" s="1" t="str">
        <f>IF(AND($B119&lt;&gt;"", $B120=""), "TOTAL:", IF($D119="TOTAL:","VESSEL TARGET "&amp;'RAW DATA'!$E$2&amp;":",IF('RAW DATA'!$E120&lt;&gt;"",'RAW DATA'!$E120,"")))</f>
        <v/>
      </c>
      <c r="E120" s="4" t="str">
        <f>IF($D119="TOTAL:",FIXED(ROUND(((SUM($E$4:$E118)/'RAW DATA'!$E$2)*100),1),1)&amp;"%",IF($D120="TOTAL:",SUM($E$4:$E119),IF(SUMIF('RAW DATA'!M:M,'RAW DATA'!B120,'RAW DATA'!H:H)=0,"",SUMIF('RAW DATA'!M:M,'RAW DATA'!B120,'RAW DATA'!H:H))))</f>
        <v/>
      </c>
      <c r="F120" s="4" t="str">
        <f>IF($D119="TOTAL:",FIXED(ROUND(((SUM($F$4:$F118)/'RAW DATA'!$E$2)*100),1),1)&amp;"%",IF($D120="TOTAL:",SUM($F$4:$F119),IF(SUMIF('RAW DATA'!M:M,'RAW DATA'!B120,'RAW DATA'!I:I)=0,"",SUMIF('RAW DATA'!M:M,'RAW DATA'!B120,'RAW DATA'!I:I))))</f>
        <v/>
      </c>
      <c r="G120" s="24" t="str">
        <f t="shared" si="1"/>
        <v/>
      </c>
    </row>
    <row r="121" spans="2:7" x14ac:dyDescent="0.25">
      <c r="B121" s="1" t="str">
        <f>IF('RAW DATA'!$C121&lt;&gt;"",'RAW DATA'!$C121,"")</f>
        <v/>
      </c>
      <c r="C121" s="1" t="str">
        <f>IF('RAW DATA'!$D121&lt;&gt;"",'RAW DATA'!$D121,"")</f>
        <v/>
      </c>
      <c r="D121" s="1" t="str">
        <f>IF(AND($B120&lt;&gt;"", $B121=""), "TOTAL:", IF($D120="TOTAL:","VESSEL TARGET "&amp;'RAW DATA'!$E$2&amp;":",IF('RAW DATA'!$E121&lt;&gt;"",'RAW DATA'!$E121,"")))</f>
        <v/>
      </c>
      <c r="E121" s="4" t="str">
        <f>IF($D120="TOTAL:",FIXED(ROUND(((SUM($E$4:$E119)/'RAW DATA'!$E$2)*100),1),1)&amp;"%",IF($D121="TOTAL:",SUM($E$4:$E120),IF(SUMIF('RAW DATA'!M:M,'RAW DATA'!B121,'RAW DATA'!H:H)=0,"",SUMIF('RAW DATA'!M:M,'RAW DATA'!B121,'RAW DATA'!H:H))))</f>
        <v/>
      </c>
      <c r="F121" s="4" t="str">
        <f>IF($D120="TOTAL:",FIXED(ROUND(((SUM($F$4:$F119)/'RAW DATA'!$E$2)*100),1),1)&amp;"%",IF($D121="TOTAL:",SUM($F$4:$F120),IF(SUMIF('RAW DATA'!M:M,'RAW DATA'!B121,'RAW DATA'!I:I)=0,"",SUMIF('RAW DATA'!M:M,'RAW DATA'!B121,'RAW DATA'!I:I))))</f>
        <v/>
      </c>
      <c r="G121" s="24" t="str">
        <f t="shared" si="1"/>
        <v/>
      </c>
    </row>
    <row r="122" spans="2:7" x14ac:dyDescent="0.25">
      <c r="B122" s="1" t="str">
        <f>IF('RAW DATA'!$C122&lt;&gt;"",'RAW DATA'!$C122,"")</f>
        <v/>
      </c>
      <c r="C122" s="1" t="str">
        <f>IF('RAW DATA'!$D122&lt;&gt;"",'RAW DATA'!$D122,"")</f>
        <v/>
      </c>
      <c r="D122" s="1" t="str">
        <f>IF(AND($B121&lt;&gt;"", $B122=""), "TOTAL:", IF($D121="TOTAL:","VESSEL TARGET "&amp;'RAW DATA'!$E$2&amp;":",IF('RAW DATA'!$E122&lt;&gt;"",'RAW DATA'!$E122,"")))</f>
        <v/>
      </c>
      <c r="E122" s="4" t="str">
        <f>IF($D121="TOTAL:",FIXED(ROUND(((SUM($E$4:$E120)/'RAW DATA'!$E$2)*100),1),1)&amp;"%",IF($D122="TOTAL:",SUM($E$4:$E121),IF(SUMIF('RAW DATA'!M:M,'RAW DATA'!B122,'RAW DATA'!H:H)=0,"",SUMIF('RAW DATA'!M:M,'RAW DATA'!B122,'RAW DATA'!H:H))))</f>
        <v/>
      </c>
      <c r="F122" s="4" t="str">
        <f>IF($D121="TOTAL:",FIXED(ROUND(((SUM($F$4:$F120)/'RAW DATA'!$E$2)*100),1),1)&amp;"%",IF($D122="TOTAL:",SUM($F$4:$F121),IF(SUMIF('RAW DATA'!M:M,'RAW DATA'!B122,'RAW DATA'!I:I)=0,"",SUMIF('RAW DATA'!M:M,'RAW DATA'!B122,'RAW DATA'!I:I))))</f>
        <v/>
      </c>
      <c r="G122" s="24" t="str">
        <f t="shared" si="1"/>
        <v/>
      </c>
    </row>
    <row r="123" spans="2:7" x14ac:dyDescent="0.25">
      <c r="B123" s="1" t="str">
        <f>IF('RAW DATA'!$C123&lt;&gt;"",'RAW DATA'!$C123,"")</f>
        <v/>
      </c>
      <c r="C123" s="1" t="str">
        <f>IF('RAW DATA'!$D123&lt;&gt;"",'RAW DATA'!$D123,"")</f>
        <v/>
      </c>
      <c r="D123" s="1" t="str">
        <f>IF(AND($B122&lt;&gt;"", $B123=""), "TOTAL:", IF($D122="TOTAL:","VESSEL TARGET "&amp;'RAW DATA'!$E$2&amp;":",IF('RAW DATA'!$E123&lt;&gt;"",'RAW DATA'!$E123,"")))</f>
        <v/>
      </c>
      <c r="E123" s="4" t="str">
        <f>IF($D122="TOTAL:",FIXED(ROUND(((SUM($E$4:$E121)/'RAW DATA'!$E$2)*100),1),1)&amp;"%",IF($D123="TOTAL:",SUM($E$4:$E122),IF(SUMIF('RAW DATA'!M:M,'RAW DATA'!B123,'RAW DATA'!H:H)=0,"",SUMIF('RAW DATA'!M:M,'RAW DATA'!B123,'RAW DATA'!H:H))))</f>
        <v/>
      </c>
      <c r="F123" s="4" t="str">
        <f>IF($D122="TOTAL:",FIXED(ROUND(((SUM($F$4:$F121)/'RAW DATA'!$E$2)*100),1),1)&amp;"%",IF($D123="TOTAL:",SUM($F$4:$F122),IF(SUMIF('RAW DATA'!M:M,'RAW DATA'!B123,'RAW DATA'!I:I)=0,"",SUMIF('RAW DATA'!M:M,'RAW DATA'!B123,'RAW DATA'!I:I))))</f>
        <v/>
      </c>
      <c r="G123" s="24" t="str">
        <f t="shared" si="1"/>
        <v/>
      </c>
    </row>
    <row r="124" spans="2:7" x14ac:dyDescent="0.25">
      <c r="B124" s="1" t="str">
        <f>IF('RAW DATA'!$C124&lt;&gt;"",'RAW DATA'!$C124,"")</f>
        <v/>
      </c>
      <c r="C124" s="1" t="str">
        <f>IF('RAW DATA'!$D124&lt;&gt;"",'RAW DATA'!$D124,"")</f>
        <v/>
      </c>
      <c r="D124" s="1" t="str">
        <f>IF(AND($B123&lt;&gt;"", $B124=""), "TOTAL:", IF($D123="TOTAL:","VESSEL TARGET "&amp;'RAW DATA'!$E$2&amp;":",IF('RAW DATA'!$E124&lt;&gt;"",'RAW DATA'!$E124,"")))</f>
        <v/>
      </c>
      <c r="E124" s="4" t="str">
        <f>IF($D123="TOTAL:",FIXED(ROUND(((SUM($E$4:$E122)/'RAW DATA'!$E$2)*100),1),1)&amp;"%",IF($D124="TOTAL:",SUM($E$4:$E123),IF(SUMIF('RAW DATA'!M:M,'RAW DATA'!B124,'RAW DATA'!H:H)=0,"",SUMIF('RAW DATA'!M:M,'RAW DATA'!B124,'RAW DATA'!H:H))))</f>
        <v/>
      </c>
      <c r="F124" s="4" t="str">
        <f>IF($D123="TOTAL:",FIXED(ROUND(((SUM($F$4:$F122)/'RAW DATA'!$E$2)*100),1),1)&amp;"%",IF($D124="TOTAL:",SUM($F$4:$F123),IF(SUMIF('RAW DATA'!M:M,'RAW DATA'!B124,'RAW DATA'!I:I)=0,"",SUMIF('RAW DATA'!M:M,'RAW DATA'!B124,'RAW DATA'!I:I))))</f>
        <v/>
      </c>
      <c r="G124" s="24" t="str">
        <f t="shared" si="1"/>
        <v/>
      </c>
    </row>
    <row r="125" spans="2:7" x14ac:dyDescent="0.25">
      <c r="B125" s="1" t="str">
        <f>IF('RAW DATA'!$C125&lt;&gt;"",'RAW DATA'!$C125,"")</f>
        <v/>
      </c>
      <c r="C125" s="1" t="str">
        <f>IF('RAW DATA'!$D125&lt;&gt;"",'RAW DATA'!$D125,"")</f>
        <v/>
      </c>
      <c r="D125" s="1" t="str">
        <f>IF(AND($B124&lt;&gt;"", $B125=""), "TOTAL:", IF($D124="TOTAL:","VESSEL TARGET "&amp;'RAW DATA'!$E$2&amp;":",IF('RAW DATA'!$E125&lt;&gt;"",'RAW DATA'!$E125,"")))</f>
        <v/>
      </c>
      <c r="E125" s="4" t="str">
        <f>IF($D124="TOTAL:",FIXED(ROUND(((SUM($E$4:$E123)/'RAW DATA'!$E$2)*100),1),1)&amp;"%",IF($D125="TOTAL:",SUM($E$4:$E124),IF(SUMIF('RAW DATA'!M:M,'RAW DATA'!B125,'RAW DATA'!H:H)=0,"",SUMIF('RAW DATA'!M:M,'RAW DATA'!B125,'RAW DATA'!H:H))))</f>
        <v/>
      </c>
      <c r="F125" s="4" t="str">
        <f>IF($D124="TOTAL:",FIXED(ROUND(((SUM($F$4:$F123)/'RAW DATA'!$E$2)*100),1),1)&amp;"%",IF($D125="TOTAL:",SUM($F$4:$F124),IF(SUMIF('RAW DATA'!M:M,'RAW DATA'!B125,'RAW DATA'!I:I)=0,"",SUMIF('RAW DATA'!M:M,'RAW DATA'!B125,'RAW DATA'!I:I))))</f>
        <v/>
      </c>
      <c r="G125" s="24" t="str">
        <f t="shared" si="1"/>
        <v/>
      </c>
    </row>
    <row r="126" spans="2:7" x14ac:dyDescent="0.25">
      <c r="B126" s="1" t="str">
        <f>IF('RAW DATA'!$C126&lt;&gt;"",'RAW DATA'!$C126,"")</f>
        <v/>
      </c>
      <c r="C126" s="1" t="str">
        <f>IF('RAW DATA'!$D126&lt;&gt;"",'RAW DATA'!$D126,"")</f>
        <v/>
      </c>
      <c r="D126" s="1" t="str">
        <f>IF(AND($B125&lt;&gt;"", $B126=""), "TOTAL:", IF($D125="TOTAL:","VESSEL TARGET "&amp;'RAW DATA'!$E$2&amp;":",IF('RAW DATA'!$E126&lt;&gt;"",'RAW DATA'!$E126,"")))</f>
        <v/>
      </c>
      <c r="E126" s="4" t="str">
        <f>IF($D125="TOTAL:",FIXED(ROUND(((SUM($E$4:$E124)/'RAW DATA'!$E$2)*100),1),1)&amp;"%",IF($D126="TOTAL:",SUM($E$4:$E125),IF(SUMIF('RAW DATA'!M:M,'RAW DATA'!B126,'RAW DATA'!H:H)=0,"",SUMIF('RAW DATA'!M:M,'RAW DATA'!B126,'RAW DATA'!H:H))))</f>
        <v/>
      </c>
      <c r="F126" s="4" t="str">
        <f>IF($D125="TOTAL:",FIXED(ROUND(((SUM($F$4:$F124)/'RAW DATA'!$E$2)*100),1),1)&amp;"%",IF($D126="TOTAL:",SUM($F$4:$F125),IF(SUMIF('RAW DATA'!M:M,'RAW DATA'!B126,'RAW DATA'!I:I)=0,"",SUMIF('RAW DATA'!M:M,'RAW DATA'!B126,'RAW DATA'!I:I))))</f>
        <v/>
      </c>
      <c r="G126" s="24" t="str">
        <f t="shared" si="1"/>
        <v/>
      </c>
    </row>
    <row r="127" spans="2:7" x14ac:dyDescent="0.25">
      <c r="B127" s="1" t="str">
        <f>IF('RAW DATA'!$C127&lt;&gt;"",'RAW DATA'!$C127,"")</f>
        <v/>
      </c>
      <c r="C127" s="1" t="str">
        <f>IF('RAW DATA'!$D127&lt;&gt;"",'RAW DATA'!$D127,"")</f>
        <v/>
      </c>
      <c r="D127" s="1" t="str">
        <f>IF(AND($B126&lt;&gt;"", $B127=""), "TOTAL:", IF($D126="TOTAL:","VESSEL TARGET "&amp;'RAW DATA'!$E$2&amp;":",IF('RAW DATA'!$E127&lt;&gt;"",'RAW DATA'!$E127,"")))</f>
        <v/>
      </c>
      <c r="E127" s="4" t="str">
        <f>IF($D126="TOTAL:",FIXED(ROUND(((SUM($E$4:$E125)/'RAW DATA'!$E$2)*100),1),1)&amp;"%",IF($D127="TOTAL:",SUM($E$4:$E126),IF(SUMIF('RAW DATA'!M:M,'RAW DATA'!B127,'RAW DATA'!H:H)=0,"",SUMIF('RAW DATA'!M:M,'RAW DATA'!B127,'RAW DATA'!H:H))))</f>
        <v/>
      </c>
      <c r="F127" s="4" t="str">
        <f>IF($D126="TOTAL:",FIXED(ROUND(((SUM($F$4:$F125)/'RAW DATA'!$E$2)*100),1),1)&amp;"%",IF($D127="TOTAL:",SUM($F$4:$F126),IF(SUMIF('RAW DATA'!M:M,'RAW DATA'!B127,'RAW DATA'!I:I)=0,"",SUMIF('RAW DATA'!M:M,'RAW DATA'!B127,'RAW DATA'!I:I))))</f>
        <v/>
      </c>
      <c r="G127" s="24" t="str">
        <f t="shared" si="1"/>
        <v/>
      </c>
    </row>
    <row r="128" spans="2:7" x14ac:dyDescent="0.25">
      <c r="B128" s="1" t="str">
        <f>IF('RAW DATA'!$C128&lt;&gt;"",'RAW DATA'!$C128,"")</f>
        <v/>
      </c>
      <c r="C128" s="1" t="str">
        <f>IF('RAW DATA'!$D128&lt;&gt;"",'RAW DATA'!$D128,"")</f>
        <v/>
      </c>
      <c r="D128" s="1" t="str">
        <f>IF(AND($B127&lt;&gt;"", $B128=""), "TOTAL:", IF($D127="TOTAL:","VESSEL TARGET "&amp;'RAW DATA'!$E$2&amp;":",IF('RAW DATA'!$E128&lt;&gt;"",'RAW DATA'!$E128,"")))</f>
        <v/>
      </c>
      <c r="E128" s="4" t="str">
        <f>IF($D127="TOTAL:",FIXED(ROUND(((SUM($E$4:$E126)/'RAW DATA'!$E$2)*100),1),1)&amp;"%",IF($D128="TOTAL:",SUM($E$4:$E127),IF(SUMIF('RAW DATA'!M:M,'RAW DATA'!B128,'RAW DATA'!H:H)=0,"",SUMIF('RAW DATA'!M:M,'RAW DATA'!B128,'RAW DATA'!H:H))))</f>
        <v/>
      </c>
      <c r="F128" s="4" t="str">
        <f>IF($D127="TOTAL:",FIXED(ROUND(((SUM($F$4:$F126)/'RAW DATA'!$E$2)*100),1),1)&amp;"%",IF($D128="TOTAL:",SUM($F$4:$F127),IF(SUMIF('RAW DATA'!M:M,'RAW DATA'!B128,'RAW DATA'!I:I)=0,"",SUMIF('RAW DATA'!M:M,'RAW DATA'!B128,'RAW DATA'!I:I))))</f>
        <v/>
      </c>
      <c r="G128" s="24" t="str">
        <f t="shared" si="1"/>
        <v/>
      </c>
    </row>
    <row r="129" spans="2:7" x14ac:dyDescent="0.25">
      <c r="B129" s="1" t="str">
        <f>IF('RAW DATA'!$C129&lt;&gt;"",'RAW DATA'!$C129,"")</f>
        <v/>
      </c>
      <c r="C129" s="1" t="str">
        <f>IF('RAW DATA'!$D129&lt;&gt;"",'RAW DATA'!$D129,"")</f>
        <v/>
      </c>
      <c r="D129" s="1" t="str">
        <f>IF(AND($B128&lt;&gt;"", $B129=""), "TOTAL:", IF($D128="TOTAL:","VESSEL TARGET "&amp;'RAW DATA'!$E$2&amp;":",IF('RAW DATA'!$E129&lt;&gt;"",'RAW DATA'!$E129,"")))</f>
        <v/>
      </c>
      <c r="E129" s="4" t="str">
        <f>IF($D128="TOTAL:",FIXED(ROUND(((SUM($E$4:$E127)/'RAW DATA'!$E$2)*100),1),1)&amp;"%",IF($D129="TOTAL:",SUM($E$4:$E128),IF(SUMIF('RAW DATA'!M:M,'RAW DATA'!B129,'RAW DATA'!H:H)=0,"",SUMIF('RAW DATA'!M:M,'RAW DATA'!B129,'RAW DATA'!H:H))))</f>
        <v/>
      </c>
      <c r="F129" s="4" t="str">
        <f>IF($D128="TOTAL:",FIXED(ROUND(((SUM($F$4:$F127)/'RAW DATA'!$E$2)*100),1),1)&amp;"%",IF($D129="TOTAL:",SUM($F$4:$F128),IF(SUMIF('RAW DATA'!M:M,'RAW DATA'!B129,'RAW DATA'!I:I)=0,"",SUMIF('RAW DATA'!M:M,'RAW DATA'!B129,'RAW DATA'!I:I))))</f>
        <v/>
      </c>
      <c r="G129" s="24" t="str">
        <f t="shared" si="1"/>
        <v/>
      </c>
    </row>
    <row r="130" spans="2:7" x14ac:dyDescent="0.25">
      <c r="B130" s="1" t="str">
        <f>IF('RAW DATA'!$C130&lt;&gt;"",'RAW DATA'!$C130,"")</f>
        <v/>
      </c>
      <c r="C130" s="1" t="str">
        <f>IF('RAW DATA'!$D130&lt;&gt;"",'RAW DATA'!$D130,"")</f>
        <v/>
      </c>
      <c r="D130" s="1" t="str">
        <f>IF(AND($B129&lt;&gt;"", $B130=""), "TOTAL:", IF($D129="TOTAL:","VESSEL TARGET "&amp;'RAW DATA'!$E$2&amp;":",IF('RAW DATA'!$E130&lt;&gt;"",'RAW DATA'!$E130,"")))</f>
        <v/>
      </c>
      <c r="E130" s="4" t="str">
        <f>IF($D129="TOTAL:",FIXED(ROUND(((SUM($E$4:$E128)/'RAW DATA'!$E$2)*100),1),1)&amp;"%",IF($D130="TOTAL:",SUM($E$4:$E129),IF(SUMIF('RAW DATA'!M:M,'RAW DATA'!B130,'RAW DATA'!H:H)=0,"",SUMIF('RAW DATA'!M:M,'RAW DATA'!B130,'RAW DATA'!H:H))))</f>
        <v/>
      </c>
      <c r="F130" s="4" t="str">
        <f>IF($D129="TOTAL:",FIXED(ROUND(((SUM($F$4:$F128)/'RAW DATA'!$E$2)*100),1),1)&amp;"%",IF($D130="TOTAL:",SUM($F$4:$F129),IF(SUMIF('RAW DATA'!M:M,'RAW DATA'!B130,'RAW DATA'!I:I)=0,"",SUMIF('RAW DATA'!M:M,'RAW DATA'!B130,'RAW DATA'!I:I))))</f>
        <v/>
      </c>
      <c r="G130" s="24" t="str">
        <f t="shared" si="1"/>
        <v/>
      </c>
    </row>
    <row r="131" spans="2:7" x14ac:dyDescent="0.25">
      <c r="B131" s="1" t="str">
        <f>IF('RAW DATA'!$C131&lt;&gt;"",'RAW DATA'!$C131,"")</f>
        <v/>
      </c>
      <c r="C131" s="1" t="str">
        <f>IF('RAW DATA'!$D131&lt;&gt;"",'RAW DATA'!$D131,"")</f>
        <v/>
      </c>
      <c r="D131" s="1" t="str">
        <f>IF(AND($B130&lt;&gt;"", $B131=""), "TOTAL:", IF($D130="TOTAL:","VESSEL TARGET "&amp;'RAW DATA'!$E$2&amp;":",IF('RAW DATA'!$E131&lt;&gt;"",'RAW DATA'!$E131,"")))</f>
        <v/>
      </c>
      <c r="E131" s="4" t="str">
        <f>IF($D130="TOTAL:",FIXED(ROUND(((SUM($E$4:$E129)/'RAW DATA'!$E$2)*100),1),1)&amp;"%",IF($D131="TOTAL:",SUM($E$4:$E130),IF(SUMIF('RAW DATA'!M:M,'RAW DATA'!B131,'RAW DATA'!H:H)=0,"",SUMIF('RAW DATA'!M:M,'RAW DATA'!B131,'RAW DATA'!H:H))))</f>
        <v/>
      </c>
      <c r="F131" s="4" t="str">
        <f>IF($D130="TOTAL:",FIXED(ROUND(((SUM($F$4:$F129)/'RAW DATA'!$E$2)*100),1),1)&amp;"%",IF($D131="TOTAL:",SUM($F$4:$F130),IF(SUMIF('RAW DATA'!M:M,'RAW DATA'!B131,'RAW DATA'!I:I)=0,"",SUMIF('RAW DATA'!M:M,'RAW DATA'!B131,'RAW DATA'!I:I))))</f>
        <v/>
      </c>
      <c r="G131" s="24" t="str">
        <f t="shared" si="1"/>
        <v/>
      </c>
    </row>
    <row r="132" spans="2:7" x14ac:dyDescent="0.25">
      <c r="B132" s="1" t="str">
        <f>IF('RAW DATA'!$C132&lt;&gt;"",'RAW DATA'!$C132,"")</f>
        <v/>
      </c>
      <c r="C132" s="1" t="str">
        <f>IF('RAW DATA'!$D132&lt;&gt;"",'RAW DATA'!$D132,"")</f>
        <v/>
      </c>
      <c r="D132" s="1" t="str">
        <f>IF(AND($B131&lt;&gt;"", $B132=""), "TOTAL:", IF($D131="TOTAL:","VESSEL TARGET "&amp;'RAW DATA'!$E$2&amp;":",IF('RAW DATA'!$E132&lt;&gt;"",'RAW DATA'!$E132,"")))</f>
        <v/>
      </c>
      <c r="E132" s="4" t="str">
        <f>IF($D131="TOTAL:",FIXED(ROUND(((SUM($E$4:$E130)/'RAW DATA'!$E$2)*100),1),1)&amp;"%",IF($D132="TOTAL:",SUM($E$4:$E131),IF(SUMIF('RAW DATA'!M:M,'RAW DATA'!B132,'RAW DATA'!H:H)=0,"",SUMIF('RAW DATA'!M:M,'RAW DATA'!B132,'RAW DATA'!H:H))))</f>
        <v/>
      </c>
      <c r="F132" s="4" t="str">
        <f>IF($D131="TOTAL:",FIXED(ROUND(((SUM($F$4:$F130)/'RAW DATA'!$E$2)*100),1),1)&amp;"%",IF($D132="TOTAL:",SUM($F$4:$F131),IF(SUMIF('RAW DATA'!M:M,'RAW DATA'!B132,'RAW DATA'!I:I)=0,"",SUMIF('RAW DATA'!M:M,'RAW DATA'!B132,'RAW DATA'!I:I))))</f>
        <v/>
      </c>
      <c r="G132" s="24" t="str">
        <f t="shared" si="1"/>
        <v/>
      </c>
    </row>
    <row r="133" spans="2:7" x14ac:dyDescent="0.25">
      <c r="B133" s="1" t="str">
        <f>IF('RAW DATA'!$C133&lt;&gt;"",'RAW DATA'!$C133,"")</f>
        <v/>
      </c>
      <c r="C133" s="1" t="str">
        <f>IF('RAW DATA'!$D133&lt;&gt;"",'RAW DATA'!$D133,"")</f>
        <v/>
      </c>
      <c r="D133" s="1" t="str">
        <f>IF(AND($B132&lt;&gt;"", $B133=""), "TOTAL:", IF($D132="TOTAL:","VESSEL TARGET "&amp;'RAW DATA'!$E$2&amp;":",IF('RAW DATA'!$E133&lt;&gt;"",'RAW DATA'!$E133,"")))</f>
        <v/>
      </c>
      <c r="E133" s="4" t="str">
        <f>IF($D132="TOTAL:",FIXED(ROUND(((SUM($E$4:$E131)/'RAW DATA'!$E$2)*100),1),1)&amp;"%",IF($D133="TOTAL:",SUM($E$4:$E132),IF(SUMIF('RAW DATA'!M:M,'RAW DATA'!B133,'RAW DATA'!H:H)=0,"",SUMIF('RAW DATA'!M:M,'RAW DATA'!B133,'RAW DATA'!H:H))))</f>
        <v/>
      </c>
      <c r="F133" s="4" t="str">
        <f>IF($D132="TOTAL:",FIXED(ROUND(((SUM($F$4:$F131)/'RAW DATA'!$E$2)*100),1),1)&amp;"%",IF($D133="TOTAL:",SUM($F$4:$F132),IF(SUMIF('RAW DATA'!M:M,'RAW DATA'!B133,'RAW DATA'!I:I)=0,"",SUMIF('RAW DATA'!M:M,'RAW DATA'!B133,'RAW DATA'!I:I))))</f>
        <v/>
      </c>
      <c r="G133" s="24" t="str">
        <f t="shared" si="1"/>
        <v/>
      </c>
    </row>
    <row r="134" spans="2:7" x14ac:dyDescent="0.25">
      <c r="B134" s="1" t="str">
        <f>IF('RAW DATA'!$C134&lt;&gt;"",'RAW DATA'!$C134,"")</f>
        <v/>
      </c>
      <c r="C134" s="1" t="str">
        <f>IF('RAW DATA'!$D134&lt;&gt;"",'RAW DATA'!$D134,"")</f>
        <v/>
      </c>
      <c r="D134" s="1" t="str">
        <f>IF(AND($B133&lt;&gt;"", $B134=""), "TOTAL:", IF($D133="TOTAL:","VESSEL TARGET "&amp;'RAW DATA'!$E$2&amp;":",IF('RAW DATA'!$E134&lt;&gt;"",'RAW DATA'!$E134,"")))</f>
        <v/>
      </c>
      <c r="E134" s="4" t="str">
        <f>IF($D133="TOTAL:",FIXED(ROUND(((SUM($E$4:$E132)/'RAW DATA'!$E$2)*100),1),1)&amp;"%",IF($D134="TOTAL:",SUM($E$4:$E133),IF(SUMIF('RAW DATA'!M:M,'RAW DATA'!B134,'RAW DATA'!H:H)=0,"",SUMIF('RAW DATA'!M:M,'RAW DATA'!B134,'RAW DATA'!H:H))))</f>
        <v/>
      </c>
      <c r="F134" s="4" t="str">
        <f>IF($D133="TOTAL:",FIXED(ROUND(((SUM($F$4:$F132)/'RAW DATA'!$E$2)*100),1),1)&amp;"%",IF($D134="TOTAL:",SUM($F$4:$F133),IF(SUMIF('RAW DATA'!M:M,'RAW DATA'!B134,'RAW DATA'!I:I)=0,"",SUMIF('RAW DATA'!M:M,'RAW DATA'!B134,'RAW DATA'!I:I))))</f>
        <v/>
      </c>
      <c r="G134" s="24" t="str">
        <f t="shared" ref="G134:G197" si="2">IF(OR($B134="", $E134="",$F134=""),"",IF(AND($E134&gt;=2,$F134&gt;=2),1,""))</f>
        <v/>
      </c>
    </row>
    <row r="135" spans="2:7" x14ac:dyDescent="0.25">
      <c r="B135" s="1" t="str">
        <f>IF('RAW DATA'!$C135&lt;&gt;"",'RAW DATA'!$C135,"")</f>
        <v/>
      </c>
      <c r="C135" s="1" t="str">
        <f>IF('RAW DATA'!$D135&lt;&gt;"",'RAW DATA'!$D135,"")</f>
        <v/>
      </c>
      <c r="D135" s="1" t="str">
        <f>IF(AND($B134&lt;&gt;"", $B135=""), "TOTAL:", IF($D134="TOTAL:","VESSEL TARGET "&amp;'RAW DATA'!$E$2&amp;":",IF('RAW DATA'!$E135&lt;&gt;"",'RAW DATA'!$E135,"")))</f>
        <v/>
      </c>
      <c r="E135" s="4" t="str">
        <f>IF($D134="TOTAL:",FIXED(ROUND(((SUM($E$4:$E133)/'RAW DATA'!$E$2)*100),1),1)&amp;"%",IF($D135="TOTAL:",SUM($E$4:$E134),IF(SUMIF('RAW DATA'!M:M,'RAW DATA'!B135,'RAW DATA'!H:H)=0,"",SUMIF('RAW DATA'!M:M,'RAW DATA'!B135,'RAW DATA'!H:H))))</f>
        <v/>
      </c>
      <c r="F135" s="4" t="str">
        <f>IF($D134="TOTAL:",FIXED(ROUND(((SUM($F$4:$F133)/'RAW DATA'!$E$2)*100),1),1)&amp;"%",IF($D135="TOTAL:",SUM($F$4:$F134),IF(SUMIF('RAW DATA'!M:M,'RAW DATA'!B135,'RAW DATA'!I:I)=0,"",SUMIF('RAW DATA'!M:M,'RAW DATA'!B135,'RAW DATA'!I:I))))</f>
        <v/>
      </c>
      <c r="G135" s="24" t="str">
        <f t="shared" si="2"/>
        <v/>
      </c>
    </row>
    <row r="136" spans="2:7" x14ac:dyDescent="0.25">
      <c r="B136" s="1" t="str">
        <f>IF('RAW DATA'!$C136&lt;&gt;"",'RAW DATA'!$C136,"")</f>
        <v/>
      </c>
      <c r="C136" s="1" t="str">
        <f>IF('RAW DATA'!$D136&lt;&gt;"",'RAW DATA'!$D136,"")</f>
        <v/>
      </c>
      <c r="D136" s="1" t="str">
        <f>IF(AND($B135&lt;&gt;"", $B136=""), "TOTAL:", IF($D135="TOTAL:","VESSEL TARGET "&amp;'RAW DATA'!$E$2&amp;":",IF('RAW DATA'!$E136&lt;&gt;"",'RAW DATA'!$E136,"")))</f>
        <v/>
      </c>
      <c r="E136" s="4" t="str">
        <f>IF($D135="TOTAL:",FIXED(ROUND(((SUM($E$4:$E134)/'RAW DATA'!$E$2)*100),1),1)&amp;"%",IF($D136="TOTAL:",SUM($E$4:$E135),IF(SUMIF('RAW DATA'!M:M,'RAW DATA'!B136,'RAW DATA'!H:H)=0,"",SUMIF('RAW DATA'!M:M,'RAW DATA'!B136,'RAW DATA'!H:H))))</f>
        <v/>
      </c>
      <c r="F136" s="4" t="str">
        <f>IF($D135="TOTAL:",FIXED(ROUND(((SUM($F$4:$F134)/'RAW DATA'!$E$2)*100),1),1)&amp;"%",IF($D136="TOTAL:",SUM($F$4:$F135),IF(SUMIF('RAW DATA'!M:M,'RAW DATA'!B136,'RAW DATA'!I:I)=0,"",SUMIF('RAW DATA'!M:M,'RAW DATA'!B136,'RAW DATA'!I:I))))</f>
        <v/>
      </c>
      <c r="G136" s="24" t="str">
        <f t="shared" si="2"/>
        <v/>
      </c>
    </row>
    <row r="137" spans="2:7" x14ac:dyDescent="0.25">
      <c r="B137" s="1" t="str">
        <f>IF('RAW DATA'!$C137&lt;&gt;"",'RAW DATA'!$C137,"")</f>
        <v/>
      </c>
      <c r="C137" s="1" t="str">
        <f>IF('RAW DATA'!$D137&lt;&gt;"",'RAW DATA'!$D137,"")</f>
        <v/>
      </c>
      <c r="D137" s="1" t="str">
        <f>IF(AND($B136&lt;&gt;"", $B137=""), "TOTAL:", IF($D136="TOTAL:","VESSEL TARGET "&amp;'RAW DATA'!$E$2&amp;":",IF('RAW DATA'!$E137&lt;&gt;"",'RAW DATA'!$E137,"")))</f>
        <v/>
      </c>
      <c r="E137" s="4" t="str">
        <f>IF($D136="TOTAL:",FIXED(ROUND(((SUM($E$4:$E135)/'RAW DATA'!$E$2)*100),1),1)&amp;"%",IF($D137="TOTAL:",SUM($E$4:$E136),IF(SUMIF('RAW DATA'!M:M,'RAW DATA'!B137,'RAW DATA'!H:H)=0,"",SUMIF('RAW DATA'!M:M,'RAW DATA'!B137,'RAW DATA'!H:H))))</f>
        <v/>
      </c>
      <c r="F137" s="4" t="str">
        <f>IF($D136="TOTAL:",FIXED(ROUND(((SUM($F$4:$F135)/'RAW DATA'!$E$2)*100),1),1)&amp;"%",IF($D137="TOTAL:",SUM($F$4:$F136),IF(SUMIF('RAW DATA'!M:M,'RAW DATA'!B137,'RAW DATA'!I:I)=0,"",SUMIF('RAW DATA'!M:M,'RAW DATA'!B137,'RAW DATA'!I:I))))</f>
        <v/>
      </c>
      <c r="G137" s="24" t="str">
        <f t="shared" si="2"/>
        <v/>
      </c>
    </row>
    <row r="138" spans="2:7" x14ac:dyDescent="0.25">
      <c r="B138" s="1" t="str">
        <f>IF('RAW DATA'!$C138&lt;&gt;"",'RAW DATA'!$C138,"")</f>
        <v/>
      </c>
      <c r="C138" s="1" t="str">
        <f>IF('RAW DATA'!$D138&lt;&gt;"",'RAW DATA'!$D138,"")</f>
        <v/>
      </c>
      <c r="D138" s="1" t="str">
        <f>IF(AND($B137&lt;&gt;"", $B138=""), "TOTAL:", IF($D137="TOTAL:","VESSEL TARGET "&amp;'RAW DATA'!$E$2&amp;":",IF('RAW DATA'!$E138&lt;&gt;"",'RAW DATA'!$E138,"")))</f>
        <v/>
      </c>
      <c r="E138" s="4" t="str">
        <f>IF($D137="TOTAL:",FIXED(ROUND(((SUM($E$4:$E136)/'RAW DATA'!$E$2)*100),1),1)&amp;"%",IF($D138="TOTAL:",SUM($E$4:$E137),IF(SUMIF('RAW DATA'!M:M,'RAW DATA'!B138,'RAW DATA'!H:H)=0,"",SUMIF('RAW DATA'!M:M,'RAW DATA'!B138,'RAW DATA'!H:H))))</f>
        <v/>
      </c>
      <c r="F138" s="4" t="str">
        <f>IF($D137="TOTAL:",FIXED(ROUND(((SUM($F$4:$F136)/'RAW DATA'!$E$2)*100),1),1)&amp;"%",IF($D138="TOTAL:",SUM($F$4:$F137),IF(SUMIF('RAW DATA'!M:M,'RAW DATA'!B138,'RAW DATA'!I:I)=0,"",SUMIF('RAW DATA'!M:M,'RAW DATA'!B138,'RAW DATA'!I:I))))</f>
        <v/>
      </c>
      <c r="G138" s="24" t="str">
        <f t="shared" si="2"/>
        <v/>
      </c>
    </row>
    <row r="139" spans="2:7" x14ac:dyDescent="0.25">
      <c r="B139" s="1" t="str">
        <f>IF('RAW DATA'!$C139&lt;&gt;"",'RAW DATA'!$C139,"")</f>
        <v/>
      </c>
      <c r="C139" s="1" t="str">
        <f>IF('RAW DATA'!$D139&lt;&gt;"",'RAW DATA'!$D139,"")</f>
        <v/>
      </c>
      <c r="D139" s="1" t="str">
        <f>IF(AND($B138&lt;&gt;"", $B139=""), "TOTAL:", IF($D138="TOTAL:","VESSEL TARGET "&amp;'RAW DATA'!$E$2&amp;":",IF('RAW DATA'!$E139&lt;&gt;"",'RAW DATA'!$E139,"")))</f>
        <v/>
      </c>
      <c r="E139" s="4" t="str">
        <f>IF($D138="TOTAL:",FIXED(ROUND(((SUM($E$4:$E137)/'RAW DATA'!$E$2)*100),1),1)&amp;"%",IF($D139="TOTAL:",SUM($E$4:$E138),IF(SUMIF('RAW DATA'!M:M,'RAW DATA'!B139,'RAW DATA'!H:H)=0,"",SUMIF('RAW DATA'!M:M,'RAW DATA'!B139,'RAW DATA'!H:H))))</f>
        <v/>
      </c>
      <c r="F139" s="4" t="str">
        <f>IF($D138="TOTAL:",FIXED(ROUND(((SUM($F$4:$F137)/'RAW DATA'!$E$2)*100),1),1)&amp;"%",IF($D139="TOTAL:",SUM($F$4:$F138),IF(SUMIF('RAW DATA'!M:M,'RAW DATA'!B139,'RAW DATA'!I:I)=0,"",SUMIF('RAW DATA'!M:M,'RAW DATA'!B139,'RAW DATA'!I:I))))</f>
        <v/>
      </c>
      <c r="G139" s="24" t="str">
        <f t="shared" si="2"/>
        <v/>
      </c>
    </row>
    <row r="140" spans="2:7" x14ac:dyDescent="0.25">
      <c r="B140" s="1" t="str">
        <f>IF('RAW DATA'!$C140&lt;&gt;"",'RAW DATA'!$C140,"")</f>
        <v/>
      </c>
      <c r="C140" s="1" t="str">
        <f>IF('RAW DATA'!$D140&lt;&gt;"",'RAW DATA'!$D140,"")</f>
        <v/>
      </c>
      <c r="D140" s="1" t="str">
        <f>IF(AND($B139&lt;&gt;"", $B140=""), "TOTAL:", IF($D139="TOTAL:","VESSEL TARGET "&amp;'RAW DATA'!$E$2&amp;":",IF('RAW DATA'!$E140&lt;&gt;"",'RAW DATA'!$E140,"")))</f>
        <v/>
      </c>
      <c r="E140" s="4" t="str">
        <f>IF($D139="TOTAL:",FIXED(ROUND(((SUM($E$4:$E138)/'RAW DATA'!$E$2)*100),1),1)&amp;"%",IF($D140="TOTAL:",SUM($E$4:$E139),IF(SUMIF('RAW DATA'!M:M,'RAW DATA'!B140,'RAW DATA'!H:H)=0,"",SUMIF('RAW DATA'!M:M,'RAW DATA'!B140,'RAW DATA'!H:H))))</f>
        <v/>
      </c>
      <c r="F140" s="4" t="str">
        <f>IF($D139="TOTAL:",FIXED(ROUND(((SUM($F$4:$F138)/'RAW DATA'!$E$2)*100),1),1)&amp;"%",IF($D140="TOTAL:",SUM($F$4:$F139),IF(SUMIF('RAW DATA'!M:M,'RAW DATA'!B140,'RAW DATA'!I:I)=0,"",SUMIF('RAW DATA'!M:M,'RAW DATA'!B140,'RAW DATA'!I:I))))</f>
        <v/>
      </c>
      <c r="G140" s="24" t="str">
        <f t="shared" si="2"/>
        <v/>
      </c>
    </row>
    <row r="141" spans="2:7" x14ac:dyDescent="0.25">
      <c r="B141" s="1" t="str">
        <f>IF('RAW DATA'!$C141&lt;&gt;"",'RAW DATA'!$C141,"")</f>
        <v/>
      </c>
      <c r="C141" s="1" t="str">
        <f>IF('RAW DATA'!$D141&lt;&gt;"",'RAW DATA'!$D141,"")</f>
        <v/>
      </c>
      <c r="D141" s="1" t="str">
        <f>IF(AND($B140&lt;&gt;"", $B141=""), "TOTAL:", IF($D140="TOTAL:","VESSEL TARGET "&amp;'RAW DATA'!$E$2&amp;":",IF('RAW DATA'!$E141&lt;&gt;"",'RAW DATA'!$E141,"")))</f>
        <v/>
      </c>
      <c r="E141" s="4" t="str">
        <f>IF($D140="TOTAL:",FIXED(ROUND(((SUM($E$4:$E139)/'RAW DATA'!$E$2)*100),1),1)&amp;"%",IF($D141="TOTAL:",SUM($E$4:$E140),IF(SUMIF('RAW DATA'!M:M,'RAW DATA'!B141,'RAW DATA'!H:H)=0,"",SUMIF('RAW DATA'!M:M,'RAW DATA'!B141,'RAW DATA'!H:H))))</f>
        <v/>
      </c>
      <c r="F141" s="4" t="str">
        <f>IF($D140="TOTAL:",FIXED(ROUND(((SUM($F$4:$F139)/'RAW DATA'!$E$2)*100),1),1)&amp;"%",IF($D141="TOTAL:",SUM($F$4:$F140),IF(SUMIF('RAW DATA'!M:M,'RAW DATA'!B141,'RAW DATA'!I:I)=0,"",SUMIF('RAW DATA'!M:M,'RAW DATA'!B141,'RAW DATA'!I:I))))</f>
        <v/>
      </c>
      <c r="G141" s="24" t="str">
        <f t="shared" si="2"/>
        <v/>
      </c>
    </row>
    <row r="142" spans="2:7" x14ac:dyDescent="0.25">
      <c r="B142" s="1" t="str">
        <f>IF('RAW DATA'!$C142&lt;&gt;"",'RAW DATA'!$C142,"")</f>
        <v/>
      </c>
      <c r="C142" s="1" t="str">
        <f>IF('RAW DATA'!$D142&lt;&gt;"",'RAW DATA'!$D142,"")</f>
        <v/>
      </c>
      <c r="D142" s="1" t="str">
        <f>IF(AND($B141&lt;&gt;"", $B142=""), "TOTAL:", IF($D141="TOTAL:","VESSEL TARGET "&amp;'RAW DATA'!$E$2&amp;":",IF('RAW DATA'!$E142&lt;&gt;"",'RAW DATA'!$E142,"")))</f>
        <v/>
      </c>
      <c r="E142" s="4" t="str">
        <f>IF($D141="TOTAL:",FIXED(ROUND(((SUM($E$4:$E140)/'RAW DATA'!$E$2)*100),1),1)&amp;"%",IF($D142="TOTAL:",SUM($E$4:$E141),IF(SUMIF('RAW DATA'!M:M,'RAW DATA'!B142,'RAW DATA'!H:H)=0,"",SUMIF('RAW DATA'!M:M,'RAW DATA'!B142,'RAW DATA'!H:H))))</f>
        <v/>
      </c>
      <c r="F142" s="4" t="str">
        <f>IF($D141="TOTAL:",FIXED(ROUND(((SUM($F$4:$F140)/'RAW DATA'!$E$2)*100),1),1)&amp;"%",IF($D142="TOTAL:",SUM($F$4:$F141),IF(SUMIF('RAW DATA'!M:M,'RAW DATA'!B142,'RAW DATA'!I:I)=0,"",SUMIF('RAW DATA'!M:M,'RAW DATA'!B142,'RAW DATA'!I:I))))</f>
        <v/>
      </c>
      <c r="G142" s="24" t="str">
        <f t="shared" si="2"/>
        <v/>
      </c>
    </row>
    <row r="143" spans="2:7" x14ac:dyDescent="0.25">
      <c r="B143" s="1" t="str">
        <f>IF('RAW DATA'!$C143&lt;&gt;"",'RAW DATA'!$C143,"")</f>
        <v/>
      </c>
      <c r="C143" s="1" t="str">
        <f>IF('RAW DATA'!$D143&lt;&gt;"",'RAW DATA'!$D143,"")</f>
        <v/>
      </c>
      <c r="D143" s="1" t="str">
        <f>IF(AND($B142&lt;&gt;"", $B143=""), "TOTAL:", IF($D142="TOTAL:","VESSEL TARGET "&amp;'RAW DATA'!$E$2&amp;":",IF('RAW DATA'!$E143&lt;&gt;"",'RAW DATA'!$E143,"")))</f>
        <v/>
      </c>
      <c r="E143" s="4" t="str">
        <f>IF($D142="TOTAL:",FIXED(ROUND(((SUM($E$4:$E141)/'RAW DATA'!$E$2)*100),1),1)&amp;"%",IF($D143="TOTAL:",SUM($E$4:$E142),IF(SUMIF('RAW DATA'!M:M,'RAW DATA'!B143,'RAW DATA'!H:H)=0,"",SUMIF('RAW DATA'!M:M,'RAW DATA'!B143,'RAW DATA'!H:H))))</f>
        <v/>
      </c>
      <c r="F143" s="4" t="str">
        <f>IF($D142="TOTAL:",FIXED(ROUND(((SUM($F$4:$F141)/'RAW DATA'!$E$2)*100),1),1)&amp;"%",IF($D143="TOTAL:",SUM($F$4:$F142),IF(SUMIF('RAW DATA'!M:M,'RAW DATA'!B143,'RAW DATA'!I:I)=0,"",SUMIF('RAW DATA'!M:M,'RAW DATA'!B143,'RAW DATA'!I:I))))</f>
        <v/>
      </c>
      <c r="G143" s="24" t="str">
        <f t="shared" si="2"/>
        <v/>
      </c>
    </row>
    <row r="144" spans="2:7" x14ac:dyDescent="0.25">
      <c r="B144" s="1" t="str">
        <f>IF('RAW DATA'!$C144&lt;&gt;"",'RAW DATA'!$C144,"")</f>
        <v/>
      </c>
      <c r="C144" s="1" t="str">
        <f>IF('RAW DATA'!$D144&lt;&gt;"",'RAW DATA'!$D144,"")</f>
        <v/>
      </c>
      <c r="D144" s="1" t="str">
        <f>IF(AND($B143&lt;&gt;"", $B144=""), "TOTAL:", IF($D143="TOTAL:","VESSEL TARGET "&amp;'RAW DATA'!$E$2&amp;":",IF('RAW DATA'!$E144&lt;&gt;"",'RAW DATA'!$E144,"")))</f>
        <v/>
      </c>
      <c r="E144" s="4" t="str">
        <f>IF($D143="TOTAL:",FIXED(ROUND(((SUM($E$4:$E142)/'RAW DATA'!$E$2)*100),1),1)&amp;"%",IF($D144="TOTAL:",SUM($E$4:$E143),IF(SUMIF('RAW DATA'!M:M,'RAW DATA'!B144,'RAW DATA'!H:H)=0,"",SUMIF('RAW DATA'!M:M,'RAW DATA'!B144,'RAW DATA'!H:H))))</f>
        <v/>
      </c>
      <c r="F144" s="4" t="str">
        <f>IF($D143="TOTAL:",FIXED(ROUND(((SUM($F$4:$F142)/'RAW DATA'!$E$2)*100),1),1)&amp;"%",IF($D144="TOTAL:",SUM($F$4:$F143),IF(SUMIF('RAW DATA'!M:M,'RAW DATA'!B144,'RAW DATA'!I:I)=0,"",SUMIF('RAW DATA'!M:M,'RAW DATA'!B144,'RAW DATA'!I:I))))</f>
        <v/>
      </c>
      <c r="G144" s="24" t="str">
        <f t="shared" si="2"/>
        <v/>
      </c>
    </row>
    <row r="145" spans="2:7" x14ac:dyDescent="0.25">
      <c r="B145" s="1" t="str">
        <f>IF('RAW DATA'!$C145&lt;&gt;"",'RAW DATA'!$C145,"")</f>
        <v/>
      </c>
      <c r="C145" s="1" t="str">
        <f>IF('RAW DATA'!$D145&lt;&gt;"",'RAW DATA'!$D145,"")</f>
        <v/>
      </c>
      <c r="D145" s="1" t="str">
        <f>IF(AND($B144&lt;&gt;"", $B145=""), "TOTAL:", IF($D144="TOTAL:","VESSEL TARGET "&amp;'RAW DATA'!$E$2&amp;":",IF('RAW DATA'!$E145&lt;&gt;"",'RAW DATA'!$E145,"")))</f>
        <v/>
      </c>
      <c r="E145" s="4" t="str">
        <f>IF($D144="TOTAL:",FIXED(ROUND(((SUM($E$4:$E143)/'RAW DATA'!$E$2)*100),1),1)&amp;"%",IF($D145="TOTAL:",SUM($E$4:$E144),IF(SUMIF('RAW DATA'!M:M,'RAW DATA'!B145,'RAW DATA'!H:H)=0,"",SUMIF('RAW DATA'!M:M,'RAW DATA'!B145,'RAW DATA'!H:H))))</f>
        <v/>
      </c>
      <c r="F145" s="4" t="str">
        <f>IF($D144="TOTAL:",FIXED(ROUND(((SUM($F$4:$F143)/'RAW DATA'!$E$2)*100),1),1)&amp;"%",IF($D145="TOTAL:",SUM($F$4:$F144),IF(SUMIF('RAW DATA'!M:M,'RAW DATA'!B145,'RAW DATA'!I:I)=0,"",SUMIF('RAW DATA'!M:M,'RAW DATA'!B145,'RAW DATA'!I:I))))</f>
        <v/>
      </c>
      <c r="G145" s="24" t="str">
        <f t="shared" si="2"/>
        <v/>
      </c>
    </row>
    <row r="146" spans="2:7" x14ac:dyDescent="0.25">
      <c r="B146" s="1" t="str">
        <f>IF('RAW DATA'!$C146&lt;&gt;"",'RAW DATA'!$C146,"")</f>
        <v/>
      </c>
      <c r="C146" s="1" t="str">
        <f>IF('RAW DATA'!$D146&lt;&gt;"",'RAW DATA'!$D146,"")</f>
        <v/>
      </c>
      <c r="D146" s="1" t="str">
        <f>IF(AND($B145&lt;&gt;"", $B146=""), "TOTAL:", IF($D145="TOTAL:","VESSEL TARGET "&amp;'RAW DATA'!$E$2&amp;":",IF('RAW DATA'!$E146&lt;&gt;"",'RAW DATA'!$E146,"")))</f>
        <v/>
      </c>
      <c r="E146" s="4" t="str">
        <f>IF($D145="TOTAL:",FIXED(ROUND(((SUM($E$4:$E144)/'RAW DATA'!$E$2)*100),1),1)&amp;"%",IF($D146="TOTAL:",SUM($E$4:$E145),IF(SUMIF('RAW DATA'!M:M,'RAW DATA'!B146,'RAW DATA'!H:H)=0,"",SUMIF('RAW DATA'!M:M,'RAW DATA'!B146,'RAW DATA'!H:H))))</f>
        <v/>
      </c>
      <c r="F146" s="4" t="str">
        <f>IF($D145="TOTAL:",FIXED(ROUND(((SUM($F$4:$F144)/'RAW DATA'!$E$2)*100),1),1)&amp;"%",IF($D146="TOTAL:",SUM($F$4:$F145),IF(SUMIF('RAW DATA'!M:M,'RAW DATA'!B146,'RAW DATA'!I:I)=0,"",SUMIF('RAW DATA'!M:M,'RAW DATA'!B146,'RAW DATA'!I:I))))</f>
        <v/>
      </c>
      <c r="G146" s="24" t="str">
        <f t="shared" si="2"/>
        <v/>
      </c>
    </row>
    <row r="147" spans="2:7" x14ac:dyDescent="0.25">
      <c r="B147" s="1" t="str">
        <f>IF('RAW DATA'!$C147&lt;&gt;"",'RAW DATA'!$C147,"")</f>
        <v/>
      </c>
      <c r="C147" s="1" t="str">
        <f>IF('RAW DATA'!$D147&lt;&gt;"",'RAW DATA'!$D147,"")</f>
        <v/>
      </c>
      <c r="D147" s="1" t="str">
        <f>IF(AND($B146&lt;&gt;"", $B147=""), "TOTAL:", IF($D146="TOTAL:","VESSEL TARGET "&amp;'RAW DATA'!$E$2&amp;":",IF('RAW DATA'!$E147&lt;&gt;"",'RAW DATA'!$E147,"")))</f>
        <v/>
      </c>
      <c r="E147" s="4" t="str">
        <f>IF($D146="TOTAL:",FIXED(ROUND(((SUM($E$4:$E145)/'RAW DATA'!$E$2)*100),1),1)&amp;"%",IF($D147="TOTAL:",SUM($E$4:$E146),IF(SUMIF('RAW DATA'!M:M,'RAW DATA'!B147,'RAW DATA'!H:H)=0,"",SUMIF('RAW DATA'!M:M,'RAW DATA'!B147,'RAW DATA'!H:H))))</f>
        <v/>
      </c>
      <c r="F147" s="4" t="str">
        <f>IF($D146="TOTAL:",FIXED(ROUND(((SUM($F$4:$F145)/'RAW DATA'!$E$2)*100),1),1)&amp;"%",IF($D147="TOTAL:",SUM($F$4:$F146),IF(SUMIF('RAW DATA'!M:M,'RAW DATA'!B147,'RAW DATA'!I:I)=0,"",SUMIF('RAW DATA'!M:M,'RAW DATA'!B147,'RAW DATA'!I:I))))</f>
        <v/>
      </c>
      <c r="G147" s="24" t="str">
        <f t="shared" si="2"/>
        <v/>
      </c>
    </row>
    <row r="148" spans="2:7" x14ac:dyDescent="0.25">
      <c r="B148" s="1" t="str">
        <f>IF('RAW DATA'!$C148&lt;&gt;"",'RAW DATA'!$C148,"")</f>
        <v/>
      </c>
      <c r="C148" s="1" t="str">
        <f>IF('RAW DATA'!$D148&lt;&gt;"",'RAW DATA'!$D148,"")</f>
        <v/>
      </c>
      <c r="D148" s="1" t="str">
        <f>IF(AND($B147&lt;&gt;"", $B148=""), "TOTAL:", IF($D147="TOTAL:","VESSEL TARGET "&amp;'RAW DATA'!$E$2&amp;":",IF('RAW DATA'!$E148&lt;&gt;"",'RAW DATA'!$E148,"")))</f>
        <v/>
      </c>
      <c r="E148" s="4" t="str">
        <f>IF($D147="TOTAL:",FIXED(ROUND(((SUM($E$4:$E146)/'RAW DATA'!$E$2)*100),1),1)&amp;"%",IF($D148="TOTAL:",SUM($E$4:$E147),IF(SUMIF('RAW DATA'!M:M,'RAW DATA'!B148,'RAW DATA'!H:H)=0,"",SUMIF('RAW DATA'!M:M,'RAW DATA'!B148,'RAW DATA'!H:H))))</f>
        <v/>
      </c>
      <c r="F148" s="4" t="str">
        <f>IF($D147="TOTAL:",FIXED(ROUND(((SUM($F$4:$F146)/'RAW DATA'!$E$2)*100),1),1)&amp;"%",IF($D148="TOTAL:",SUM($F$4:$F147),IF(SUMIF('RAW DATA'!M:M,'RAW DATA'!B148,'RAW DATA'!I:I)=0,"",SUMIF('RAW DATA'!M:M,'RAW DATA'!B148,'RAW DATA'!I:I))))</f>
        <v/>
      </c>
      <c r="G148" s="24" t="str">
        <f t="shared" si="2"/>
        <v/>
      </c>
    </row>
    <row r="149" spans="2:7" x14ac:dyDescent="0.25">
      <c r="B149" s="1" t="str">
        <f>IF('RAW DATA'!$C149&lt;&gt;"",'RAW DATA'!$C149,"")</f>
        <v/>
      </c>
      <c r="C149" s="1" t="str">
        <f>IF('RAW DATA'!$D149&lt;&gt;"",'RAW DATA'!$D149,"")</f>
        <v/>
      </c>
      <c r="D149" s="1" t="str">
        <f>IF(AND($B148&lt;&gt;"", $B149=""), "TOTAL:", IF($D148="TOTAL:","VESSEL TARGET "&amp;'RAW DATA'!$E$2&amp;":",IF('RAW DATA'!$E149&lt;&gt;"",'RAW DATA'!$E149,"")))</f>
        <v/>
      </c>
      <c r="E149" s="4" t="str">
        <f>IF($D148="TOTAL:",FIXED(ROUND(((SUM($E$4:$E147)/'RAW DATA'!$E$2)*100),1),1)&amp;"%",IF($D149="TOTAL:",SUM($E$4:$E148),IF(SUMIF('RAW DATA'!M:M,'RAW DATA'!B149,'RAW DATA'!H:H)=0,"",SUMIF('RAW DATA'!M:M,'RAW DATA'!B149,'RAW DATA'!H:H))))</f>
        <v/>
      </c>
      <c r="F149" s="4" t="str">
        <f>IF($D148="TOTAL:",FIXED(ROUND(((SUM($F$4:$F147)/'RAW DATA'!$E$2)*100),1),1)&amp;"%",IF($D149="TOTAL:",SUM($F$4:$F148),IF(SUMIF('RAW DATA'!M:M,'RAW DATA'!B149,'RAW DATA'!I:I)=0,"",SUMIF('RAW DATA'!M:M,'RAW DATA'!B149,'RAW DATA'!I:I))))</f>
        <v/>
      </c>
      <c r="G149" s="24" t="str">
        <f t="shared" si="2"/>
        <v/>
      </c>
    </row>
    <row r="150" spans="2:7" x14ac:dyDescent="0.25">
      <c r="B150" s="1" t="str">
        <f>IF('RAW DATA'!$C150&lt;&gt;"",'RAW DATA'!$C150,"")</f>
        <v/>
      </c>
      <c r="C150" s="1" t="str">
        <f>IF('RAW DATA'!$D150&lt;&gt;"",'RAW DATA'!$D150,"")</f>
        <v/>
      </c>
      <c r="D150" s="1" t="str">
        <f>IF(AND($B149&lt;&gt;"", $B150=""), "TOTAL:", IF($D149="TOTAL:","VESSEL TARGET "&amp;'RAW DATA'!$E$2&amp;":",IF('RAW DATA'!$E150&lt;&gt;"",'RAW DATA'!$E150,"")))</f>
        <v/>
      </c>
      <c r="E150" s="4" t="str">
        <f>IF($D149="TOTAL:",FIXED(ROUND(((SUM($E$4:$E148)/'RAW DATA'!$E$2)*100),1),1)&amp;"%",IF($D150="TOTAL:",SUM($E$4:$E149),IF(SUMIF('RAW DATA'!M:M,'RAW DATA'!B150,'RAW DATA'!H:H)=0,"",SUMIF('RAW DATA'!M:M,'RAW DATA'!B150,'RAW DATA'!H:H))))</f>
        <v/>
      </c>
      <c r="F150" s="4" t="str">
        <f>IF($D149="TOTAL:",FIXED(ROUND(((SUM($F$4:$F148)/'RAW DATA'!$E$2)*100),1),1)&amp;"%",IF($D150="TOTAL:",SUM($F$4:$F149),IF(SUMIF('RAW DATA'!M:M,'RAW DATA'!B150,'RAW DATA'!I:I)=0,"",SUMIF('RAW DATA'!M:M,'RAW DATA'!B150,'RAW DATA'!I:I))))</f>
        <v/>
      </c>
      <c r="G150" s="24" t="str">
        <f t="shared" si="2"/>
        <v/>
      </c>
    </row>
    <row r="151" spans="2:7" x14ac:dyDescent="0.25">
      <c r="B151" s="1" t="str">
        <f>IF('RAW DATA'!$C151&lt;&gt;"",'RAW DATA'!$C151,"")</f>
        <v/>
      </c>
      <c r="C151" s="1" t="str">
        <f>IF('RAW DATA'!$D151&lt;&gt;"",'RAW DATA'!$D151,"")</f>
        <v/>
      </c>
      <c r="D151" s="1" t="str">
        <f>IF(AND($B150&lt;&gt;"", $B151=""), "TOTAL:", IF($D150="TOTAL:","VESSEL TARGET "&amp;'RAW DATA'!$E$2&amp;":",IF('RAW DATA'!$E151&lt;&gt;"",'RAW DATA'!$E151,"")))</f>
        <v/>
      </c>
      <c r="E151" s="4" t="str">
        <f>IF($D150="TOTAL:",FIXED(ROUND(((SUM($E$4:$E149)/'RAW DATA'!$E$2)*100),1),1)&amp;"%",IF($D151="TOTAL:",SUM($E$4:$E150),IF(SUMIF('RAW DATA'!M:M,'RAW DATA'!B151,'RAW DATA'!H:H)=0,"",SUMIF('RAW DATA'!M:M,'RAW DATA'!B151,'RAW DATA'!H:H))))</f>
        <v/>
      </c>
      <c r="F151" s="4" t="str">
        <f>IF($D150="TOTAL:",FIXED(ROUND(((SUM($F$4:$F149)/'RAW DATA'!$E$2)*100),1),1)&amp;"%",IF($D151="TOTAL:",SUM($F$4:$F150),IF(SUMIF('RAW DATA'!M:M,'RAW DATA'!B151,'RAW DATA'!I:I)=0,"",SUMIF('RAW DATA'!M:M,'RAW DATA'!B151,'RAW DATA'!I:I))))</f>
        <v/>
      </c>
      <c r="G151" s="24" t="str">
        <f t="shared" si="2"/>
        <v/>
      </c>
    </row>
    <row r="152" spans="2:7" x14ac:dyDescent="0.25">
      <c r="B152" s="1" t="str">
        <f>IF('RAW DATA'!$C152&lt;&gt;"",'RAW DATA'!$C152,"")</f>
        <v/>
      </c>
      <c r="C152" s="1" t="str">
        <f>IF('RAW DATA'!$D152&lt;&gt;"",'RAW DATA'!$D152,"")</f>
        <v/>
      </c>
      <c r="D152" s="1" t="str">
        <f>IF(AND($B151&lt;&gt;"", $B152=""), "TOTAL:", IF($D151="TOTAL:","VESSEL TARGET "&amp;'RAW DATA'!$E$2&amp;":",IF('RAW DATA'!$E152&lt;&gt;"",'RAW DATA'!$E152,"")))</f>
        <v/>
      </c>
      <c r="E152" s="4" t="str">
        <f>IF($D151="TOTAL:",FIXED(ROUND(((SUM($E$4:$E150)/'RAW DATA'!$E$2)*100),1),1)&amp;"%",IF($D152="TOTAL:",SUM($E$4:$E151),IF(SUMIF('RAW DATA'!M:M,'RAW DATA'!B152,'RAW DATA'!H:H)=0,"",SUMIF('RAW DATA'!M:M,'RAW DATA'!B152,'RAW DATA'!H:H))))</f>
        <v/>
      </c>
      <c r="F152" s="4" t="str">
        <f>IF($D151="TOTAL:",FIXED(ROUND(((SUM($F$4:$F150)/'RAW DATA'!$E$2)*100),1),1)&amp;"%",IF($D152="TOTAL:",SUM($F$4:$F151),IF(SUMIF('RAW DATA'!M:M,'RAW DATA'!B152,'RAW DATA'!I:I)=0,"",SUMIF('RAW DATA'!M:M,'RAW DATA'!B152,'RAW DATA'!I:I))))</f>
        <v/>
      </c>
      <c r="G152" s="24" t="str">
        <f t="shared" si="2"/>
        <v/>
      </c>
    </row>
    <row r="153" spans="2:7" x14ac:dyDescent="0.25">
      <c r="B153" s="1" t="str">
        <f>IF('RAW DATA'!$C153&lt;&gt;"",'RAW DATA'!$C153,"")</f>
        <v/>
      </c>
      <c r="C153" s="1" t="str">
        <f>IF('RAW DATA'!$D153&lt;&gt;"",'RAW DATA'!$D153,"")</f>
        <v/>
      </c>
      <c r="D153" s="1" t="str">
        <f>IF(AND($B152&lt;&gt;"", $B153=""), "TOTAL:", IF($D152="TOTAL:","VESSEL TARGET "&amp;'RAW DATA'!$E$2&amp;":",IF('RAW DATA'!$E153&lt;&gt;"",'RAW DATA'!$E153,"")))</f>
        <v/>
      </c>
      <c r="E153" s="4" t="str">
        <f>IF($D152="TOTAL:",FIXED(ROUND(((SUM($E$4:$E151)/'RAW DATA'!$E$2)*100),1),1)&amp;"%",IF($D153="TOTAL:",SUM($E$4:$E152),IF(SUMIF('RAW DATA'!M:M,'RAW DATA'!B153,'RAW DATA'!H:H)=0,"",SUMIF('RAW DATA'!M:M,'RAW DATA'!B153,'RAW DATA'!H:H))))</f>
        <v/>
      </c>
      <c r="F153" s="4" t="str">
        <f>IF($D152="TOTAL:",FIXED(ROUND(((SUM($F$4:$F151)/'RAW DATA'!$E$2)*100),1),1)&amp;"%",IF($D153="TOTAL:",SUM($F$4:$F152),IF(SUMIF('RAW DATA'!M:M,'RAW DATA'!B153,'RAW DATA'!I:I)=0,"",SUMIF('RAW DATA'!M:M,'RAW DATA'!B153,'RAW DATA'!I:I))))</f>
        <v/>
      </c>
      <c r="G153" s="24" t="str">
        <f t="shared" si="2"/>
        <v/>
      </c>
    </row>
    <row r="154" spans="2:7" x14ac:dyDescent="0.25">
      <c r="B154" s="1" t="str">
        <f>IF('RAW DATA'!$C154&lt;&gt;"",'RAW DATA'!$C154,"")</f>
        <v/>
      </c>
      <c r="C154" s="1" t="str">
        <f>IF('RAW DATA'!$D154&lt;&gt;"",'RAW DATA'!$D154,"")</f>
        <v/>
      </c>
      <c r="D154" s="1" t="str">
        <f>IF(AND($B153&lt;&gt;"", $B154=""), "TOTAL:", IF($D153="TOTAL:","VESSEL TARGET "&amp;'RAW DATA'!$E$2&amp;":",IF('RAW DATA'!$E154&lt;&gt;"",'RAW DATA'!$E154,"")))</f>
        <v/>
      </c>
      <c r="E154" s="4" t="str">
        <f>IF($D153="TOTAL:",FIXED(ROUND(((SUM($E$4:$E152)/'RAW DATA'!$E$2)*100),1),1)&amp;"%",IF($D154="TOTAL:",SUM($E$4:$E153),IF(SUMIF('RAW DATA'!M:M,'RAW DATA'!B154,'RAW DATA'!H:H)=0,"",SUMIF('RAW DATA'!M:M,'RAW DATA'!B154,'RAW DATA'!H:H))))</f>
        <v/>
      </c>
      <c r="F154" s="4" t="str">
        <f>IF($D153="TOTAL:",FIXED(ROUND(((SUM($F$4:$F152)/'RAW DATA'!$E$2)*100),1),1)&amp;"%",IF($D154="TOTAL:",SUM($F$4:$F153),IF(SUMIF('RAW DATA'!M:M,'RAW DATA'!B154,'RAW DATA'!I:I)=0,"",SUMIF('RAW DATA'!M:M,'RAW DATA'!B154,'RAW DATA'!I:I))))</f>
        <v/>
      </c>
      <c r="G154" s="24" t="str">
        <f t="shared" si="2"/>
        <v/>
      </c>
    </row>
    <row r="155" spans="2:7" x14ac:dyDescent="0.25">
      <c r="B155" s="1" t="str">
        <f>IF('RAW DATA'!$C155&lt;&gt;"",'RAW DATA'!$C155,"")</f>
        <v/>
      </c>
      <c r="C155" s="1" t="str">
        <f>IF('RAW DATA'!$D155&lt;&gt;"",'RAW DATA'!$D155,"")</f>
        <v/>
      </c>
      <c r="D155" s="1" t="str">
        <f>IF(AND($B154&lt;&gt;"", $B155=""), "TOTAL:", IF($D154="TOTAL:","VESSEL TARGET "&amp;'RAW DATA'!$E$2&amp;":",IF('RAW DATA'!$E155&lt;&gt;"",'RAW DATA'!$E155,"")))</f>
        <v/>
      </c>
      <c r="E155" s="4" t="str">
        <f>IF($D154="TOTAL:",FIXED(ROUND(((SUM($E$4:$E153)/'RAW DATA'!$E$2)*100),1),1)&amp;"%",IF($D155="TOTAL:",SUM($E$4:$E154),IF(SUMIF('RAW DATA'!M:M,'RAW DATA'!B155,'RAW DATA'!H:H)=0,"",SUMIF('RAW DATA'!M:M,'RAW DATA'!B155,'RAW DATA'!H:H))))</f>
        <v/>
      </c>
      <c r="F155" s="4" t="str">
        <f>IF($D154="TOTAL:",FIXED(ROUND(((SUM($F$4:$F153)/'RAW DATA'!$E$2)*100),1),1)&amp;"%",IF($D155="TOTAL:",SUM($F$4:$F154),IF(SUMIF('RAW DATA'!M:M,'RAW DATA'!B155,'RAW DATA'!I:I)=0,"",SUMIF('RAW DATA'!M:M,'RAW DATA'!B155,'RAW DATA'!I:I))))</f>
        <v/>
      </c>
      <c r="G155" s="24" t="str">
        <f t="shared" si="2"/>
        <v/>
      </c>
    </row>
    <row r="156" spans="2:7" x14ac:dyDescent="0.25">
      <c r="B156" s="1" t="str">
        <f>IF('RAW DATA'!$C156&lt;&gt;"",'RAW DATA'!$C156,"")</f>
        <v/>
      </c>
      <c r="C156" s="1" t="str">
        <f>IF('RAW DATA'!$D156&lt;&gt;"",'RAW DATA'!$D156,"")</f>
        <v/>
      </c>
      <c r="D156" s="1" t="str">
        <f>IF(AND($B155&lt;&gt;"", $B156=""), "TOTAL:", IF($D155="TOTAL:","VESSEL TARGET "&amp;'RAW DATA'!$E$2&amp;":",IF('RAW DATA'!$E156&lt;&gt;"",'RAW DATA'!$E156,"")))</f>
        <v/>
      </c>
      <c r="E156" s="4" t="str">
        <f>IF($D155="TOTAL:",FIXED(ROUND(((SUM($E$4:$E154)/'RAW DATA'!$E$2)*100),1),1)&amp;"%",IF($D156="TOTAL:",SUM($E$4:$E155),IF(SUMIF('RAW DATA'!M:M,'RAW DATA'!B156,'RAW DATA'!H:H)=0,"",SUMIF('RAW DATA'!M:M,'RAW DATA'!B156,'RAW DATA'!H:H))))</f>
        <v/>
      </c>
      <c r="F156" s="4" t="str">
        <f>IF($D155="TOTAL:",FIXED(ROUND(((SUM($F$4:$F154)/'RAW DATA'!$E$2)*100),1),1)&amp;"%",IF($D156="TOTAL:",SUM($F$4:$F155),IF(SUMIF('RAW DATA'!M:M,'RAW DATA'!B156,'RAW DATA'!I:I)=0,"",SUMIF('RAW DATA'!M:M,'RAW DATA'!B156,'RAW DATA'!I:I))))</f>
        <v/>
      </c>
      <c r="G156" s="24" t="str">
        <f t="shared" si="2"/>
        <v/>
      </c>
    </row>
    <row r="157" spans="2:7" x14ac:dyDescent="0.25">
      <c r="B157" s="1" t="str">
        <f>IF('RAW DATA'!$C157&lt;&gt;"",'RAW DATA'!$C157,"")</f>
        <v/>
      </c>
      <c r="C157" s="1" t="str">
        <f>IF('RAW DATA'!$D157&lt;&gt;"",'RAW DATA'!$D157,"")</f>
        <v/>
      </c>
      <c r="D157" s="1" t="str">
        <f>IF(AND($B156&lt;&gt;"", $B157=""), "TOTAL:", IF($D156="TOTAL:","VESSEL TARGET "&amp;'RAW DATA'!$E$2&amp;":",IF('RAW DATA'!$E157&lt;&gt;"",'RAW DATA'!$E157,"")))</f>
        <v/>
      </c>
      <c r="E157" s="4" t="str">
        <f>IF($D156="TOTAL:",FIXED(ROUND(((SUM($E$4:$E155)/'RAW DATA'!$E$2)*100),1),1)&amp;"%",IF($D157="TOTAL:",SUM($E$4:$E156),IF(SUMIF('RAW DATA'!M:M,'RAW DATA'!B157,'RAW DATA'!H:H)=0,"",SUMIF('RAW DATA'!M:M,'RAW DATA'!B157,'RAW DATA'!H:H))))</f>
        <v/>
      </c>
      <c r="F157" s="4" t="str">
        <f>IF($D156="TOTAL:",FIXED(ROUND(((SUM($F$4:$F155)/'RAW DATA'!$E$2)*100),1),1)&amp;"%",IF($D157="TOTAL:",SUM($F$4:$F156),IF(SUMIF('RAW DATA'!M:M,'RAW DATA'!B157,'RAW DATA'!I:I)=0,"",SUMIF('RAW DATA'!M:M,'RAW DATA'!B157,'RAW DATA'!I:I))))</f>
        <v/>
      </c>
      <c r="G157" s="24" t="str">
        <f t="shared" si="2"/>
        <v/>
      </c>
    </row>
    <row r="158" spans="2:7" x14ac:dyDescent="0.25">
      <c r="B158" s="1" t="str">
        <f>IF('RAW DATA'!$C158&lt;&gt;"",'RAW DATA'!$C158,"")</f>
        <v/>
      </c>
      <c r="C158" s="1" t="str">
        <f>IF('RAW DATA'!$D158&lt;&gt;"",'RAW DATA'!$D158,"")</f>
        <v/>
      </c>
      <c r="D158" s="1" t="str">
        <f>IF(AND($B157&lt;&gt;"", $B158=""), "TOTAL:", IF($D157="TOTAL:","VESSEL TARGET "&amp;'RAW DATA'!$E$2&amp;":",IF('RAW DATA'!$E158&lt;&gt;"",'RAW DATA'!$E158,"")))</f>
        <v/>
      </c>
      <c r="E158" s="4" t="str">
        <f>IF($D157="TOTAL:",FIXED(ROUND(((SUM($E$4:$E156)/'RAW DATA'!$E$2)*100),1),1)&amp;"%",IF($D158="TOTAL:",SUM($E$4:$E157),IF(SUMIF('RAW DATA'!M:M,'RAW DATA'!B158,'RAW DATA'!H:H)=0,"",SUMIF('RAW DATA'!M:M,'RAW DATA'!B158,'RAW DATA'!H:H))))</f>
        <v/>
      </c>
      <c r="F158" s="4" t="str">
        <f>IF($D157="TOTAL:",FIXED(ROUND(((SUM($F$4:$F156)/'RAW DATA'!$E$2)*100),1),1)&amp;"%",IF($D158="TOTAL:",SUM($F$4:$F157),IF(SUMIF('RAW DATA'!M:M,'RAW DATA'!B158,'RAW DATA'!I:I)=0,"",SUMIF('RAW DATA'!M:M,'RAW DATA'!B158,'RAW DATA'!I:I))))</f>
        <v/>
      </c>
      <c r="G158" s="24" t="str">
        <f t="shared" si="2"/>
        <v/>
      </c>
    </row>
    <row r="159" spans="2:7" x14ac:dyDescent="0.25">
      <c r="B159" s="1" t="str">
        <f>IF('RAW DATA'!$C159&lt;&gt;"",'RAW DATA'!$C159,"")</f>
        <v/>
      </c>
      <c r="C159" s="1" t="str">
        <f>IF('RAW DATA'!$D159&lt;&gt;"",'RAW DATA'!$D159,"")</f>
        <v/>
      </c>
      <c r="D159" s="1" t="str">
        <f>IF(AND($B158&lt;&gt;"", $B159=""), "TOTAL:", IF($D158="TOTAL:","VESSEL TARGET "&amp;'RAW DATA'!$E$2&amp;":",IF('RAW DATA'!$E159&lt;&gt;"",'RAW DATA'!$E159,"")))</f>
        <v/>
      </c>
      <c r="E159" s="4" t="str">
        <f>IF($D158="TOTAL:",FIXED(ROUND(((SUM($E$4:$E157)/'RAW DATA'!$E$2)*100),1),1)&amp;"%",IF($D159="TOTAL:",SUM($E$4:$E158),IF(SUMIF('RAW DATA'!M:M,'RAW DATA'!B159,'RAW DATA'!H:H)=0,"",SUMIF('RAW DATA'!M:M,'RAW DATA'!B159,'RAW DATA'!H:H))))</f>
        <v/>
      </c>
      <c r="F159" s="4" t="str">
        <f>IF($D158="TOTAL:",FIXED(ROUND(((SUM($F$4:$F157)/'RAW DATA'!$E$2)*100),1),1)&amp;"%",IF($D159="TOTAL:",SUM($F$4:$F158),IF(SUMIF('RAW DATA'!M:M,'RAW DATA'!B159,'RAW DATA'!I:I)=0,"",SUMIF('RAW DATA'!M:M,'RAW DATA'!B159,'RAW DATA'!I:I))))</f>
        <v/>
      </c>
      <c r="G159" s="24" t="str">
        <f t="shared" si="2"/>
        <v/>
      </c>
    </row>
    <row r="160" spans="2:7" x14ac:dyDescent="0.25">
      <c r="B160" s="1" t="str">
        <f>IF('RAW DATA'!$C160&lt;&gt;"",'RAW DATA'!$C160,"")</f>
        <v/>
      </c>
      <c r="C160" s="1" t="str">
        <f>IF('RAW DATA'!$D160&lt;&gt;"",'RAW DATA'!$D160,"")</f>
        <v/>
      </c>
      <c r="D160" s="1" t="str">
        <f>IF(AND($B159&lt;&gt;"", $B160=""), "TOTAL:", IF($D159="TOTAL:","VESSEL TARGET "&amp;'RAW DATA'!$E$2&amp;":",IF('RAW DATA'!$E160&lt;&gt;"",'RAW DATA'!$E160,"")))</f>
        <v/>
      </c>
      <c r="E160" s="4" t="str">
        <f>IF($D159="TOTAL:",FIXED(ROUND(((SUM($E$4:$E158)/'RAW DATA'!$E$2)*100),1),1)&amp;"%",IF($D160="TOTAL:",SUM($E$4:$E159),IF(SUMIF('RAW DATA'!M:M,'RAW DATA'!B160,'RAW DATA'!H:H)=0,"",SUMIF('RAW DATA'!M:M,'RAW DATA'!B160,'RAW DATA'!H:H))))</f>
        <v/>
      </c>
      <c r="F160" s="4" t="str">
        <f>IF($D159="TOTAL:",FIXED(ROUND(((SUM($F$4:$F158)/'RAW DATA'!$E$2)*100),1),1)&amp;"%",IF($D160="TOTAL:",SUM($F$4:$F159),IF(SUMIF('RAW DATA'!M:M,'RAW DATA'!B160,'RAW DATA'!I:I)=0,"",SUMIF('RAW DATA'!M:M,'RAW DATA'!B160,'RAW DATA'!I:I))))</f>
        <v/>
      </c>
      <c r="G160" s="24" t="str">
        <f t="shared" si="2"/>
        <v/>
      </c>
    </row>
    <row r="161" spans="2:7" x14ac:dyDescent="0.25">
      <c r="B161" s="1" t="str">
        <f>IF('RAW DATA'!$C161&lt;&gt;"",'RAW DATA'!$C161,"")</f>
        <v/>
      </c>
      <c r="C161" s="1" t="str">
        <f>IF('RAW DATA'!$D161&lt;&gt;"",'RAW DATA'!$D161,"")</f>
        <v/>
      </c>
      <c r="D161" s="1" t="str">
        <f>IF(AND($B160&lt;&gt;"", $B161=""), "TOTAL:", IF($D160="TOTAL:","VESSEL TARGET "&amp;'RAW DATA'!$E$2&amp;":",IF('RAW DATA'!$E161&lt;&gt;"",'RAW DATA'!$E161,"")))</f>
        <v/>
      </c>
      <c r="E161" s="4" t="str">
        <f>IF($D160="TOTAL:",FIXED(ROUND(((SUM($E$4:$E159)/'RAW DATA'!$E$2)*100),1),1)&amp;"%",IF($D161="TOTAL:",SUM($E$4:$E160),IF(SUMIF('RAW DATA'!M:M,'RAW DATA'!B161,'RAW DATA'!H:H)=0,"",SUMIF('RAW DATA'!M:M,'RAW DATA'!B161,'RAW DATA'!H:H))))</f>
        <v/>
      </c>
      <c r="F161" s="4" t="str">
        <f>IF($D160="TOTAL:",FIXED(ROUND(((SUM($F$4:$F159)/'RAW DATA'!$E$2)*100),1),1)&amp;"%",IF($D161="TOTAL:",SUM($F$4:$F160),IF(SUMIF('RAW DATA'!M:M,'RAW DATA'!B161,'RAW DATA'!I:I)=0,"",SUMIF('RAW DATA'!M:M,'RAW DATA'!B161,'RAW DATA'!I:I))))</f>
        <v/>
      </c>
      <c r="G161" s="24" t="str">
        <f t="shared" si="2"/>
        <v/>
      </c>
    </row>
    <row r="162" spans="2:7" x14ac:dyDescent="0.25">
      <c r="B162" s="1" t="str">
        <f>IF('RAW DATA'!$C162&lt;&gt;"",'RAW DATA'!$C162,"")</f>
        <v/>
      </c>
      <c r="C162" s="1" t="str">
        <f>IF('RAW DATA'!$D162&lt;&gt;"",'RAW DATA'!$D162,"")</f>
        <v/>
      </c>
      <c r="D162" s="1" t="str">
        <f>IF(AND($B161&lt;&gt;"", $B162=""), "TOTAL:", IF($D161="TOTAL:","VESSEL TARGET "&amp;'RAW DATA'!$E$2&amp;":",IF('RAW DATA'!$E162&lt;&gt;"",'RAW DATA'!$E162,"")))</f>
        <v/>
      </c>
      <c r="E162" s="4" t="str">
        <f>IF($D161="TOTAL:",FIXED(ROUND(((SUM($E$4:$E160)/'RAW DATA'!$E$2)*100),1),1)&amp;"%",IF($D162="TOTAL:",SUM($E$4:$E161),IF(SUMIF('RAW DATA'!M:M,'RAW DATA'!B162,'RAW DATA'!H:H)=0,"",SUMIF('RAW DATA'!M:M,'RAW DATA'!B162,'RAW DATA'!H:H))))</f>
        <v/>
      </c>
      <c r="F162" s="4" t="str">
        <f>IF($D161="TOTAL:",FIXED(ROUND(((SUM($F$4:$F160)/'RAW DATA'!$E$2)*100),1),1)&amp;"%",IF($D162="TOTAL:",SUM($F$4:$F161),IF(SUMIF('RAW DATA'!M:M,'RAW DATA'!B162,'RAW DATA'!I:I)=0,"",SUMIF('RAW DATA'!M:M,'RAW DATA'!B162,'RAW DATA'!I:I))))</f>
        <v/>
      </c>
      <c r="G162" s="24" t="str">
        <f t="shared" si="2"/>
        <v/>
      </c>
    </row>
    <row r="163" spans="2:7" x14ac:dyDescent="0.25">
      <c r="B163" s="1" t="str">
        <f>IF('RAW DATA'!$C163&lt;&gt;"",'RAW DATA'!$C163,"")</f>
        <v/>
      </c>
      <c r="C163" s="1" t="str">
        <f>IF('RAW DATA'!$D163&lt;&gt;"",'RAW DATA'!$D163,"")</f>
        <v/>
      </c>
      <c r="D163" s="1" t="str">
        <f>IF(AND($B162&lt;&gt;"", $B163=""), "TOTAL:", IF($D162="TOTAL:","VESSEL TARGET "&amp;'RAW DATA'!$E$2&amp;":",IF('RAW DATA'!$E163&lt;&gt;"",'RAW DATA'!$E163,"")))</f>
        <v/>
      </c>
      <c r="E163" s="4" t="str">
        <f>IF($D162="TOTAL:",FIXED(ROUND(((SUM($E$4:$E161)/'RAW DATA'!$E$2)*100),1),1)&amp;"%",IF($D163="TOTAL:",SUM($E$4:$E162),IF(SUMIF('RAW DATA'!M:M,'RAW DATA'!B163,'RAW DATA'!H:H)=0,"",SUMIF('RAW DATA'!M:M,'RAW DATA'!B163,'RAW DATA'!H:H))))</f>
        <v/>
      </c>
      <c r="F163" s="4" t="str">
        <f>IF($D162="TOTAL:",FIXED(ROUND(((SUM($F$4:$F161)/'RAW DATA'!$E$2)*100),1),1)&amp;"%",IF($D163="TOTAL:",SUM($F$4:$F162),IF(SUMIF('RAW DATA'!M:M,'RAW DATA'!B163,'RAW DATA'!I:I)=0,"",SUMIF('RAW DATA'!M:M,'RAW DATA'!B163,'RAW DATA'!I:I))))</f>
        <v/>
      </c>
      <c r="G163" s="24" t="str">
        <f t="shared" si="2"/>
        <v/>
      </c>
    </row>
    <row r="164" spans="2:7" x14ac:dyDescent="0.25">
      <c r="B164" s="1" t="str">
        <f>IF('RAW DATA'!$C164&lt;&gt;"",'RAW DATA'!$C164,"")</f>
        <v/>
      </c>
      <c r="C164" s="1" t="str">
        <f>IF('RAW DATA'!$D164&lt;&gt;"",'RAW DATA'!$D164,"")</f>
        <v/>
      </c>
      <c r="D164" s="1" t="str">
        <f>IF(AND($B163&lt;&gt;"", $B164=""), "TOTAL:", IF($D163="TOTAL:","VESSEL TARGET "&amp;'RAW DATA'!$E$2&amp;":",IF('RAW DATA'!$E164&lt;&gt;"",'RAW DATA'!$E164,"")))</f>
        <v/>
      </c>
      <c r="E164" s="4" t="str">
        <f>IF($D163="TOTAL:",FIXED(ROUND(((SUM($E$4:$E162)/'RAW DATA'!$E$2)*100),1),1)&amp;"%",IF($D164="TOTAL:",SUM($E$4:$E163),IF(SUMIF('RAW DATA'!M:M,'RAW DATA'!B164,'RAW DATA'!H:H)=0,"",SUMIF('RAW DATA'!M:M,'RAW DATA'!B164,'RAW DATA'!H:H))))</f>
        <v/>
      </c>
      <c r="F164" s="4" t="str">
        <f>IF($D163="TOTAL:",FIXED(ROUND(((SUM($F$4:$F162)/'RAW DATA'!$E$2)*100),1),1)&amp;"%",IF($D164="TOTAL:",SUM($F$4:$F163),IF(SUMIF('RAW DATA'!M:M,'RAW DATA'!B164,'RAW DATA'!I:I)=0,"",SUMIF('RAW DATA'!M:M,'RAW DATA'!B164,'RAW DATA'!I:I))))</f>
        <v/>
      </c>
      <c r="G164" s="24" t="str">
        <f t="shared" si="2"/>
        <v/>
      </c>
    </row>
    <row r="165" spans="2:7" x14ac:dyDescent="0.25">
      <c r="B165" s="1" t="str">
        <f>IF('RAW DATA'!$C165&lt;&gt;"",'RAW DATA'!$C165,"")</f>
        <v/>
      </c>
      <c r="C165" s="1" t="str">
        <f>IF('RAW DATA'!$D165&lt;&gt;"",'RAW DATA'!$D165,"")</f>
        <v/>
      </c>
      <c r="D165" s="1" t="str">
        <f>IF(AND($B164&lt;&gt;"", $B165=""), "TOTAL:", IF($D164="TOTAL:","VESSEL TARGET "&amp;'RAW DATA'!$E$2&amp;":",IF('RAW DATA'!$E165&lt;&gt;"",'RAW DATA'!$E165,"")))</f>
        <v/>
      </c>
      <c r="E165" s="4" t="str">
        <f>IF($D164="TOTAL:",FIXED(ROUND(((SUM($E$4:$E163)/'RAW DATA'!$E$2)*100),1),1)&amp;"%",IF($D165="TOTAL:",SUM($E$4:$E164),IF(SUMIF('RAW DATA'!M:M,'RAW DATA'!B165,'RAW DATA'!H:H)=0,"",SUMIF('RAW DATA'!M:M,'RAW DATA'!B165,'RAW DATA'!H:H))))</f>
        <v/>
      </c>
      <c r="F165" s="4" t="str">
        <f>IF($D164="TOTAL:",FIXED(ROUND(((SUM($F$4:$F163)/'RAW DATA'!$E$2)*100),1),1)&amp;"%",IF($D165="TOTAL:",SUM($F$4:$F164),IF(SUMIF('RAW DATA'!M:M,'RAW DATA'!B165,'RAW DATA'!I:I)=0,"",SUMIF('RAW DATA'!M:M,'RAW DATA'!B165,'RAW DATA'!I:I))))</f>
        <v/>
      </c>
      <c r="G165" s="24" t="str">
        <f t="shared" si="2"/>
        <v/>
      </c>
    </row>
    <row r="166" spans="2:7" x14ac:dyDescent="0.25">
      <c r="B166" s="1" t="str">
        <f>IF('RAW DATA'!$C166&lt;&gt;"",'RAW DATA'!$C166,"")</f>
        <v/>
      </c>
      <c r="C166" s="1" t="str">
        <f>IF('RAW DATA'!$D166&lt;&gt;"",'RAW DATA'!$D166,"")</f>
        <v/>
      </c>
      <c r="D166" s="1" t="str">
        <f>IF(AND($B165&lt;&gt;"", $B166=""), "TOTAL:", IF($D165="TOTAL:","VESSEL TARGET "&amp;'RAW DATA'!$E$2&amp;":",IF('RAW DATA'!$E166&lt;&gt;"",'RAW DATA'!$E166,"")))</f>
        <v/>
      </c>
      <c r="E166" s="4" t="str">
        <f>IF($D165="TOTAL:",FIXED(ROUND(((SUM($E$4:$E164)/'RAW DATA'!$E$2)*100),1),1)&amp;"%",IF($D166="TOTAL:",SUM($E$4:$E165),IF(SUMIF('RAW DATA'!M:M,'RAW DATA'!B166,'RAW DATA'!H:H)=0,"",SUMIF('RAW DATA'!M:M,'RAW DATA'!B166,'RAW DATA'!H:H))))</f>
        <v/>
      </c>
      <c r="F166" s="4" t="str">
        <f>IF($D165="TOTAL:",FIXED(ROUND(((SUM($F$4:$F164)/'RAW DATA'!$E$2)*100),1),1)&amp;"%",IF($D166="TOTAL:",SUM($F$4:$F165),IF(SUMIF('RAW DATA'!M:M,'RAW DATA'!B166,'RAW DATA'!I:I)=0,"",SUMIF('RAW DATA'!M:M,'RAW DATA'!B166,'RAW DATA'!I:I))))</f>
        <v/>
      </c>
      <c r="G166" s="24" t="str">
        <f t="shared" si="2"/>
        <v/>
      </c>
    </row>
    <row r="167" spans="2:7" x14ac:dyDescent="0.25">
      <c r="B167" s="1" t="str">
        <f>IF('RAW DATA'!$C167&lt;&gt;"",'RAW DATA'!$C167,"")</f>
        <v/>
      </c>
      <c r="C167" s="1" t="str">
        <f>IF('RAW DATA'!$D167&lt;&gt;"",'RAW DATA'!$D167,"")</f>
        <v/>
      </c>
      <c r="D167" s="1" t="str">
        <f>IF(AND($B166&lt;&gt;"", $B167=""), "TOTAL:", IF($D166="TOTAL:","VESSEL TARGET "&amp;'RAW DATA'!$E$2&amp;":",IF('RAW DATA'!$E167&lt;&gt;"",'RAW DATA'!$E167,"")))</f>
        <v/>
      </c>
      <c r="E167" s="4" t="str">
        <f>IF($D166="TOTAL:",FIXED(ROUND(((SUM($E$4:$E165)/'RAW DATA'!$E$2)*100),1),1)&amp;"%",IF($D167="TOTAL:",SUM($E$4:$E166),IF(SUMIF('RAW DATA'!M:M,'RAW DATA'!B167,'RAW DATA'!H:H)=0,"",SUMIF('RAW DATA'!M:M,'RAW DATA'!B167,'RAW DATA'!H:H))))</f>
        <v/>
      </c>
      <c r="F167" s="4" t="str">
        <f>IF($D166="TOTAL:",FIXED(ROUND(((SUM($F$4:$F165)/'RAW DATA'!$E$2)*100),1),1)&amp;"%",IF($D167="TOTAL:",SUM($F$4:$F166),IF(SUMIF('RAW DATA'!M:M,'RAW DATA'!B167,'RAW DATA'!I:I)=0,"",SUMIF('RAW DATA'!M:M,'RAW DATA'!B167,'RAW DATA'!I:I))))</f>
        <v/>
      </c>
      <c r="G167" s="24" t="str">
        <f t="shared" si="2"/>
        <v/>
      </c>
    </row>
    <row r="168" spans="2:7" x14ac:dyDescent="0.25">
      <c r="B168" s="1" t="str">
        <f>IF('RAW DATA'!$C168&lt;&gt;"",'RAW DATA'!$C168,"")</f>
        <v/>
      </c>
      <c r="C168" s="1" t="str">
        <f>IF('RAW DATA'!$D168&lt;&gt;"",'RAW DATA'!$D168,"")</f>
        <v/>
      </c>
      <c r="D168" s="1" t="str">
        <f>IF(AND($B167&lt;&gt;"", $B168=""), "TOTAL:", IF($D167="TOTAL:","VESSEL TARGET "&amp;'RAW DATA'!$E$2&amp;":",IF('RAW DATA'!$E168&lt;&gt;"",'RAW DATA'!$E168,"")))</f>
        <v/>
      </c>
      <c r="E168" s="4" t="str">
        <f>IF($D167="TOTAL:",FIXED(ROUND(((SUM($E$4:$E166)/'RAW DATA'!$E$2)*100),1),1)&amp;"%",IF($D168="TOTAL:",SUM($E$4:$E167),IF(SUMIF('RAW DATA'!M:M,'RAW DATA'!B168,'RAW DATA'!H:H)=0,"",SUMIF('RAW DATA'!M:M,'RAW DATA'!B168,'RAW DATA'!H:H))))</f>
        <v/>
      </c>
      <c r="F168" s="4" t="str">
        <f>IF($D167="TOTAL:",FIXED(ROUND(((SUM($F$4:$F166)/'RAW DATA'!$E$2)*100),1),1)&amp;"%",IF($D168="TOTAL:",SUM($F$4:$F167),IF(SUMIF('RAW DATA'!M:M,'RAW DATA'!B168,'RAW DATA'!I:I)=0,"",SUMIF('RAW DATA'!M:M,'RAW DATA'!B168,'RAW DATA'!I:I))))</f>
        <v/>
      </c>
      <c r="G168" s="24" t="str">
        <f t="shared" si="2"/>
        <v/>
      </c>
    </row>
    <row r="169" spans="2:7" x14ac:dyDescent="0.25">
      <c r="B169" s="1" t="str">
        <f>IF('RAW DATA'!$C169&lt;&gt;"",'RAW DATA'!$C169,"")</f>
        <v/>
      </c>
      <c r="C169" s="1" t="str">
        <f>IF('RAW DATA'!$D169&lt;&gt;"",'RAW DATA'!$D169,"")</f>
        <v/>
      </c>
      <c r="D169" s="1" t="str">
        <f>IF(AND($B168&lt;&gt;"", $B169=""), "TOTAL:", IF($D168="TOTAL:","VESSEL TARGET "&amp;'RAW DATA'!$E$2&amp;":",IF('RAW DATA'!$E169&lt;&gt;"",'RAW DATA'!$E169,"")))</f>
        <v/>
      </c>
      <c r="E169" s="4" t="str">
        <f>IF($D168="TOTAL:",FIXED(ROUND(((SUM($E$4:$E167)/'RAW DATA'!$E$2)*100),1),1)&amp;"%",IF($D169="TOTAL:",SUM($E$4:$E168),IF(SUMIF('RAW DATA'!M:M,'RAW DATA'!B169,'RAW DATA'!H:H)=0,"",SUMIF('RAW DATA'!M:M,'RAW DATA'!B169,'RAW DATA'!H:H))))</f>
        <v/>
      </c>
      <c r="F169" s="4" t="str">
        <f>IF($D168="TOTAL:",FIXED(ROUND(((SUM($F$4:$F167)/'RAW DATA'!$E$2)*100),1),1)&amp;"%",IF($D169="TOTAL:",SUM($F$4:$F168),IF(SUMIF('RAW DATA'!M:M,'RAW DATA'!B169,'RAW DATA'!I:I)=0,"",SUMIF('RAW DATA'!M:M,'RAW DATA'!B169,'RAW DATA'!I:I))))</f>
        <v/>
      </c>
      <c r="G169" s="24" t="str">
        <f t="shared" si="2"/>
        <v/>
      </c>
    </row>
    <row r="170" spans="2:7" x14ac:dyDescent="0.25">
      <c r="B170" s="1" t="str">
        <f>IF('RAW DATA'!$C170&lt;&gt;"",'RAW DATA'!$C170,"")</f>
        <v/>
      </c>
      <c r="C170" s="1" t="str">
        <f>IF('RAW DATA'!$D170&lt;&gt;"",'RAW DATA'!$D170,"")</f>
        <v/>
      </c>
      <c r="D170" s="1" t="str">
        <f>IF(AND($B169&lt;&gt;"", $B170=""), "TOTAL:", IF($D169="TOTAL:","VESSEL TARGET "&amp;'RAW DATA'!$E$2&amp;":",IF('RAW DATA'!$E170&lt;&gt;"",'RAW DATA'!$E170,"")))</f>
        <v/>
      </c>
      <c r="E170" s="4" t="str">
        <f>IF($D169="TOTAL:",FIXED(ROUND(((SUM($E$4:$E168)/'RAW DATA'!$E$2)*100),1),1)&amp;"%",IF($D170="TOTAL:",SUM($E$4:$E169),IF(SUMIF('RAW DATA'!M:M,'RAW DATA'!B170,'RAW DATA'!H:H)=0,"",SUMIF('RAW DATA'!M:M,'RAW DATA'!B170,'RAW DATA'!H:H))))</f>
        <v/>
      </c>
      <c r="F170" s="4" t="str">
        <f>IF($D169="TOTAL:",FIXED(ROUND(((SUM($F$4:$F168)/'RAW DATA'!$E$2)*100),1),1)&amp;"%",IF($D170="TOTAL:",SUM($F$4:$F169),IF(SUMIF('RAW DATA'!M:M,'RAW DATA'!B170,'RAW DATA'!I:I)=0,"",SUMIF('RAW DATA'!M:M,'RAW DATA'!B170,'RAW DATA'!I:I))))</f>
        <v/>
      </c>
      <c r="G170" s="24" t="str">
        <f t="shared" si="2"/>
        <v/>
      </c>
    </row>
    <row r="171" spans="2:7" x14ac:dyDescent="0.25">
      <c r="B171" s="1" t="str">
        <f>IF('RAW DATA'!$C171&lt;&gt;"",'RAW DATA'!$C171,"")</f>
        <v/>
      </c>
      <c r="C171" s="1" t="str">
        <f>IF('RAW DATA'!$D171&lt;&gt;"",'RAW DATA'!$D171,"")</f>
        <v/>
      </c>
      <c r="D171" s="1" t="str">
        <f>IF(AND($B170&lt;&gt;"", $B171=""), "TOTAL:", IF($D170="TOTAL:","VESSEL TARGET "&amp;'RAW DATA'!$E$2&amp;":",IF('RAW DATA'!$E171&lt;&gt;"",'RAW DATA'!$E171,"")))</f>
        <v/>
      </c>
      <c r="E171" s="4" t="str">
        <f>IF($D170="TOTAL:",FIXED(ROUND(((SUM($E$4:$E169)/'RAW DATA'!$E$2)*100),1),1)&amp;"%",IF($D171="TOTAL:",SUM($E$4:$E170),IF(SUMIF('RAW DATA'!M:M,'RAW DATA'!B171,'RAW DATA'!H:H)=0,"",SUMIF('RAW DATA'!M:M,'RAW DATA'!B171,'RAW DATA'!H:H))))</f>
        <v/>
      </c>
      <c r="F171" s="4" t="str">
        <f>IF($D170="TOTAL:",FIXED(ROUND(((SUM($F$4:$F169)/'RAW DATA'!$E$2)*100),1),1)&amp;"%",IF($D171="TOTAL:",SUM($F$4:$F170),IF(SUMIF('RAW DATA'!M:M,'RAW DATA'!B171,'RAW DATA'!I:I)=0,"",SUMIF('RAW DATA'!M:M,'RAW DATA'!B171,'RAW DATA'!I:I))))</f>
        <v/>
      </c>
      <c r="G171" s="24" t="str">
        <f t="shared" si="2"/>
        <v/>
      </c>
    </row>
    <row r="172" spans="2:7" x14ac:dyDescent="0.25">
      <c r="B172" s="1" t="str">
        <f>IF('RAW DATA'!$C172&lt;&gt;"",'RAW DATA'!$C172,"")</f>
        <v/>
      </c>
      <c r="C172" s="1" t="str">
        <f>IF('RAW DATA'!$D172&lt;&gt;"",'RAW DATA'!$D172,"")</f>
        <v/>
      </c>
      <c r="D172" s="1" t="str">
        <f>IF(AND($B171&lt;&gt;"", $B172=""), "TOTAL:", IF($D171="TOTAL:","VESSEL TARGET "&amp;'RAW DATA'!$E$2&amp;":",IF('RAW DATA'!$E172&lt;&gt;"",'RAW DATA'!$E172,"")))</f>
        <v/>
      </c>
      <c r="E172" s="4" t="str">
        <f>IF($D171="TOTAL:",FIXED(ROUND(((SUM($E$4:$E170)/'RAW DATA'!$E$2)*100),1),1)&amp;"%",IF($D172="TOTAL:",SUM($E$4:$E171),IF(SUMIF('RAW DATA'!M:M,'RAW DATA'!B172,'RAW DATA'!H:H)=0,"",SUMIF('RAW DATA'!M:M,'RAW DATA'!B172,'RAW DATA'!H:H))))</f>
        <v/>
      </c>
      <c r="F172" s="4" t="str">
        <f>IF($D171="TOTAL:",FIXED(ROUND(((SUM($F$4:$F170)/'RAW DATA'!$E$2)*100),1),1)&amp;"%",IF($D172="TOTAL:",SUM($F$4:$F171),IF(SUMIF('RAW DATA'!M:M,'RAW DATA'!B172,'RAW DATA'!I:I)=0,"",SUMIF('RAW DATA'!M:M,'RAW DATA'!B172,'RAW DATA'!I:I))))</f>
        <v/>
      </c>
      <c r="G172" s="24" t="str">
        <f t="shared" si="2"/>
        <v/>
      </c>
    </row>
    <row r="173" spans="2:7" x14ac:dyDescent="0.25">
      <c r="B173" s="1" t="str">
        <f>IF('RAW DATA'!$C173&lt;&gt;"",'RAW DATA'!$C173,"")</f>
        <v/>
      </c>
      <c r="C173" s="1" t="str">
        <f>IF('RAW DATA'!$D173&lt;&gt;"",'RAW DATA'!$D173,"")</f>
        <v/>
      </c>
      <c r="D173" s="1" t="str">
        <f>IF(AND($B172&lt;&gt;"", $B173=""), "TOTAL:", IF($D172="TOTAL:","VESSEL TARGET "&amp;'RAW DATA'!$E$2&amp;":",IF('RAW DATA'!$E173&lt;&gt;"",'RAW DATA'!$E173,"")))</f>
        <v/>
      </c>
      <c r="E173" s="4" t="str">
        <f>IF($D172="TOTAL:",FIXED(ROUND(((SUM($E$4:$E171)/'RAW DATA'!$E$2)*100),1),1)&amp;"%",IF($D173="TOTAL:",SUM($E$4:$E172),IF(SUMIF('RAW DATA'!M:M,'RAW DATA'!B173,'RAW DATA'!H:H)=0,"",SUMIF('RAW DATA'!M:M,'RAW DATA'!B173,'RAW DATA'!H:H))))</f>
        <v/>
      </c>
      <c r="F173" s="4" t="str">
        <f>IF($D172="TOTAL:",FIXED(ROUND(((SUM($F$4:$F171)/'RAW DATA'!$E$2)*100),1),1)&amp;"%",IF($D173="TOTAL:",SUM($F$4:$F172),IF(SUMIF('RAW DATA'!M:M,'RAW DATA'!B173,'RAW DATA'!I:I)=0,"",SUMIF('RAW DATA'!M:M,'RAW DATA'!B173,'RAW DATA'!I:I))))</f>
        <v/>
      </c>
      <c r="G173" s="24" t="str">
        <f t="shared" si="2"/>
        <v/>
      </c>
    </row>
    <row r="174" spans="2:7" x14ac:dyDescent="0.25">
      <c r="B174" s="1" t="str">
        <f>IF('RAW DATA'!$C174&lt;&gt;"",'RAW DATA'!$C174,"")</f>
        <v/>
      </c>
      <c r="C174" s="1" t="str">
        <f>IF('RAW DATA'!$D174&lt;&gt;"",'RAW DATA'!$D174,"")</f>
        <v/>
      </c>
      <c r="D174" s="1" t="str">
        <f>IF(AND($B173&lt;&gt;"", $B174=""), "TOTAL:", IF($D173="TOTAL:","VESSEL TARGET "&amp;'RAW DATA'!$E$2&amp;":",IF('RAW DATA'!$E174&lt;&gt;"",'RAW DATA'!$E174,"")))</f>
        <v/>
      </c>
      <c r="E174" s="4" t="str">
        <f>IF($D173="TOTAL:",FIXED(ROUND(((SUM($E$4:$E172)/'RAW DATA'!$E$2)*100),1),1)&amp;"%",IF($D174="TOTAL:",SUM($E$4:$E173),IF(SUMIF('RAW DATA'!M:M,'RAW DATA'!B174,'RAW DATA'!H:H)=0,"",SUMIF('RAW DATA'!M:M,'RAW DATA'!B174,'RAW DATA'!H:H))))</f>
        <v/>
      </c>
      <c r="F174" s="4" t="str">
        <f>IF($D173="TOTAL:",FIXED(ROUND(((SUM($F$4:$F172)/'RAW DATA'!$E$2)*100),1),1)&amp;"%",IF($D174="TOTAL:",SUM($F$4:$F173),IF(SUMIF('RAW DATA'!M:M,'RAW DATA'!B174,'RAW DATA'!I:I)=0,"",SUMIF('RAW DATA'!M:M,'RAW DATA'!B174,'RAW DATA'!I:I))))</f>
        <v/>
      </c>
      <c r="G174" s="24" t="str">
        <f t="shared" si="2"/>
        <v/>
      </c>
    </row>
    <row r="175" spans="2:7" x14ac:dyDescent="0.25">
      <c r="B175" s="1" t="str">
        <f>IF('RAW DATA'!$C175&lt;&gt;"",'RAW DATA'!$C175,"")</f>
        <v/>
      </c>
      <c r="C175" s="1" t="str">
        <f>IF('RAW DATA'!$D175&lt;&gt;"",'RAW DATA'!$D175,"")</f>
        <v/>
      </c>
      <c r="D175" s="1" t="str">
        <f>IF(AND($B174&lt;&gt;"", $B175=""), "TOTAL:", IF($D174="TOTAL:","VESSEL TARGET "&amp;'RAW DATA'!$E$2&amp;":",IF('RAW DATA'!$E175&lt;&gt;"",'RAW DATA'!$E175,"")))</f>
        <v/>
      </c>
      <c r="E175" s="4" t="str">
        <f>IF($D174="TOTAL:",FIXED(ROUND(((SUM($E$4:$E173)/'RAW DATA'!$E$2)*100),1),1)&amp;"%",IF($D175="TOTAL:",SUM($E$4:$E174),IF(SUMIF('RAW DATA'!M:M,'RAW DATA'!B175,'RAW DATA'!H:H)=0,"",SUMIF('RAW DATA'!M:M,'RAW DATA'!B175,'RAW DATA'!H:H))))</f>
        <v/>
      </c>
      <c r="F175" s="4" t="str">
        <f>IF($D174="TOTAL:",FIXED(ROUND(((SUM($F$4:$F173)/'RAW DATA'!$E$2)*100),1),1)&amp;"%",IF($D175="TOTAL:",SUM($F$4:$F174),IF(SUMIF('RAW DATA'!M:M,'RAW DATA'!B175,'RAW DATA'!I:I)=0,"",SUMIF('RAW DATA'!M:M,'RAW DATA'!B175,'RAW DATA'!I:I))))</f>
        <v/>
      </c>
      <c r="G175" s="24" t="str">
        <f t="shared" si="2"/>
        <v/>
      </c>
    </row>
    <row r="176" spans="2:7" x14ac:dyDescent="0.25">
      <c r="B176" s="1" t="str">
        <f>IF('RAW DATA'!$C176&lt;&gt;"",'RAW DATA'!$C176,"")</f>
        <v/>
      </c>
      <c r="C176" s="1" t="str">
        <f>IF('RAW DATA'!$D176&lt;&gt;"",'RAW DATA'!$D176,"")</f>
        <v/>
      </c>
      <c r="D176" s="1" t="str">
        <f>IF(AND($B175&lt;&gt;"", $B176=""), "TOTAL:", IF($D175="TOTAL:","VESSEL TARGET "&amp;'RAW DATA'!$E$2&amp;":",IF('RAW DATA'!$E176&lt;&gt;"",'RAW DATA'!$E176,"")))</f>
        <v/>
      </c>
      <c r="E176" s="4" t="str">
        <f>IF($D175="TOTAL:",FIXED(ROUND(((SUM($E$4:$E174)/'RAW DATA'!$E$2)*100),1),1)&amp;"%",IF($D176="TOTAL:",SUM($E$4:$E175),IF(SUMIF('RAW DATA'!M:M,'RAW DATA'!B176,'RAW DATA'!H:H)=0,"",SUMIF('RAW DATA'!M:M,'RAW DATA'!B176,'RAW DATA'!H:H))))</f>
        <v/>
      </c>
      <c r="F176" s="4" t="str">
        <f>IF($D175="TOTAL:",FIXED(ROUND(((SUM($F$4:$F174)/'RAW DATA'!$E$2)*100),1),1)&amp;"%",IF($D176="TOTAL:",SUM($F$4:$F175),IF(SUMIF('RAW DATA'!M:M,'RAW DATA'!B176,'RAW DATA'!I:I)=0,"",SUMIF('RAW DATA'!M:M,'RAW DATA'!B176,'RAW DATA'!I:I))))</f>
        <v/>
      </c>
      <c r="G176" s="24" t="str">
        <f t="shared" si="2"/>
        <v/>
      </c>
    </row>
    <row r="177" spans="2:7" x14ac:dyDescent="0.25">
      <c r="B177" s="1" t="str">
        <f>IF('RAW DATA'!$C177&lt;&gt;"",'RAW DATA'!$C177,"")</f>
        <v/>
      </c>
      <c r="C177" s="1" t="str">
        <f>IF('RAW DATA'!$D177&lt;&gt;"",'RAW DATA'!$D177,"")</f>
        <v/>
      </c>
      <c r="D177" s="1" t="str">
        <f>IF(AND($B176&lt;&gt;"", $B177=""), "TOTAL:", IF($D176="TOTAL:","VESSEL TARGET "&amp;'RAW DATA'!$E$2&amp;":",IF('RAW DATA'!$E177&lt;&gt;"",'RAW DATA'!$E177,"")))</f>
        <v/>
      </c>
      <c r="E177" s="4" t="str">
        <f>IF($D176="TOTAL:",FIXED(ROUND(((SUM($E$4:$E175)/'RAW DATA'!$E$2)*100),1),1)&amp;"%",IF($D177="TOTAL:",SUM($E$4:$E176),IF(SUMIF('RAW DATA'!M:M,'RAW DATA'!B177,'RAW DATA'!H:H)=0,"",SUMIF('RAW DATA'!M:M,'RAW DATA'!B177,'RAW DATA'!H:H))))</f>
        <v/>
      </c>
      <c r="F177" s="4" t="str">
        <f>IF($D176="TOTAL:",FIXED(ROUND(((SUM($F$4:$F175)/'RAW DATA'!$E$2)*100),1),1)&amp;"%",IF($D177="TOTAL:",SUM($F$4:$F176),IF(SUMIF('RAW DATA'!M:M,'RAW DATA'!B177,'RAW DATA'!I:I)=0,"",SUMIF('RAW DATA'!M:M,'RAW DATA'!B177,'RAW DATA'!I:I))))</f>
        <v/>
      </c>
      <c r="G177" s="24" t="str">
        <f t="shared" si="2"/>
        <v/>
      </c>
    </row>
    <row r="178" spans="2:7" x14ac:dyDescent="0.25">
      <c r="B178" s="1" t="str">
        <f>IF('RAW DATA'!$C178&lt;&gt;"",'RAW DATA'!$C178,"")</f>
        <v/>
      </c>
      <c r="C178" s="1" t="str">
        <f>IF('RAW DATA'!$D178&lt;&gt;"",'RAW DATA'!$D178,"")</f>
        <v/>
      </c>
      <c r="D178" s="1" t="str">
        <f>IF(AND($B177&lt;&gt;"", $B178=""), "TOTAL:", IF($D177="TOTAL:","VESSEL TARGET "&amp;'RAW DATA'!$E$2&amp;":",IF('RAW DATA'!$E178&lt;&gt;"",'RAW DATA'!$E178,"")))</f>
        <v/>
      </c>
      <c r="E178" s="4" t="str">
        <f>IF($D177="TOTAL:",FIXED(ROUND(((SUM($E$4:$E176)/'RAW DATA'!$E$2)*100),1),1)&amp;"%",IF($D178="TOTAL:",SUM($E$4:$E177),IF(SUMIF('RAW DATA'!M:M,'RAW DATA'!B178,'RAW DATA'!H:H)=0,"",SUMIF('RAW DATA'!M:M,'RAW DATA'!B178,'RAW DATA'!H:H))))</f>
        <v/>
      </c>
      <c r="F178" s="4" t="str">
        <f>IF($D177="TOTAL:",FIXED(ROUND(((SUM($F$4:$F176)/'RAW DATA'!$E$2)*100),1),1)&amp;"%",IF($D178="TOTAL:",SUM($F$4:$F177),IF(SUMIF('RAW DATA'!M:M,'RAW DATA'!B178,'RAW DATA'!I:I)=0,"",SUMIF('RAW DATA'!M:M,'RAW DATA'!B178,'RAW DATA'!I:I))))</f>
        <v/>
      </c>
      <c r="G178" s="24" t="str">
        <f t="shared" si="2"/>
        <v/>
      </c>
    </row>
    <row r="179" spans="2:7" x14ac:dyDescent="0.25">
      <c r="B179" s="1" t="str">
        <f>IF('RAW DATA'!$C179&lt;&gt;"",'RAW DATA'!$C179,"")</f>
        <v/>
      </c>
      <c r="C179" s="1" t="str">
        <f>IF('RAW DATA'!$D179&lt;&gt;"",'RAW DATA'!$D179,"")</f>
        <v/>
      </c>
      <c r="D179" s="1" t="str">
        <f>IF(AND($B178&lt;&gt;"", $B179=""), "TOTAL:", IF($D178="TOTAL:","VESSEL TARGET "&amp;'RAW DATA'!$E$2&amp;":",IF('RAW DATA'!$E179&lt;&gt;"",'RAW DATA'!$E179,"")))</f>
        <v/>
      </c>
      <c r="E179" s="4" t="str">
        <f>IF($D178="TOTAL:",FIXED(ROUND(((SUM($E$4:$E177)/'RAW DATA'!$E$2)*100),1),1)&amp;"%",IF($D179="TOTAL:",SUM($E$4:$E178),IF(SUMIF('RAW DATA'!M:M,'RAW DATA'!B179,'RAW DATA'!H:H)=0,"",SUMIF('RAW DATA'!M:M,'RAW DATA'!B179,'RAW DATA'!H:H))))</f>
        <v/>
      </c>
      <c r="F179" s="4" t="str">
        <f>IF($D178="TOTAL:",FIXED(ROUND(((SUM($F$4:$F177)/'RAW DATA'!$E$2)*100),1),1)&amp;"%",IF($D179="TOTAL:",SUM($F$4:$F178),IF(SUMIF('RAW DATA'!M:M,'RAW DATA'!B179,'RAW DATA'!I:I)=0,"",SUMIF('RAW DATA'!M:M,'RAW DATA'!B179,'RAW DATA'!I:I))))</f>
        <v/>
      </c>
      <c r="G179" s="24" t="str">
        <f t="shared" si="2"/>
        <v/>
      </c>
    </row>
    <row r="180" spans="2:7" x14ac:dyDescent="0.25">
      <c r="B180" s="1" t="str">
        <f>IF('RAW DATA'!$C182&lt;&gt;"",'RAW DATA'!$C182,"")</f>
        <v/>
      </c>
      <c r="C180" s="1" t="str">
        <f>IF('RAW DATA'!$D182&lt;&gt;"",'RAW DATA'!$D182,"")</f>
        <v/>
      </c>
      <c r="D180" s="1" t="str">
        <f>IF(AND($B179&lt;&gt;"", $B180=""), "TOTAL:", IF($D179="TOTAL:","VESSEL TARGET "&amp;'RAW DATA'!$E$2&amp;":",IF('RAW DATA'!$E180&lt;&gt;"",'RAW DATA'!$E180,"")))</f>
        <v/>
      </c>
      <c r="E180" s="4" t="str">
        <f>IF($D179="TOTAL:",FIXED(ROUND(((SUM($E$4:$E178)/'RAW DATA'!$E$2)*100),1),1)&amp;"%",IF($D180="TOTAL:",SUM($E$4:$E179),IF(SUMIF('RAW DATA'!M:M,'RAW DATA'!B180,'RAW DATA'!H:H)=0,"",SUMIF('RAW DATA'!M:M,'RAW DATA'!B180,'RAW DATA'!H:H))))</f>
        <v/>
      </c>
      <c r="F180" s="4" t="str">
        <f>IF($D179="TOTAL:",FIXED(ROUND(((SUM($F$4:$F178)/'RAW DATA'!$E$2)*100),1),1)&amp;"%",IF($D180="TOTAL:",SUM($F$4:$F179),IF(SUMIF('RAW DATA'!M:M,'RAW DATA'!B180,'RAW DATA'!I:I)=0,"",SUMIF('RAW DATA'!M:M,'RAW DATA'!B180,'RAW DATA'!I:I))))</f>
        <v/>
      </c>
      <c r="G180" s="24" t="str">
        <f t="shared" si="2"/>
        <v/>
      </c>
    </row>
    <row r="181" spans="2:7" x14ac:dyDescent="0.25">
      <c r="B181" s="1" t="str">
        <f>IF('RAW DATA'!$C183&lt;&gt;"",'RAW DATA'!$C183,"")</f>
        <v/>
      </c>
      <c r="C181" s="1" t="str">
        <f>IF('RAW DATA'!$D183&lt;&gt;"",'RAW DATA'!$D183,"")</f>
        <v/>
      </c>
      <c r="D181" s="1" t="str">
        <f>IF(AND($B180&lt;&gt;"", $B181=""), "TOTAL:", IF($D180="TOTAL:","VESSEL TARGET "&amp;'RAW DATA'!$E$2&amp;":",IF('RAW DATA'!$E181&lt;&gt;"",'RAW DATA'!$E181,"")))</f>
        <v/>
      </c>
      <c r="E181" s="4" t="str">
        <f>IF($D180="TOTAL:",FIXED(ROUND(((SUM($E$4:$E179)/'RAW DATA'!$E$2)*100),1),1)&amp;"%",IF($D181="TOTAL:",SUM($E$4:$E180),IF(SUMIF('RAW DATA'!M:M,'RAW DATA'!B181,'RAW DATA'!H:H)=0,"",SUMIF('RAW DATA'!M:M,'RAW DATA'!B181,'RAW DATA'!H:H))))</f>
        <v/>
      </c>
      <c r="F181" s="4" t="str">
        <f>IF($D180="TOTAL:",FIXED(ROUND(((SUM($F$4:$F179)/'RAW DATA'!$E$2)*100),1),1)&amp;"%",IF($D181="TOTAL:",SUM($F$4:$F180),IF(SUMIF('RAW DATA'!M:M,'RAW DATA'!B181,'RAW DATA'!I:I)=0,"",SUMIF('RAW DATA'!M:M,'RAW DATA'!B181,'RAW DATA'!I:I))))</f>
        <v/>
      </c>
      <c r="G181" s="24" t="str">
        <f t="shared" si="2"/>
        <v/>
      </c>
    </row>
    <row r="182" spans="2:7" x14ac:dyDescent="0.25">
      <c r="B182" s="1" t="str">
        <f>IF('RAW DATA'!$C184&lt;&gt;"",'RAW DATA'!$C184,"")</f>
        <v/>
      </c>
      <c r="C182" s="1" t="str">
        <f>IF('RAW DATA'!$D184&lt;&gt;"",'RAW DATA'!$D184,"")</f>
        <v/>
      </c>
      <c r="D182" s="1" t="str">
        <f>IF(AND($B181&lt;&gt;"", $B182=""), "TOTAL:", IF($D181="TOTAL:","VESSEL TARGET "&amp;'RAW DATA'!$E$2&amp;":",IF('RAW DATA'!$E182&lt;&gt;"",'RAW DATA'!$E182,"")))</f>
        <v/>
      </c>
      <c r="E182" s="4" t="str">
        <f>IF($D181="TOTAL:",FIXED(ROUND(((SUM($E$4:$E180)/'RAW DATA'!$E$2)*100),1),1)&amp;"%",IF($D182="TOTAL:",SUM($E$4:$E181),IF(SUMIF('RAW DATA'!M:M,'RAW DATA'!B182,'RAW DATA'!H:H)=0,"",SUMIF('RAW DATA'!M:M,'RAW DATA'!B182,'RAW DATA'!H:H))))</f>
        <v/>
      </c>
      <c r="F182" s="4" t="str">
        <f>IF($D181="TOTAL:",FIXED(ROUND(((SUM($F$4:$F180)/'RAW DATA'!$E$2)*100),1),1)&amp;"%",IF($D182="TOTAL:",SUM($F$4:$F181),IF(SUMIF('RAW DATA'!M:M,'RAW DATA'!B182,'RAW DATA'!I:I)=0,"",SUMIF('RAW DATA'!M:M,'RAW DATA'!B182,'RAW DATA'!I:I))))</f>
        <v/>
      </c>
      <c r="G182" s="24" t="str">
        <f t="shared" si="2"/>
        <v/>
      </c>
    </row>
    <row r="183" spans="2:7" x14ac:dyDescent="0.25">
      <c r="B183" s="1" t="str">
        <f>IF('RAW DATA'!$C185&lt;&gt;"",'RAW DATA'!$C185,"")</f>
        <v/>
      </c>
      <c r="C183" s="1" t="str">
        <f>IF('RAW DATA'!$D185&lt;&gt;"",'RAW DATA'!$D185,"")</f>
        <v/>
      </c>
      <c r="D183" s="1" t="str">
        <f>IF(AND($B182&lt;&gt;"", $B183=""), "TOTAL:", IF($D182="TOTAL:","VESSEL TARGET "&amp;'RAW DATA'!$E$2&amp;":",IF('RAW DATA'!$E183&lt;&gt;"",'RAW DATA'!$E183,"")))</f>
        <v/>
      </c>
      <c r="E183" s="4" t="str">
        <f>IF($D182="TOTAL:",FIXED(ROUND(((SUM($E$4:$E181)/'RAW DATA'!$E$2)*100),1),1)&amp;"%",IF($D183="TOTAL:",SUM($E$4:$E182),IF(SUMIF('RAW DATA'!M:M,'RAW DATA'!B183,'RAW DATA'!H:H)=0,"",SUMIF('RAW DATA'!M:M,'RAW DATA'!B183,'RAW DATA'!H:H))))</f>
        <v/>
      </c>
      <c r="F183" s="4" t="str">
        <f>IF($D182="TOTAL:",FIXED(ROUND(((SUM($F$4:$F181)/'RAW DATA'!$E$2)*100),1),1)&amp;"%",IF($D183="TOTAL:",SUM($F$4:$F182),IF(SUMIF('RAW DATA'!M:M,'RAW DATA'!B183,'RAW DATA'!I:I)=0,"",SUMIF('RAW DATA'!M:M,'RAW DATA'!B183,'RAW DATA'!I:I))))</f>
        <v/>
      </c>
      <c r="G183" s="24" t="str">
        <f t="shared" si="2"/>
        <v/>
      </c>
    </row>
    <row r="184" spans="2:7" x14ac:dyDescent="0.25">
      <c r="B184" s="1" t="str">
        <f>IF('RAW DATA'!$C186&lt;&gt;"",'RAW DATA'!$C186,"")</f>
        <v/>
      </c>
      <c r="C184" s="1" t="str">
        <f>IF('RAW DATA'!$D186&lt;&gt;"",'RAW DATA'!$D186,"")</f>
        <v/>
      </c>
      <c r="D184" s="1" t="str">
        <f>IF(AND($B183&lt;&gt;"", $B184=""), "TOTAL:", IF($D183="TOTAL:","VESSEL TARGET "&amp;'RAW DATA'!$E$2&amp;":",IF('RAW DATA'!$E184&lt;&gt;"",'RAW DATA'!$E184,"")))</f>
        <v/>
      </c>
      <c r="E184" s="4" t="str">
        <f>IF($D183="TOTAL:",FIXED(ROUND(((SUM($E$4:$E182)/'RAW DATA'!$E$2)*100),1),1)&amp;"%",IF($D184="TOTAL:",SUM($E$4:$E183),IF(SUMIF('RAW DATA'!M:M,'RAW DATA'!B184,'RAW DATA'!H:H)=0,"",SUMIF('RAW DATA'!M:M,'RAW DATA'!B184,'RAW DATA'!H:H))))</f>
        <v/>
      </c>
      <c r="F184" s="4" t="str">
        <f>IF($D183="TOTAL:",FIXED(ROUND(((SUM($F$4:$F182)/'RAW DATA'!$E$2)*100),1),1)&amp;"%",IF($D184="TOTAL:",SUM($F$4:$F183),IF(SUMIF('RAW DATA'!M:M,'RAW DATA'!B184,'RAW DATA'!I:I)=0,"",SUMIF('RAW DATA'!M:M,'RAW DATA'!B184,'RAW DATA'!I:I))))</f>
        <v/>
      </c>
      <c r="G184" s="24" t="str">
        <f t="shared" si="2"/>
        <v/>
      </c>
    </row>
    <row r="185" spans="2:7" x14ac:dyDescent="0.25">
      <c r="B185" s="1" t="str">
        <f>IF('RAW DATA'!$C187&lt;&gt;"",'RAW DATA'!$C187,"")</f>
        <v/>
      </c>
      <c r="C185" s="1" t="str">
        <f>IF('RAW DATA'!$D187&lt;&gt;"",'RAW DATA'!$D187,"")</f>
        <v/>
      </c>
      <c r="D185" s="1" t="str">
        <f>IF(AND($B184&lt;&gt;"", $B185=""), "TOTAL:", IF($D184="TOTAL:","VESSEL TARGET "&amp;'RAW DATA'!$E$2&amp;":",IF('RAW DATA'!$E185&lt;&gt;"",'RAW DATA'!$E185,"")))</f>
        <v/>
      </c>
      <c r="E185" s="4" t="str">
        <f>IF($D184="TOTAL:",FIXED(ROUND(((SUM($E$4:$E183)/'RAW DATA'!$E$2)*100),1),1)&amp;"%",IF($D185="TOTAL:",SUM($E$4:$E184),IF(SUMIF('RAW DATA'!M:M,'RAW DATA'!B185,'RAW DATA'!H:H)=0,"",SUMIF('RAW DATA'!M:M,'RAW DATA'!B185,'RAW DATA'!H:H))))</f>
        <v/>
      </c>
      <c r="F185" s="4" t="str">
        <f>IF($D184="TOTAL:",FIXED(ROUND(((SUM($F$4:$F183)/'RAW DATA'!$E$2)*100),1),1)&amp;"%",IF($D185="TOTAL:",SUM($F$4:$F184),IF(SUMIF('RAW DATA'!M:M,'RAW DATA'!B185,'RAW DATA'!I:I)=0,"",SUMIF('RAW DATA'!M:M,'RAW DATA'!B185,'RAW DATA'!I:I))))</f>
        <v/>
      </c>
      <c r="G185" s="24" t="str">
        <f t="shared" si="2"/>
        <v/>
      </c>
    </row>
    <row r="186" spans="2:7" x14ac:dyDescent="0.25">
      <c r="B186" s="1" t="str">
        <f>IF('RAW DATA'!$C188&lt;&gt;"",'RAW DATA'!$C188,"")</f>
        <v/>
      </c>
      <c r="C186" s="1" t="str">
        <f>IF('RAW DATA'!$D188&lt;&gt;"",'RAW DATA'!$D188,"")</f>
        <v/>
      </c>
      <c r="D186" s="1" t="str">
        <f>IF(AND($B185&lt;&gt;"", $B186=""), "TOTAL:", IF($D185="TOTAL:","VESSEL TARGET "&amp;'RAW DATA'!$E$2&amp;":",IF('RAW DATA'!$E186&lt;&gt;"",'RAW DATA'!$E186,"")))</f>
        <v/>
      </c>
      <c r="E186" s="4" t="str">
        <f>IF($D185="TOTAL:",FIXED(ROUND(((SUM($E$4:$E184)/'RAW DATA'!$E$2)*100),1),1)&amp;"%",IF($D186="TOTAL:",SUM($E$4:$E185),IF(SUMIF('RAW DATA'!M:M,'RAW DATA'!B186,'RAW DATA'!H:H)=0,"",SUMIF('RAW DATA'!M:M,'RAW DATA'!B186,'RAW DATA'!H:H))))</f>
        <v/>
      </c>
      <c r="F186" s="4" t="str">
        <f>IF($D185="TOTAL:",FIXED(ROUND(((SUM($F$4:$F184)/'RAW DATA'!$E$2)*100),1),1)&amp;"%",IF($D186="TOTAL:",SUM($F$4:$F185),IF(SUMIF('RAW DATA'!M:M,'RAW DATA'!B186,'RAW DATA'!I:I)=0,"",SUMIF('RAW DATA'!M:M,'RAW DATA'!B186,'RAW DATA'!I:I))))</f>
        <v/>
      </c>
      <c r="G186" s="24" t="str">
        <f t="shared" si="2"/>
        <v/>
      </c>
    </row>
    <row r="187" spans="2:7" x14ac:dyDescent="0.25">
      <c r="B187" s="1" t="str">
        <f>IF('RAW DATA'!$C189&lt;&gt;"",'RAW DATA'!$C189,"")</f>
        <v/>
      </c>
      <c r="C187" s="1" t="str">
        <f>IF('RAW DATA'!$D189&lt;&gt;"",'RAW DATA'!$D189,"")</f>
        <v/>
      </c>
      <c r="D187" s="1" t="str">
        <f>IF(AND($B186&lt;&gt;"", $B187=""), "TOTAL:", IF($D186="TOTAL:","VESSEL TARGET "&amp;'RAW DATA'!$E$2&amp;":",IF('RAW DATA'!$E187&lt;&gt;"",'RAW DATA'!$E187,"")))</f>
        <v/>
      </c>
      <c r="E187" s="4" t="str">
        <f>IF($D186="TOTAL:",FIXED(ROUND(((SUM($E$4:$E185)/'RAW DATA'!$E$2)*100),1),1)&amp;"%",IF($D187="TOTAL:",SUM($E$4:$E186),IF(SUMIF('RAW DATA'!M:M,'RAW DATA'!B187,'RAW DATA'!H:H)=0,"",SUMIF('RAW DATA'!M:M,'RAW DATA'!B187,'RAW DATA'!H:H))))</f>
        <v/>
      </c>
      <c r="F187" s="4" t="str">
        <f>IF($D186="TOTAL:",FIXED(ROUND(((SUM($F$4:$F185)/'RAW DATA'!$E$2)*100),1),1)&amp;"%",IF($D187="TOTAL:",SUM($F$4:$F186),IF(SUMIF('RAW DATA'!M:M,'RAW DATA'!B187,'RAW DATA'!I:I)=0,"",SUMIF('RAW DATA'!M:M,'RAW DATA'!B187,'RAW DATA'!I:I))))</f>
        <v/>
      </c>
      <c r="G187" s="24" t="str">
        <f t="shared" si="2"/>
        <v/>
      </c>
    </row>
    <row r="188" spans="2:7" x14ac:dyDescent="0.25">
      <c r="B188" s="1" t="str">
        <f>IF('RAW DATA'!$C190&lt;&gt;"",'RAW DATA'!$C190,"")</f>
        <v/>
      </c>
      <c r="C188" s="1" t="str">
        <f>IF('RAW DATA'!$D190&lt;&gt;"",'RAW DATA'!$D190,"")</f>
        <v/>
      </c>
      <c r="D188" s="1" t="str">
        <f>IF(AND($B187&lt;&gt;"", $B188=""), "TOTAL:", IF($D187="TOTAL:","VESSEL TARGET "&amp;'RAW DATA'!$E$2&amp;":",IF('RAW DATA'!$E188&lt;&gt;"",'RAW DATA'!$E188,"")))</f>
        <v/>
      </c>
      <c r="E188" s="4" t="str">
        <f>IF($D187="TOTAL:",FIXED(ROUND(((SUM($E$4:$E186)/'RAW DATA'!$E$2)*100),1),1)&amp;"%",IF($D188="TOTAL:",SUM($E$4:$E187),IF(SUMIF('RAW DATA'!M:M,'RAW DATA'!B188,'RAW DATA'!H:H)=0,"",SUMIF('RAW DATA'!M:M,'RAW DATA'!B188,'RAW DATA'!H:H))))</f>
        <v/>
      </c>
      <c r="F188" s="4" t="str">
        <f>IF($D187="TOTAL:",FIXED(ROUND(((SUM($F$4:$F186)/'RAW DATA'!$E$2)*100),1),1)&amp;"%",IF($D188="TOTAL:",SUM($F$4:$F187),IF(SUMIF('RAW DATA'!M:M,'RAW DATA'!B188,'RAW DATA'!I:I)=0,"",SUMIF('RAW DATA'!M:M,'RAW DATA'!B188,'RAW DATA'!I:I))))</f>
        <v/>
      </c>
      <c r="G188" s="24" t="str">
        <f t="shared" si="2"/>
        <v/>
      </c>
    </row>
    <row r="189" spans="2:7" x14ac:dyDescent="0.25">
      <c r="B189" s="1" t="str">
        <f>IF('RAW DATA'!$C191&lt;&gt;"",'RAW DATA'!$C191,"")</f>
        <v/>
      </c>
      <c r="C189" s="1" t="str">
        <f>IF('RAW DATA'!$D191&lt;&gt;"",'RAW DATA'!$D191,"")</f>
        <v/>
      </c>
      <c r="D189" s="1" t="str">
        <f>IF(AND($B188&lt;&gt;"", $B189=""), "TOTAL:", IF($D188="TOTAL:","VESSEL TARGET "&amp;'RAW DATA'!$E$2&amp;":",IF('RAW DATA'!$E189&lt;&gt;"",'RAW DATA'!$E189,"")))</f>
        <v/>
      </c>
      <c r="E189" s="4" t="str">
        <f>IF($D188="TOTAL:",FIXED(ROUND(((SUM($E$4:$E187)/'RAW DATA'!$E$2)*100),1),1)&amp;"%",IF($D189="TOTAL:",SUM($E$4:$E188),IF(SUMIF('RAW DATA'!M:M,'RAW DATA'!B189,'RAW DATA'!H:H)=0,"",SUMIF('RAW DATA'!M:M,'RAW DATA'!B189,'RAW DATA'!H:H))))</f>
        <v/>
      </c>
      <c r="F189" s="4" t="str">
        <f>IF($D188="TOTAL:",FIXED(ROUND(((SUM($F$4:$F187)/'RAW DATA'!$E$2)*100),1),1)&amp;"%",IF($D189="TOTAL:",SUM($F$4:$F188),IF(SUMIF('RAW DATA'!M:M,'RAW DATA'!B189,'RAW DATA'!I:I)=0,"",SUMIF('RAW DATA'!M:M,'RAW DATA'!B189,'RAW DATA'!I:I))))</f>
        <v/>
      </c>
      <c r="G189" s="24" t="str">
        <f t="shared" si="2"/>
        <v/>
      </c>
    </row>
    <row r="190" spans="2:7" x14ac:dyDescent="0.25">
      <c r="B190" s="1" t="str">
        <f>IF('RAW DATA'!$C192&lt;&gt;"",'RAW DATA'!$C192,"")</f>
        <v/>
      </c>
      <c r="C190" s="1" t="str">
        <f>IF('RAW DATA'!$D192&lt;&gt;"",'RAW DATA'!$D192,"")</f>
        <v/>
      </c>
      <c r="D190" s="1" t="str">
        <f>IF(AND($B189&lt;&gt;"", $B190=""), "TOTAL:", IF($D189="TOTAL:","VESSEL TARGET "&amp;'RAW DATA'!$E$2&amp;":",IF('RAW DATA'!$E190&lt;&gt;"",'RAW DATA'!$E190,"")))</f>
        <v/>
      </c>
      <c r="E190" s="4" t="str">
        <f>IF($D189="TOTAL:",FIXED(ROUND(((SUM($E$4:$E188)/'RAW DATA'!$E$2)*100),1),1)&amp;"%",IF($D190="TOTAL:",SUM($E$4:$E189),IF(SUMIF('RAW DATA'!M:M,'RAW DATA'!B190,'RAW DATA'!H:H)=0,"",SUMIF('RAW DATA'!M:M,'RAW DATA'!B190,'RAW DATA'!H:H))))</f>
        <v/>
      </c>
      <c r="F190" s="4" t="str">
        <f>IF($D189="TOTAL:",FIXED(ROUND(((SUM($F$4:$F188)/'RAW DATA'!$E$2)*100),1),1)&amp;"%",IF($D190="TOTAL:",SUM($F$4:$F189),IF(SUMIF('RAW DATA'!M:M,'RAW DATA'!B190,'RAW DATA'!I:I)=0,"",SUMIF('RAW DATA'!M:M,'RAW DATA'!B190,'RAW DATA'!I:I))))</f>
        <v/>
      </c>
      <c r="G190" s="24" t="str">
        <f t="shared" si="2"/>
        <v/>
      </c>
    </row>
    <row r="191" spans="2:7" x14ac:dyDescent="0.25">
      <c r="B191" s="1" t="str">
        <f>IF('RAW DATA'!$C193&lt;&gt;"",'RAW DATA'!$C193,"")</f>
        <v/>
      </c>
      <c r="C191" s="1" t="str">
        <f>IF('RAW DATA'!$D193&lt;&gt;"",'RAW DATA'!$D193,"")</f>
        <v/>
      </c>
      <c r="D191" s="1" t="str">
        <f>IF(AND($B190&lt;&gt;"", $B191=""), "TOTAL:", IF($D190="TOTAL:","VESSEL TARGET "&amp;'RAW DATA'!$E$2&amp;":",IF('RAW DATA'!$E191&lt;&gt;"",'RAW DATA'!$E191,"")))</f>
        <v/>
      </c>
      <c r="E191" s="4" t="str">
        <f>IF($D190="TOTAL:",FIXED(ROUND(((SUM($E$4:$E189)/'RAW DATA'!$E$2)*100),1),1)&amp;"%",IF($D191="TOTAL:",SUM($E$4:$E190),IF(SUMIF('RAW DATA'!M:M,'RAW DATA'!B191,'RAW DATA'!H:H)=0,"",SUMIF('RAW DATA'!M:M,'RAW DATA'!B191,'RAW DATA'!H:H))))</f>
        <v/>
      </c>
      <c r="F191" s="4" t="str">
        <f>IF($D190="TOTAL:",FIXED(ROUND(((SUM($F$4:$F189)/'RAW DATA'!$E$2)*100),1),1)&amp;"%",IF($D191="TOTAL:",SUM($F$4:$F190),IF(SUMIF('RAW DATA'!M:M,'RAW DATA'!B191,'RAW DATA'!I:I)=0,"",SUMIF('RAW DATA'!M:M,'RAW DATA'!B191,'RAW DATA'!I:I))))</f>
        <v/>
      </c>
      <c r="G191" s="24" t="str">
        <f t="shared" si="2"/>
        <v/>
      </c>
    </row>
    <row r="192" spans="2:7" x14ac:dyDescent="0.25">
      <c r="B192" s="1" t="str">
        <f>IF('RAW DATA'!$C194&lt;&gt;"",'RAW DATA'!$C194,"")</f>
        <v/>
      </c>
      <c r="C192" s="1" t="str">
        <f>IF('RAW DATA'!$D194&lt;&gt;"",'RAW DATA'!$D194,"")</f>
        <v/>
      </c>
      <c r="D192" s="1" t="str">
        <f>IF(AND($B191&lt;&gt;"", $B192=""), "TOTAL:", IF($D191="TOTAL:","VESSEL TARGET "&amp;'RAW DATA'!$E$2&amp;":",IF('RAW DATA'!$E192&lt;&gt;"",'RAW DATA'!$E192,"")))</f>
        <v/>
      </c>
      <c r="E192" s="4" t="str">
        <f>IF($D191="TOTAL:",FIXED(ROUND(((SUM($E$4:$E190)/'RAW DATA'!$E$2)*100),1),1)&amp;"%",IF($D192="TOTAL:",SUM($E$4:$E191),IF(SUMIF('RAW DATA'!M:M,'RAW DATA'!B192,'RAW DATA'!H:H)=0,"",SUMIF('RAW DATA'!M:M,'RAW DATA'!B192,'RAW DATA'!H:H))))</f>
        <v/>
      </c>
      <c r="F192" s="4" t="str">
        <f>IF($D191="TOTAL:",FIXED(ROUND(((SUM($F$4:$F190)/'RAW DATA'!$E$2)*100),1),1)&amp;"%",IF($D192="TOTAL:",SUM($F$4:$F191),IF(SUMIF('RAW DATA'!M:M,'RAW DATA'!B192,'RAW DATA'!I:I)=0,"",SUMIF('RAW DATA'!M:M,'RAW DATA'!B192,'RAW DATA'!I:I))))</f>
        <v/>
      </c>
      <c r="G192" s="24" t="str">
        <f t="shared" si="2"/>
        <v/>
      </c>
    </row>
    <row r="193" spans="2:7" x14ac:dyDescent="0.25">
      <c r="B193" s="1" t="str">
        <f>IF('RAW DATA'!$C195&lt;&gt;"",'RAW DATA'!$C195,"")</f>
        <v/>
      </c>
      <c r="C193" s="1" t="str">
        <f>IF('RAW DATA'!$D195&lt;&gt;"",'RAW DATA'!$D195,"")</f>
        <v/>
      </c>
      <c r="D193" s="1" t="str">
        <f>IF(AND($B192&lt;&gt;"", $B193=""), "TOTAL:", IF($D192="TOTAL:","VESSEL TARGET "&amp;'RAW DATA'!$E$2&amp;":",IF('RAW DATA'!$E193&lt;&gt;"",'RAW DATA'!$E193,"")))</f>
        <v/>
      </c>
      <c r="E193" s="4" t="str">
        <f>IF($D192="TOTAL:",FIXED(ROUND(((SUM($E$4:$E191)/'RAW DATA'!$E$2)*100),1),1)&amp;"%",IF($D193="TOTAL:",SUM($E$4:$E192),IF(SUMIF('RAW DATA'!M:M,'RAW DATA'!B193,'RAW DATA'!H:H)=0,"",SUMIF('RAW DATA'!M:M,'RAW DATA'!B193,'RAW DATA'!H:H))))</f>
        <v/>
      </c>
      <c r="F193" s="4" t="str">
        <f>IF($D192="TOTAL:",FIXED(ROUND(((SUM($F$4:$F191)/'RAW DATA'!$E$2)*100),1),1)&amp;"%",IF($D193="TOTAL:",SUM($F$4:$F192),IF(SUMIF('RAW DATA'!M:M,'RAW DATA'!B193,'RAW DATA'!I:I)=0,"",SUMIF('RAW DATA'!M:M,'RAW DATA'!B193,'RAW DATA'!I:I))))</f>
        <v/>
      </c>
      <c r="G193" s="24" t="str">
        <f t="shared" si="2"/>
        <v/>
      </c>
    </row>
    <row r="194" spans="2:7" x14ac:dyDescent="0.25">
      <c r="B194" s="1" t="str">
        <f>IF('RAW DATA'!$C196&lt;&gt;"",'RAW DATA'!$C196,"")</f>
        <v/>
      </c>
      <c r="C194" s="1" t="str">
        <f>IF('RAW DATA'!$D196&lt;&gt;"",'RAW DATA'!$D196,"")</f>
        <v/>
      </c>
      <c r="D194" s="1" t="str">
        <f>IF(AND($B193&lt;&gt;"", $B194=""), "TOTAL:", IF($D193="TOTAL:","VESSEL TARGET "&amp;'RAW DATA'!$E$2&amp;":",IF('RAW DATA'!$E194&lt;&gt;"",'RAW DATA'!$E194,"")))</f>
        <v/>
      </c>
      <c r="E194" s="4" t="str">
        <f>IF($D193="TOTAL:",FIXED(ROUND(((SUM($E$4:$E192)/'RAW DATA'!$E$2)*100),1),1)&amp;"%",IF($D194="TOTAL:",SUM($E$4:$E193),IF(SUMIF('RAW DATA'!M:M,'RAW DATA'!B194,'RAW DATA'!H:H)=0,"",SUMIF('RAW DATA'!M:M,'RAW DATA'!B194,'RAW DATA'!H:H))))</f>
        <v/>
      </c>
      <c r="F194" s="4" t="str">
        <f>IF($D193="TOTAL:",FIXED(ROUND(((SUM($F$4:$F192)/'RAW DATA'!$E$2)*100),1),1)&amp;"%",IF($D194="TOTAL:",SUM($F$4:$F193),IF(SUMIF('RAW DATA'!M:M,'RAW DATA'!B194,'RAW DATA'!I:I)=0,"",SUMIF('RAW DATA'!M:M,'RAW DATA'!B194,'RAW DATA'!I:I))))</f>
        <v/>
      </c>
      <c r="G194" s="24" t="str">
        <f t="shared" si="2"/>
        <v/>
      </c>
    </row>
    <row r="195" spans="2:7" x14ac:dyDescent="0.25">
      <c r="B195" s="1" t="str">
        <f>IF('RAW DATA'!$C197&lt;&gt;"",'RAW DATA'!$C197,"")</f>
        <v/>
      </c>
      <c r="C195" s="1" t="str">
        <f>IF('RAW DATA'!$D197&lt;&gt;"",'RAW DATA'!$D197,"")</f>
        <v/>
      </c>
      <c r="D195" s="1" t="str">
        <f>IF(AND($B194&lt;&gt;"", $B195=""), "TOTAL:", IF($D194="TOTAL:","VESSEL TARGET "&amp;'RAW DATA'!$E$2&amp;":",IF('RAW DATA'!$E195&lt;&gt;"",'RAW DATA'!$E195,"")))</f>
        <v/>
      </c>
      <c r="E195" s="4" t="str">
        <f>IF($D194="TOTAL:",FIXED(ROUND(((SUM($E$4:$E193)/'RAW DATA'!$E$2)*100),1),1)&amp;"%",IF($D195="TOTAL:",SUM($E$4:$E194),IF(SUMIF('RAW DATA'!M:M,'RAW DATA'!B195,'RAW DATA'!H:H)=0,"",SUMIF('RAW DATA'!M:M,'RAW DATA'!B195,'RAW DATA'!H:H))))</f>
        <v/>
      </c>
      <c r="F195" s="4" t="str">
        <f>IF($D194="TOTAL:",FIXED(ROUND(((SUM($F$4:$F193)/'RAW DATA'!$E$2)*100),1),1)&amp;"%",IF($D195="TOTAL:",SUM($F$4:$F194),IF(SUMIF('RAW DATA'!M:M,'RAW DATA'!B195,'RAW DATA'!I:I)=0,"",SUMIF('RAW DATA'!M:M,'RAW DATA'!B195,'RAW DATA'!I:I))))</f>
        <v/>
      </c>
      <c r="G195" s="24" t="str">
        <f t="shared" si="2"/>
        <v/>
      </c>
    </row>
    <row r="196" spans="2:7" x14ac:dyDescent="0.25">
      <c r="B196" s="1" t="str">
        <f>IF('RAW DATA'!$C198&lt;&gt;"",'RAW DATA'!$C198,"")</f>
        <v/>
      </c>
      <c r="C196" s="1" t="str">
        <f>IF('RAW DATA'!$D198&lt;&gt;"",'RAW DATA'!$D198,"")</f>
        <v/>
      </c>
      <c r="D196" s="1" t="str">
        <f>IF(AND($B195&lt;&gt;"", $B196=""), "TOTAL:", IF($D195="TOTAL:","VESSEL TARGET "&amp;'RAW DATA'!$E$2&amp;":",IF('RAW DATA'!$E196&lt;&gt;"",'RAW DATA'!$E196,"")))</f>
        <v/>
      </c>
      <c r="E196" s="4" t="str">
        <f>IF($D195="TOTAL:",FIXED(ROUND(((SUM($E$4:$E194)/'RAW DATA'!$E$2)*100),1),1)&amp;"%",IF($D196="TOTAL:",SUM($E$4:$E195),IF(SUMIF('RAW DATA'!M:M,'RAW DATA'!B196,'RAW DATA'!H:H)=0,"",SUMIF('RAW DATA'!M:M,'RAW DATA'!B196,'RAW DATA'!H:H))))</f>
        <v/>
      </c>
      <c r="F196" s="4" t="str">
        <f>IF($D195="TOTAL:",FIXED(ROUND(((SUM($F$4:$F194)/'RAW DATA'!$E$2)*100),1),1)&amp;"%",IF($D196="TOTAL:",SUM($F$4:$F195),IF(SUMIF('RAW DATA'!M:M,'RAW DATA'!B196,'RAW DATA'!I:I)=0,"",SUMIF('RAW DATA'!M:M,'RAW DATA'!B196,'RAW DATA'!I:I))))</f>
        <v/>
      </c>
      <c r="G196" s="24" t="str">
        <f t="shared" si="2"/>
        <v/>
      </c>
    </row>
    <row r="197" spans="2:7" x14ac:dyDescent="0.25">
      <c r="B197" s="1" t="str">
        <f>IF('RAW DATA'!$C199&lt;&gt;"",'RAW DATA'!$C199,"")</f>
        <v/>
      </c>
      <c r="C197" s="1" t="str">
        <f>IF('RAW DATA'!$D199&lt;&gt;"",'RAW DATA'!$D199,"")</f>
        <v/>
      </c>
      <c r="D197" s="1" t="str">
        <f>IF(AND($B196&lt;&gt;"", $B197=""), "TOTAL:", IF($D196="TOTAL:","VESSEL TARGET "&amp;'RAW DATA'!$E$2&amp;":",IF('RAW DATA'!$E197&lt;&gt;"",'RAW DATA'!$E197,"")))</f>
        <v/>
      </c>
      <c r="E197" s="4" t="str">
        <f>IF($D196="TOTAL:",FIXED(ROUND(((SUM($E$4:$E195)/'RAW DATA'!$E$2)*100),1),1)&amp;"%",IF($D197="TOTAL:",SUM($E$4:$E196),IF(SUMIF('RAW DATA'!M:M,'RAW DATA'!B197,'RAW DATA'!H:H)=0,"",SUMIF('RAW DATA'!M:M,'RAW DATA'!B197,'RAW DATA'!H:H))))</f>
        <v/>
      </c>
      <c r="F197" s="4" t="str">
        <f>IF($D196="TOTAL:",FIXED(ROUND(((SUM($F$4:$F195)/'RAW DATA'!$E$2)*100),1),1)&amp;"%",IF($D197="TOTAL:",SUM($F$4:$F196),IF(SUMIF('RAW DATA'!M:M,'RAW DATA'!B197,'RAW DATA'!I:I)=0,"",SUMIF('RAW DATA'!M:M,'RAW DATA'!B197,'RAW DATA'!I:I))))</f>
        <v/>
      </c>
      <c r="G197" s="24" t="str">
        <f t="shared" si="2"/>
        <v/>
      </c>
    </row>
    <row r="198" spans="2:7" x14ac:dyDescent="0.25">
      <c r="B198" s="1" t="str">
        <f>IF('RAW DATA'!$C200&lt;&gt;"",'RAW DATA'!$C200,"")</f>
        <v/>
      </c>
      <c r="C198" s="1" t="str">
        <f>IF('RAW DATA'!$D200&lt;&gt;"",'RAW DATA'!$D200,"")</f>
        <v/>
      </c>
      <c r="D198" s="1" t="str">
        <f>IF(AND($B197&lt;&gt;"", $B198=""), "TOTAL:", IF($D197="TOTAL:","VESSEL TARGET "&amp;'RAW DATA'!$E$2&amp;":",IF('RAW DATA'!$E198&lt;&gt;"",'RAW DATA'!$E198,"")))</f>
        <v/>
      </c>
      <c r="E198" s="4" t="str">
        <f>IF($D197="TOTAL:",FIXED(ROUND(((SUM($E$4:$E196)/'RAW DATA'!$E$2)*100),1),1)&amp;"%",IF($D198="TOTAL:",SUM($E$4:$E197),IF(SUMIF('RAW DATA'!M:M,'RAW DATA'!B198,'RAW DATA'!H:H)=0,"",SUMIF('RAW DATA'!M:M,'RAW DATA'!B198,'RAW DATA'!H:H))))</f>
        <v/>
      </c>
      <c r="F198" s="4" t="str">
        <f>IF($D197="TOTAL:",FIXED(ROUND(((SUM($F$4:$F196)/'RAW DATA'!$E$2)*100),1),1)&amp;"%",IF($D198="TOTAL:",SUM($F$4:$F197),IF(SUMIF('RAW DATA'!M:M,'RAW DATA'!B198,'RAW DATA'!I:I)=0,"",SUMIF('RAW DATA'!M:M,'RAW DATA'!B198,'RAW DATA'!I:I))))</f>
        <v/>
      </c>
      <c r="G198" s="24" t="str">
        <f t="shared" ref="G198:G261" si="3">IF(OR($B198="", $E198="",$F198=""),"",IF(AND($E198&gt;=2,$F198&gt;=2),1,""))</f>
        <v/>
      </c>
    </row>
    <row r="199" spans="2:7" x14ac:dyDescent="0.25">
      <c r="B199" s="1" t="str">
        <f>IF('RAW DATA'!$C201&lt;&gt;"",'RAW DATA'!$C201,"")</f>
        <v/>
      </c>
      <c r="C199" s="1" t="str">
        <f>IF('RAW DATA'!$D201&lt;&gt;"",'RAW DATA'!$D201,"")</f>
        <v/>
      </c>
      <c r="D199" s="1" t="str">
        <f>IF(AND($B198&lt;&gt;"", $B199=""), "TOTAL:", IF($D198="TOTAL:","VESSEL TARGET "&amp;'RAW DATA'!$E$2&amp;":",IF('RAW DATA'!$E199&lt;&gt;"",'RAW DATA'!$E199,"")))</f>
        <v/>
      </c>
      <c r="E199" s="4" t="str">
        <f>IF($D198="TOTAL:",FIXED(ROUND(((SUM($E$4:$E197)/'RAW DATA'!$E$2)*100),1),1)&amp;"%",IF($D199="TOTAL:",SUM($E$4:$E198),IF(SUMIF('RAW DATA'!M:M,'RAW DATA'!B199,'RAW DATA'!H:H)=0,"",SUMIF('RAW DATA'!M:M,'RAW DATA'!B199,'RAW DATA'!H:H))))</f>
        <v/>
      </c>
      <c r="F199" s="4" t="str">
        <f>IF($D198="TOTAL:",FIXED(ROUND(((SUM($F$4:$F197)/'RAW DATA'!$E$2)*100),1),1)&amp;"%",IF($D199="TOTAL:",SUM($F$4:$F198),IF(SUMIF('RAW DATA'!M:M,'RAW DATA'!B199,'RAW DATA'!I:I)=0,"",SUMIF('RAW DATA'!M:M,'RAW DATA'!B199,'RAW DATA'!I:I))))</f>
        <v/>
      </c>
      <c r="G199" s="24" t="str">
        <f t="shared" si="3"/>
        <v/>
      </c>
    </row>
    <row r="200" spans="2:7" x14ac:dyDescent="0.25">
      <c r="B200" s="1" t="str">
        <f>IF('RAW DATA'!$C202&lt;&gt;"",'RAW DATA'!$C202,"")</f>
        <v/>
      </c>
      <c r="C200" s="1" t="str">
        <f>IF('RAW DATA'!$D202&lt;&gt;"",'RAW DATA'!$D202,"")</f>
        <v/>
      </c>
      <c r="D200" s="1" t="str">
        <f>IF(AND($B199&lt;&gt;"", $B200=""), "TOTAL:", IF($D199="TOTAL:","VESSEL TARGET "&amp;'RAW DATA'!$E$2&amp;":",IF('RAW DATA'!$E200&lt;&gt;"",'RAW DATA'!$E200,"")))</f>
        <v/>
      </c>
      <c r="E200" s="4" t="str">
        <f>IF($D199="TOTAL:",FIXED(ROUND(((SUM($E$4:$E198)/'RAW DATA'!$E$2)*100),1),1)&amp;"%",IF($D200="TOTAL:",SUM($E$4:$E199),IF(SUMIF('RAW DATA'!M:M,'RAW DATA'!B200,'RAW DATA'!H:H)=0,"",SUMIF('RAW DATA'!M:M,'RAW DATA'!B200,'RAW DATA'!H:H))))</f>
        <v/>
      </c>
      <c r="F200" s="4" t="str">
        <f>IF($D199="TOTAL:",FIXED(ROUND(((SUM($F$4:$F198)/'RAW DATA'!$E$2)*100),1),1)&amp;"%",IF($D200="TOTAL:",SUM($F$4:$F199),IF(SUMIF('RAW DATA'!M:M,'RAW DATA'!B200,'RAW DATA'!I:I)=0,"",SUMIF('RAW DATA'!M:M,'RAW DATA'!B200,'RAW DATA'!I:I))))</f>
        <v/>
      </c>
      <c r="G200" s="24" t="str">
        <f t="shared" si="3"/>
        <v/>
      </c>
    </row>
    <row r="201" spans="2:7" x14ac:dyDescent="0.25">
      <c r="B201" s="1" t="str">
        <f>IF('RAW DATA'!$C203&lt;&gt;"",'RAW DATA'!$C203,"")</f>
        <v/>
      </c>
      <c r="C201" s="1" t="str">
        <f>IF('RAW DATA'!$D203&lt;&gt;"",'RAW DATA'!$D203,"")</f>
        <v/>
      </c>
      <c r="D201" s="1" t="str">
        <f>IF(AND($B200&lt;&gt;"", $B201=""), "TOTAL:", IF($D200="TOTAL:","VESSEL TARGET "&amp;'RAW DATA'!$E$2&amp;":",IF('RAW DATA'!$E201&lt;&gt;"",'RAW DATA'!$E201,"")))</f>
        <v/>
      </c>
      <c r="E201" s="4" t="str">
        <f>IF($D200="TOTAL:",FIXED(ROUND(((SUM($E$4:$E199)/'RAW DATA'!$E$2)*100),1),1)&amp;"%",IF($D201="TOTAL:",SUM($E$4:$E200),IF(SUMIF('RAW DATA'!M:M,'RAW DATA'!B201,'RAW DATA'!H:H)=0,"",SUMIF('RAW DATA'!M:M,'RAW DATA'!B201,'RAW DATA'!H:H))))</f>
        <v/>
      </c>
      <c r="F201" s="4" t="str">
        <f>IF($D200="TOTAL:",FIXED(ROUND(((SUM($F$4:$F199)/'RAW DATA'!$E$2)*100),1),1)&amp;"%",IF($D201="TOTAL:",SUM($F$4:$F200),IF(SUMIF('RAW DATA'!M:M,'RAW DATA'!B201,'RAW DATA'!I:I)=0,"",SUMIF('RAW DATA'!M:M,'RAW DATA'!B201,'RAW DATA'!I:I))))</f>
        <v/>
      </c>
      <c r="G201" s="24" t="str">
        <f t="shared" si="3"/>
        <v/>
      </c>
    </row>
    <row r="202" spans="2:7" x14ac:dyDescent="0.25">
      <c r="B202" s="1" t="str">
        <f>IF('RAW DATA'!$C204&lt;&gt;"",'RAW DATA'!$C204,"")</f>
        <v/>
      </c>
      <c r="C202" s="1" t="str">
        <f>IF('RAW DATA'!$D204&lt;&gt;"",'RAW DATA'!$D204,"")</f>
        <v/>
      </c>
      <c r="D202" s="1" t="str">
        <f>IF(AND($B201&lt;&gt;"", $B202=""), "TOTAL:", IF($D201="TOTAL:","VESSEL TARGET "&amp;'RAW DATA'!$E$2&amp;":",IF('RAW DATA'!$E202&lt;&gt;"",'RAW DATA'!$E202,"")))</f>
        <v/>
      </c>
      <c r="E202" s="4" t="str">
        <f>IF($D201="TOTAL:",FIXED(ROUND(((SUM($E$4:$E200)/'RAW DATA'!$E$2)*100),1),1)&amp;"%",IF($D202="TOTAL:",SUM($E$4:$E201),IF(SUMIF('RAW DATA'!M:M,'RAW DATA'!B202,'RAW DATA'!H:H)=0,"",SUMIF('RAW DATA'!M:M,'RAW DATA'!B202,'RAW DATA'!H:H))))</f>
        <v/>
      </c>
      <c r="F202" s="4" t="str">
        <f>IF($D201="TOTAL:",FIXED(ROUND(((SUM($F$4:$F200)/'RAW DATA'!$E$2)*100),1),1)&amp;"%",IF($D202="TOTAL:",SUM($F$4:$F201),IF(SUMIF('RAW DATA'!M:M,'RAW DATA'!B202,'RAW DATA'!I:I)=0,"",SUMIF('RAW DATA'!M:M,'RAW DATA'!B202,'RAW DATA'!I:I))))</f>
        <v/>
      </c>
      <c r="G202" s="24" t="str">
        <f t="shared" si="3"/>
        <v/>
      </c>
    </row>
    <row r="203" spans="2:7" x14ac:dyDescent="0.25">
      <c r="B203" s="1" t="str">
        <f>IF('RAW DATA'!$C205&lt;&gt;"",'RAW DATA'!$C205,"")</f>
        <v/>
      </c>
      <c r="C203" s="1" t="str">
        <f>IF('RAW DATA'!$D205&lt;&gt;"",'RAW DATA'!$D205,"")</f>
        <v/>
      </c>
      <c r="D203" s="1" t="str">
        <f>IF(AND($B202&lt;&gt;"", $B203=""), "TOTAL:", IF($D202="TOTAL:","VESSEL TARGET "&amp;'RAW DATA'!$E$2&amp;":",IF('RAW DATA'!$E203&lt;&gt;"",'RAW DATA'!$E203,"")))</f>
        <v/>
      </c>
      <c r="E203" s="4" t="str">
        <f>IF($D202="TOTAL:",FIXED(ROUND(((SUM($E$4:$E201)/'RAW DATA'!$E$2)*100),1),1)&amp;"%",IF($D203="TOTAL:",SUM($E$4:$E202),IF(SUMIF('RAW DATA'!M:M,'RAW DATA'!B203,'RAW DATA'!H:H)=0,"",SUMIF('RAW DATA'!M:M,'RAW DATA'!B203,'RAW DATA'!H:H))))</f>
        <v/>
      </c>
      <c r="F203" s="4" t="str">
        <f>IF($D202="TOTAL:",FIXED(ROUND(((SUM($F$4:$F201)/'RAW DATA'!$E$2)*100),1),1)&amp;"%",IF($D203="TOTAL:",SUM($F$4:$F202),IF(SUMIF('RAW DATA'!M:M,'RAW DATA'!B203,'RAW DATA'!I:I)=0,"",SUMIF('RAW DATA'!M:M,'RAW DATA'!B203,'RAW DATA'!I:I))))</f>
        <v/>
      </c>
      <c r="G203" s="24" t="str">
        <f t="shared" si="3"/>
        <v/>
      </c>
    </row>
    <row r="204" spans="2:7" x14ac:dyDescent="0.25">
      <c r="B204" s="1" t="str">
        <f>IF('RAW DATA'!$C206&lt;&gt;"",'RAW DATA'!$C206,"")</f>
        <v/>
      </c>
      <c r="C204" s="1" t="str">
        <f>IF('RAW DATA'!$D206&lt;&gt;"",'RAW DATA'!$D206,"")</f>
        <v/>
      </c>
      <c r="D204" s="1" t="str">
        <f>IF(AND($B203&lt;&gt;"", $B204=""), "TOTAL:", IF($D203="TOTAL:","VESSEL TARGET "&amp;'RAW DATA'!$E$2&amp;":",IF('RAW DATA'!$E204&lt;&gt;"",'RAW DATA'!$E204,"")))</f>
        <v/>
      </c>
      <c r="E204" s="4" t="str">
        <f>IF($D203="TOTAL:",FIXED(ROUND(((SUM($E$4:$E202)/'RAW DATA'!$E$2)*100),1),1)&amp;"%",IF($D204="TOTAL:",SUM($E$4:$E203),IF(SUMIF('RAW DATA'!M:M,'RAW DATA'!B204,'RAW DATA'!H:H)=0,"",SUMIF('RAW DATA'!M:M,'RAW DATA'!B204,'RAW DATA'!H:H))))</f>
        <v/>
      </c>
      <c r="F204" s="4" t="str">
        <f>IF($D203="TOTAL:",FIXED(ROUND(((SUM($F$4:$F202)/'RAW DATA'!$E$2)*100),1),1)&amp;"%",IF($D204="TOTAL:",SUM($F$4:$F203),IF(SUMIF('RAW DATA'!M:M,'RAW DATA'!B204,'RAW DATA'!I:I)=0,"",SUMIF('RAW DATA'!M:M,'RAW DATA'!B204,'RAW DATA'!I:I))))</f>
        <v/>
      </c>
      <c r="G204" s="24" t="str">
        <f t="shared" si="3"/>
        <v/>
      </c>
    </row>
    <row r="205" spans="2:7" x14ac:dyDescent="0.25">
      <c r="B205" s="1" t="str">
        <f>IF('RAW DATA'!$C207&lt;&gt;"",'RAW DATA'!$C207,"")</f>
        <v/>
      </c>
      <c r="C205" s="1" t="str">
        <f>IF('RAW DATA'!$D207&lt;&gt;"",'RAW DATA'!$D207,"")</f>
        <v/>
      </c>
      <c r="D205" s="1" t="str">
        <f>IF(AND($B204&lt;&gt;"", $B205=""), "TOTAL:", IF($D204="TOTAL:","VESSEL TARGET "&amp;'RAW DATA'!$E$2&amp;":",IF('RAW DATA'!$E205&lt;&gt;"",'RAW DATA'!$E205,"")))</f>
        <v/>
      </c>
      <c r="E205" s="4" t="str">
        <f>IF($D204="TOTAL:",FIXED(ROUND(((SUM($E$4:$E203)/'RAW DATA'!$E$2)*100),1),1)&amp;"%",IF($D205="TOTAL:",SUM($E$4:$E204),IF(SUMIF('RAW DATA'!M:M,'RAW DATA'!B205,'RAW DATA'!H:H)=0,"",SUMIF('RAW DATA'!M:M,'RAW DATA'!B205,'RAW DATA'!H:H))))</f>
        <v/>
      </c>
      <c r="F205" s="4" t="str">
        <f>IF($D204="TOTAL:",FIXED(ROUND(((SUM($F$4:$F203)/'RAW DATA'!$E$2)*100),1),1)&amp;"%",IF($D205="TOTAL:",SUM($F$4:$F204),IF(SUMIF('RAW DATA'!M:M,'RAW DATA'!B205,'RAW DATA'!I:I)=0,"",SUMIF('RAW DATA'!M:M,'RAW DATA'!B205,'RAW DATA'!I:I))))</f>
        <v/>
      </c>
      <c r="G205" s="24" t="str">
        <f t="shared" si="3"/>
        <v/>
      </c>
    </row>
    <row r="206" spans="2:7" x14ac:dyDescent="0.25">
      <c r="B206" s="1" t="str">
        <f>IF('RAW DATA'!$C208&lt;&gt;"",'RAW DATA'!$C208,"")</f>
        <v/>
      </c>
      <c r="C206" s="1" t="str">
        <f>IF('RAW DATA'!$D208&lt;&gt;"",'RAW DATA'!$D208,"")</f>
        <v/>
      </c>
      <c r="D206" s="1" t="str">
        <f>IF(AND($B205&lt;&gt;"", $B206=""), "TOTAL:", IF($D205="TOTAL:","VESSEL TARGET "&amp;'RAW DATA'!$E$2&amp;":",IF('RAW DATA'!$E206&lt;&gt;"",'RAW DATA'!$E206,"")))</f>
        <v/>
      </c>
      <c r="E206" s="4" t="str">
        <f>IF($D205="TOTAL:",FIXED(ROUND(((SUM($E$4:$E204)/'RAW DATA'!$E$2)*100),1),1)&amp;"%",IF($D206="TOTAL:",SUM($E$4:$E205),IF(SUMIF('RAW DATA'!M:M,'RAW DATA'!B206,'RAW DATA'!H:H)=0,"",SUMIF('RAW DATA'!M:M,'RAW DATA'!B206,'RAW DATA'!H:H))))</f>
        <v/>
      </c>
      <c r="F206" s="4" t="str">
        <f>IF($D205="TOTAL:",FIXED(ROUND(((SUM($F$4:$F204)/'RAW DATA'!$E$2)*100),1),1)&amp;"%",IF($D206="TOTAL:",SUM($F$4:$F205),IF(SUMIF('RAW DATA'!M:M,'RAW DATA'!B206,'RAW DATA'!I:I)=0,"",SUMIF('RAW DATA'!M:M,'RAW DATA'!B206,'RAW DATA'!I:I))))</f>
        <v/>
      </c>
      <c r="G206" s="24" t="str">
        <f t="shared" si="3"/>
        <v/>
      </c>
    </row>
    <row r="207" spans="2:7" x14ac:dyDescent="0.25">
      <c r="B207" s="1" t="str">
        <f>IF('RAW DATA'!$C209&lt;&gt;"",'RAW DATA'!$C209,"")</f>
        <v/>
      </c>
      <c r="C207" s="1" t="str">
        <f>IF('RAW DATA'!$D209&lt;&gt;"",'RAW DATA'!$D209,"")</f>
        <v/>
      </c>
      <c r="D207" s="1" t="str">
        <f>IF(AND($B206&lt;&gt;"", $B207=""), "TOTAL:", IF($D206="TOTAL:","VESSEL TARGET "&amp;'RAW DATA'!$E$2&amp;":",IF('RAW DATA'!$E207&lt;&gt;"",'RAW DATA'!$E207,"")))</f>
        <v/>
      </c>
      <c r="E207" s="4" t="str">
        <f>IF($D206="TOTAL:",FIXED(ROUND(((SUM($E$4:$E205)/'RAW DATA'!$E$2)*100),1),1)&amp;"%",IF($D207="TOTAL:",SUM($E$4:$E206),IF(SUMIF('RAW DATA'!M:M,'RAW DATA'!B207,'RAW DATA'!H:H)=0,"",SUMIF('RAW DATA'!M:M,'RAW DATA'!B207,'RAW DATA'!H:H))))</f>
        <v/>
      </c>
      <c r="F207" s="4" t="str">
        <f>IF($D206="TOTAL:",FIXED(ROUND(((SUM($F$4:$F205)/'RAW DATA'!$E$2)*100),1),1)&amp;"%",IF($D207="TOTAL:",SUM($F$4:$F206),IF(SUMIF('RAW DATA'!M:M,'RAW DATA'!B207,'RAW DATA'!I:I)=0,"",SUMIF('RAW DATA'!M:M,'RAW DATA'!B207,'RAW DATA'!I:I))))</f>
        <v/>
      </c>
      <c r="G207" s="24" t="str">
        <f t="shared" si="3"/>
        <v/>
      </c>
    </row>
    <row r="208" spans="2:7" x14ac:dyDescent="0.25">
      <c r="B208" s="1" t="str">
        <f>IF('RAW DATA'!$C210&lt;&gt;"",'RAW DATA'!$C210,"")</f>
        <v/>
      </c>
      <c r="C208" s="1" t="str">
        <f>IF('RAW DATA'!$D210&lt;&gt;"",'RAW DATA'!$D210,"")</f>
        <v/>
      </c>
      <c r="D208" s="1" t="str">
        <f>IF(AND($B207&lt;&gt;"", $B208=""), "TOTAL:", IF($D207="TOTAL:","VESSEL TARGET "&amp;'RAW DATA'!$E$2&amp;":",IF('RAW DATA'!$E208&lt;&gt;"",'RAW DATA'!$E208,"")))</f>
        <v/>
      </c>
      <c r="E208" s="4" t="str">
        <f>IF($D207="TOTAL:",FIXED(ROUND(((SUM($E$4:$E206)/'RAW DATA'!$E$2)*100),1),1)&amp;"%",IF($D208="TOTAL:",SUM($E$4:$E207),IF(SUMIF('RAW DATA'!M:M,'RAW DATA'!B208,'RAW DATA'!H:H)=0,"",SUMIF('RAW DATA'!M:M,'RAW DATA'!B208,'RAW DATA'!H:H))))</f>
        <v/>
      </c>
      <c r="F208" s="4" t="str">
        <f>IF($D207="TOTAL:",FIXED(ROUND(((SUM($F$4:$F206)/'RAW DATA'!$E$2)*100),1),1)&amp;"%",IF($D208="TOTAL:",SUM($F$4:$F207),IF(SUMIF('RAW DATA'!M:M,'RAW DATA'!B208,'RAW DATA'!I:I)=0,"",SUMIF('RAW DATA'!M:M,'RAW DATA'!B208,'RAW DATA'!I:I))))</f>
        <v/>
      </c>
      <c r="G208" s="24" t="str">
        <f t="shared" si="3"/>
        <v/>
      </c>
    </row>
    <row r="209" spans="2:7" x14ac:dyDescent="0.25">
      <c r="B209" s="1" t="str">
        <f>IF('RAW DATA'!$C211&lt;&gt;"",'RAW DATA'!$C211,"")</f>
        <v/>
      </c>
      <c r="C209" s="1" t="str">
        <f>IF('RAW DATA'!$D211&lt;&gt;"",'RAW DATA'!$D211,"")</f>
        <v/>
      </c>
      <c r="D209" s="1" t="str">
        <f>IF(AND($B208&lt;&gt;"", $B209=""), "TOTAL:", IF($D208="TOTAL:","VESSEL TARGET "&amp;'RAW DATA'!$E$2&amp;":",IF('RAW DATA'!$E209&lt;&gt;"",'RAW DATA'!$E209,"")))</f>
        <v/>
      </c>
      <c r="E209" s="4" t="str">
        <f>IF($D208="TOTAL:",FIXED(ROUND(((SUM($E$4:$E207)/'RAW DATA'!$E$2)*100),1),1)&amp;"%",IF($D209="TOTAL:",SUM($E$4:$E208),IF(SUMIF('RAW DATA'!M:M,'RAW DATA'!B209,'RAW DATA'!H:H)=0,"",SUMIF('RAW DATA'!M:M,'RAW DATA'!B209,'RAW DATA'!H:H))))</f>
        <v/>
      </c>
      <c r="F209" s="4" t="str">
        <f>IF($D208="TOTAL:",FIXED(ROUND(((SUM($F$4:$F207)/'RAW DATA'!$E$2)*100),1),1)&amp;"%",IF($D209="TOTAL:",SUM($F$4:$F208),IF(SUMIF('RAW DATA'!M:M,'RAW DATA'!B209,'RAW DATA'!I:I)=0,"",SUMIF('RAW DATA'!M:M,'RAW DATA'!B209,'RAW DATA'!I:I))))</f>
        <v/>
      </c>
      <c r="G209" s="24" t="str">
        <f t="shared" si="3"/>
        <v/>
      </c>
    </row>
    <row r="210" spans="2:7" x14ac:dyDescent="0.25">
      <c r="B210" s="1" t="str">
        <f>IF('RAW DATA'!$C212&lt;&gt;"",'RAW DATA'!$C212,"")</f>
        <v/>
      </c>
      <c r="C210" s="1" t="str">
        <f>IF('RAW DATA'!$D212&lt;&gt;"",'RAW DATA'!$D212,"")</f>
        <v/>
      </c>
      <c r="D210" s="1" t="str">
        <f>IF(AND($B209&lt;&gt;"", $B210=""), "TOTAL:", IF($D209="TOTAL:","VESSEL TARGET "&amp;'RAW DATA'!$E$2&amp;":",IF('RAW DATA'!$E210&lt;&gt;"",'RAW DATA'!$E210,"")))</f>
        <v/>
      </c>
      <c r="E210" s="4" t="str">
        <f>IF($D209="TOTAL:",FIXED(ROUND(((SUM($E$4:$E208)/'RAW DATA'!$E$2)*100),1),1)&amp;"%",IF($D210="TOTAL:",SUM($E$4:$E209),IF(SUMIF('RAW DATA'!M:M,'RAW DATA'!B210,'RAW DATA'!H:H)=0,"",SUMIF('RAW DATA'!M:M,'RAW DATA'!B210,'RAW DATA'!H:H))))</f>
        <v/>
      </c>
      <c r="F210" s="4" t="str">
        <f>IF($D209="TOTAL:",FIXED(ROUND(((SUM($F$4:$F208)/'RAW DATA'!$E$2)*100),1),1)&amp;"%",IF($D210="TOTAL:",SUM($F$4:$F209),IF(SUMIF('RAW DATA'!M:M,'RAW DATA'!B210,'RAW DATA'!I:I)=0,"",SUMIF('RAW DATA'!M:M,'RAW DATA'!B210,'RAW DATA'!I:I))))</f>
        <v/>
      </c>
      <c r="G210" s="24" t="str">
        <f t="shared" si="3"/>
        <v/>
      </c>
    </row>
    <row r="211" spans="2:7" x14ac:dyDescent="0.25">
      <c r="B211" s="1" t="str">
        <f>IF('RAW DATA'!$C213&lt;&gt;"",'RAW DATA'!$C213,"")</f>
        <v/>
      </c>
      <c r="C211" s="1" t="str">
        <f>IF('RAW DATA'!$D213&lt;&gt;"",'RAW DATA'!$D213,"")</f>
        <v/>
      </c>
      <c r="D211" s="1" t="str">
        <f>IF(AND($B210&lt;&gt;"", $B211=""), "TOTAL:", IF($D210="TOTAL:","VESSEL TARGET "&amp;'RAW DATA'!$E$2&amp;":",IF('RAW DATA'!$E211&lt;&gt;"",'RAW DATA'!$E211,"")))</f>
        <v/>
      </c>
      <c r="E211" s="4" t="str">
        <f>IF($D210="TOTAL:",FIXED(ROUND(((SUM($E$4:$E209)/'RAW DATA'!$E$2)*100),1),1)&amp;"%",IF($D211="TOTAL:",SUM($E$4:$E210),IF(SUMIF('RAW DATA'!M:M,'RAW DATA'!B211,'RAW DATA'!H:H)=0,"",SUMIF('RAW DATA'!M:M,'RAW DATA'!B211,'RAW DATA'!H:H))))</f>
        <v/>
      </c>
      <c r="F211" s="4" t="str">
        <f>IF($D210="TOTAL:",FIXED(ROUND(((SUM($F$4:$F209)/'RAW DATA'!$E$2)*100),1),1)&amp;"%",IF($D211="TOTAL:",SUM($F$4:$F210),IF(SUMIF('RAW DATA'!M:M,'RAW DATA'!B211,'RAW DATA'!I:I)=0,"",SUMIF('RAW DATA'!M:M,'RAW DATA'!B211,'RAW DATA'!I:I))))</f>
        <v/>
      </c>
      <c r="G211" s="24" t="str">
        <f t="shared" si="3"/>
        <v/>
      </c>
    </row>
    <row r="212" spans="2:7" x14ac:dyDescent="0.25">
      <c r="B212" s="1" t="str">
        <f>IF('RAW DATA'!$C214&lt;&gt;"",'RAW DATA'!$C214,"")</f>
        <v/>
      </c>
      <c r="C212" s="1" t="str">
        <f>IF('RAW DATA'!$D214&lt;&gt;"",'RAW DATA'!$D214,"")</f>
        <v/>
      </c>
      <c r="D212" s="1" t="str">
        <f>IF(AND($B211&lt;&gt;"", $B212=""), "TOTAL:", IF($D211="TOTAL:","VESSEL TARGET "&amp;'RAW DATA'!$E$2&amp;":",IF('RAW DATA'!$E212&lt;&gt;"",'RAW DATA'!$E212,"")))</f>
        <v/>
      </c>
      <c r="E212" s="4" t="str">
        <f>IF($D211="TOTAL:",FIXED(ROUND(((SUM($E$4:$E210)/'RAW DATA'!$E$2)*100),1),1)&amp;"%",IF($D212="TOTAL:",SUM($E$4:$E211),IF(SUMIF('RAW DATA'!M:M,'RAW DATA'!B212,'RAW DATA'!H:H)=0,"",SUMIF('RAW DATA'!M:M,'RAW DATA'!B212,'RAW DATA'!H:H))))</f>
        <v/>
      </c>
      <c r="F212" s="4" t="str">
        <f>IF($D211="TOTAL:",FIXED(ROUND(((SUM($F$4:$F210)/'RAW DATA'!$E$2)*100),1),1)&amp;"%",IF($D212="TOTAL:",SUM($F$4:$F211),IF(SUMIF('RAW DATA'!M:M,'RAW DATA'!B212,'RAW DATA'!I:I)=0,"",SUMIF('RAW DATA'!M:M,'RAW DATA'!B212,'RAW DATA'!I:I))))</f>
        <v/>
      </c>
      <c r="G212" s="24" t="str">
        <f t="shared" si="3"/>
        <v/>
      </c>
    </row>
    <row r="213" spans="2:7" x14ac:dyDescent="0.25">
      <c r="B213" s="1" t="str">
        <f>IF('RAW DATA'!$C215&lt;&gt;"",'RAW DATA'!$C215,"")</f>
        <v/>
      </c>
      <c r="C213" s="1" t="str">
        <f>IF('RAW DATA'!$D215&lt;&gt;"",'RAW DATA'!$D215,"")</f>
        <v/>
      </c>
      <c r="D213" s="1" t="str">
        <f>IF(AND($B212&lt;&gt;"", $B213=""), "TOTAL:", IF($D212="TOTAL:","VESSEL TARGET "&amp;'RAW DATA'!$E$2&amp;":",IF('RAW DATA'!$E213&lt;&gt;"",'RAW DATA'!$E213,"")))</f>
        <v/>
      </c>
      <c r="E213" s="4" t="str">
        <f>IF($D212="TOTAL:",FIXED(ROUND(((SUM($E$4:$E211)/'RAW DATA'!$E$2)*100),1),1)&amp;"%",IF($D213="TOTAL:",SUM($E$4:$E212),IF(SUMIF('RAW DATA'!M:M,'RAW DATA'!B213,'RAW DATA'!H:H)=0,"",SUMIF('RAW DATA'!M:M,'RAW DATA'!B213,'RAW DATA'!H:H))))</f>
        <v/>
      </c>
      <c r="F213" s="4" t="str">
        <f>IF($D212="TOTAL:",FIXED(ROUND(((SUM($F$4:$F211)/'RAW DATA'!$E$2)*100),1),1)&amp;"%",IF($D213="TOTAL:",SUM($F$4:$F212),IF(SUMIF('RAW DATA'!M:M,'RAW DATA'!B213,'RAW DATA'!I:I)=0,"",SUMIF('RAW DATA'!M:M,'RAW DATA'!B213,'RAW DATA'!I:I))))</f>
        <v/>
      </c>
      <c r="G213" s="24" t="str">
        <f t="shared" si="3"/>
        <v/>
      </c>
    </row>
    <row r="214" spans="2:7" x14ac:dyDescent="0.25">
      <c r="B214" s="1" t="str">
        <f>IF('RAW DATA'!$C216&lt;&gt;"",'RAW DATA'!$C216,"")</f>
        <v/>
      </c>
      <c r="C214" s="1" t="str">
        <f>IF('RAW DATA'!$D216&lt;&gt;"",'RAW DATA'!$D216,"")</f>
        <v/>
      </c>
      <c r="D214" s="1" t="str">
        <f>IF(AND($B213&lt;&gt;"", $B214=""), "TOTAL:", IF($D213="TOTAL:","VESSEL TARGET "&amp;'RAW DATA'!$E$2&amp;":",IF('RAW DATA'!$E214&lt;&gt;"",'RAW DATA'!$E214,"")))</f>
        <v/>
      </c>
      <c r="E214" s="4" t="str">
        <f>IF($D213="TOTAL:",FIXED(ROUND(((SUM($E$4:$E212)/'RAW DATA'!$E$2)*100),1),1)&amp;"%",IF($D214="TOTAL:",SUM($E$4:$E213),IF(SUMIF('RAW DATA'!M:M,'RAW DATA'!B214,'RAW DATA'!H:H)=0,"",SUMIF('RAW DATA'!M:M,'RAW DATA'!B214,'RAW DATA'!H:H))))</f>
        <v/>
      </c>
      <c r="F214" s="4" t="str">
        <f>IF($D213="TOTAL:",FIXED(ROUND(((SUM($F$4:$F212)/'RAW DATA'!$E$2)*100),1),1)&amp;"%",IF($D214="TOTAL:",SUM($F$4:$F213),IF(SUMIF('RAW DATA'!M:M,'RAW DATA'!B214,'RAW DATA'!I:I)=0,"",SUMIF('RAW DATA'!M:M,'RAW DATA'!B214,'RAW DATA'!I:I))))</f>
        <v/>
      </c>
      <c r="G214" s="24" t="str">
        <f t="shared" si="3"/>
        <v/>
      </c>
    </row>
    <row r="215" spans="2:7" x14ac:dyDescent="0.25">
      <c r="B215" s="1" t="str">
        <f>IF('RAW DATA'!$C217&lt;&gt;"",'RAW DATA'!$C217,"")</f>
        <v/>
      </c>
      <c r="C215" s="1" t="str">
        <f>IF('RAW DATA'!$D217&lt;&gt;"",'RAW DATA'!$D217,"")</f>
        <v/>
      </c>
      <c r="D215" s="1" t="str">
        <f>IF(AND($B214&lt;&gt;"", $B215=""), "TOTAL:", IF($D214="TOTAL:","VESSEL TARGET "&amp;'RAW DATA'!$E$2&amp;":",IF('RAW DATA'!$E215&lt;&gt;"",'RAW DATA'!$E215,"")))</f>
        <v/>
      </c>
      <c r="E215" s="4" t="str">
        <f>IF($D214="TOTAL:",FIXED(ROUND(((SUM($E$4:$E213)/'RAW DATA'!$E$2)*100),1),1)&amp;"%",IF($D215="TOTAL:",SUM($E$4:$E214),IF(SUMIF('RAW DATA'!M:M,'RAW DATA'!B215,'RAW DATA'!H:H)=0,"",SUMIF('RAW DATA'!M:M,'RAW DATA'!B215,'RAW DATA'!H:H))))</f>
        <v/>
      </c>
      <c r="F215" s="4" t="str">
        <f>IF($D214="TOTAL:",FIXED(ROUND(((SUM($F$4:$F213)/'RAW DATA'!$E$2)*100),1),1)&amp;"%",IF($D215="TOTAL:",SUM($F$4:$F214),IF(SUMIF('RAW DATA'!M:M,'RAW DATA'!B215,'RAW DATA'!I:I)=0,"",SUMIF('RAW DATA'!M:M,'RAW DATA'!B215,'RAW DATA'!I:I))))</f>
        <v/>
      </c>
      <c r="G215" s="24" t="str">
        <f t="shared" si="3"/>
        <v/>
      </c>
    </row>
    <row r="216" spans="2:7" x14ac:dyDescent="0.25">
      <c r="B216" s="1" t="str">
        <f>IF('RAW DATA'!$C218&lt;&gt;"",'RAW DATA'!$C218,"")</f>
        <v/>
      </c>
      <c r="C216" s="1" t="str">
        <f>IF('RAW DATA'!$D218&lt;&gt;"",'RAW DATA'!$D218,"")</f>
        <v/>
      </c>
      <c r="D216" s="1" t="str">
        <f>IF(AND($B215&lt;&gt;"", $B216=""), "TOTAL:", IF($D215="TOTAL:","VESSEL TARGET "&amp;'RAW DATA'!$E$2&amp;":",IF('RAW DATA'!$E216&lt;&gt;"",'RAW DATA'!$E216,"")))</f>
        <v/>
      </c>
      <c r="E216" s="4" t="str">
        <f>IF($D215="TOTAL:",FIXED(ROUND(((SUM($E$4:$E214)/'RAW DATA'!$E$2)*100),1),1)&amp;"%",IF($D216="TOTAL:",SUM($E$4:$E215),IF(SUMIF('RAW DATA'!M:M,'RAW DATA'!B216,'RAW DATA'!H:H)=0,"",SUMIF('RAW DATA'!M:M,'RAW DATA'!B216,'RAW DATA'!H:H))))</f>
        <v/>
      </c>
      <c r="F216" s="4" t="str">
        <f>IF($D215="TOTAL:",FIXED(ROUND(((SUM($F$4:$F214)/'RAW DATA'!$E$2)*100),1),1)&amp;"%",IF($D216="TOTAL:",SUM($F$4:$F215),IF(SUMIF('RAW DATA'!M:M,'RAW DATA'!B216,'RAW DATA'!I:I)=0,"",SUMIF('RAW DATA'!M:M,'RAW DATA'!B216,'RAW DATA'!I:I))))</f>
        <v/>
      </c>
      <c r="G216" s="24" t="str">
        <f t="shared" si="3"/>
        <v/>
      </c>
    </row>
    <row r="217" spans="2:7" x14ac:dyDescent="0.25">
      <c r="B217" s="1" t="str">
        <f>IF('RAW DATA'!$C219&lt;&gt;"",'RAW DATA'!$C219,"")</f>
        <v/>
      </c>
      <c r="C217" s="1" t="str">
        <f>IF('RAW DATA'!$D219&lt;&gt;"",'RAW DATA'!$D219,"")</f>
        <v/>
      </c>
      <c r="D217" s="1" t="str">
        <f>IF(AND($B216&lt;&gt;"", $B217=""), "TOTAL:", IF($D216="TOTAL:","VESSEL TARGET "&amp;'RAW DATA'!$E$2&amp;":",IF('RAW DATA'!$E217&lt;&gt;"",'RAW DATA'!$E217,"")))</f>
        <v/>
      </c>
      <c r="E217" s="4" t="str">
        <f>IF($D216="TOTAL:",FIXED(ROUND(((SUM($E$4:$E215)/'RAW DATA'!$E$2)*100),1),1)&amp;"%",IF($D217="TOTAL:",SUM($E$4:$E216),IF(SUMIF('RAW DATA'!M:M,'RAW DATA'!B217,'RAW DATA'!H:H)=0,"",SUMIF('RAW DATA'!M:M,'RAW DATA'!B217,'RAW DATA'!H:H))))</f>
        <v/>
      </c>
      <c r="F217" s="4" t="str">
        <f>IF($D216="TOTAL:",FIXED(ROUND(((SUM($F$4:$F215)/'RAW DATA'!$E$2)*100),1),1)&amp;"%",IF($D217="TOTAL:",SUM($F$4:$F216),IF(SUMIF('RAW DATA'!M:M,'RAW DATA'!B217,'RAW DATA'!I:I)=0,"",SUMIF('RAW DATA'!M:M,'RAW DATA'!B217,'RAW DATA'!I:I))))</f>
        <v/>
      </c>
      <c r="G217" s="24" t="str">
        <f t="shared" si="3"/>
        <v/>
      </c>
    </row>
    <row r="218" spans="2:7" x14ac:dyDescent="0.25">
      <c r="B218" s="1" t="str">
        <f>IF('RAW DATA'!$C220&lt;&gt;"",'RAW DATA'!$C220,"")</f>
        <v/>
      </c>
      <c r="C218" s="1" t="str">
        <f>IF('RAW DATA'!$D220&lt;&gt;"",'RAW DATA'!$D220,"")</f>
        <v/>
      </c>
      <c r="D218" s="1" t="str">
        <f>IF(AND($B217&lt;&gt;"", $B218=""), "TOTAL:", IF($D217="TOTAL:","VESSEL TARGET "&amp;'RAW DATA'!$E$2&amp;":",IF('RAW DATA'!$E218&lt;&gt;"",'RAW DATA'!$E218,"")))</f>
        <v/>
      </c>
      <c r="E218" s="4" t="str">
        <f>IF($D217="TOTAL:",FIXED(ROUND(((SUM($E$4:$E216)/'RAW DATA'!$E$2)*100),1),1)&amp;"%",IF($D218="TOTAL:",SUM($E$4:$E217),IF(SUMIF('RAW DATA'!M:M,'RAW DATA'!B218,'RAW DATA'!H:H)=0,"",SUMIF('RAW DATA'!M:M,'RAW DATA'!B218,'RAW DATA'!H:H))))</f>
        <v/>
      </c>
      <c r="F218" s="4" t="str">
        <f>IF($D217="TOTAL:",FIXED(ROUND(((SUM($F$4:$F216)/'RAW DATA'!$E$2)*100),1),1)&amp;"%",IF($D218="TOTAL:",SUM($F$4:$F217),IF(SUMIF('RAW DATA'!M:M,'RAW DATA'!B218,'RAW DATA'!I:I)=0,"",SUMIF('RAW DATA'!M:M,'RAW DATA'!B218,'RAW DATA'!I:I))))</f>
        <v/>
      </c>
      <c r="G218" s="24" t="str">
        <f t="shared" si="3"/>
        <v/>
      </c>
    </row>
    <row r="219" spans="2:7" x14ac:dyDescent="0.25">
      <c r="B219" s="1" t="str">
        <f>IF('RAW DATA'!$C221&lt;&gt;"",'RAW DATA'!$C221,"")</f>
        <v/>
      </c>
      <c r="C219" s="1" t="str">
        <f>IF('RAW DATA'!$D221&lt;&gt;"",'RAW DATA'!$D221,"")</f>
        <v/>
      </c>
      <c r="D219" s="1" t="str">
        <f>IF(AND($B218&lt;&gt;"", $B219=""), "TOTAL:", IF($D218="TOTAL:","VESSEL TARGET "&amp;'RAW DATA'!$E$2&amp;":",IF('RAW DATA'!$E219&lt;&gt;"",'RAW DATA'!$E219,"")))</f>
        <v/>
      </c>
      <c r="E219" s="4" t="str">
        <f>IF($D218="TOTAL:",FIXED(ROUND(((SUM($E$4:$E217)/'RAW DATA'!$E$2)*100),1),1)&amp;"%",IF($D219="TOTAL:",SUM($E$4:$E218),IF(SUMIF('RAW DATA'!M:M,'RAW DATA'!B219,'RAW DATA'!H:H)=0,"",SUMIF('RAW DATA'!M:M,'RAW DATA'!B219,'RAW DATA'!H:H))))</f>
        <v/>
      </c>
      <c r="F219" s="4" t="str">
        <f>IF($D218="TOTAL:",FIXED(ROUND(((SUM($F$4:$F217)/'RAW DATA'!$E$2)*100),1),1)&amp;"%",IF($D219="TOTAL:",SUM($F$4:$F218),IF(SUMIF('RAW DATA'!M:M,'RAW DATA'!B219,'RAW DATA'!I:I)=0,"",SUMIF('RAW DATA'!M:M,'RAW DATA'!B219,'RAW DATA'!I:I))))</f>
        <v/>
      </c>
      <c r="G219" s="24" t="str">
        <f t="shared" si="3"/>
        <v/>
      </c>
    </row>
    <row r="220" spans="2:7" x14ac:dyDescent="0.25">
      <c r="B220" s="1" t="str">
        <f>IF('RAW DATA'!$C222&lt;&gt;"",'RAW DATA'!$C222,"")</f>
        <v/>
      </c>
      <c r="C220" s="1" t="str">
        <f>IF('RAW DATA'!$D222&lt;&gt;"",'RAW DATA'!$D222,"")</f>
        <v/>
      </c>
      <c r="D220" s="1" t="str">
        <f>IF(AND($B219&lt;&gt;"", $B220=""), "TOTAL:", IF($D219="TOTAL:","VESSEL TARGET "&amp;'RAW DATA'!$E$2&amp;":",IF('RAW DATA'!$E220&lt;&gt;"",'RAW DATA'!$E220,"")))</f>
        <v/>
      </c>
      <c r="E220" s="4" t="str">
        <f>IF($D219="TOTAL:",FIXED(ROUND(((SUM($E$4:$E218)/'RAW DATA'!$E$2)*100),1),1)&amp;"%",IF($D220="TOTAL:",SUM($E$4:$E219),IF(SUMIF('RAW DATA'!M:M,'RAW DATA'!B220,'RAW DATA'!H:H)=0,"",SUMIF('RAW DATA'!M:M,'RAW DATA'!B220,'RAW DATA'!H:H))))</f>
        <v/>
      </c>
      <c r="F220" s="4" t="str">
        <f>IF($D219="TOTAL:",FIXED(ROUND(((SUM($F$4:$F218)/'RAW DATA'!$E$2)*100),1),1)&amp;"%",IF($D220="TOTAL:",SUM($F$4:$F219),IF(SUMIF('RAW DATA'!M:M,'RAW DATA'!B220,'RAW DATA'!I:I)=0,"",SUMIF('RAW DATA'!M:M,'RAW DATA'!B220,'RAW DATA'!I:I))))</f>
        <v/>
      </c>
      <c r="G220" s="24" t="str">
        <f t="shared" si="3"/>
        <v/>
      </c>
    </row>
    <row r="221" spans="2:7" x14ac:dyDescent="0.25">
      <c r="B221" s="1" t="str">
        <f>IF('RAW DATA'!$C223&lt;&gt;"",'RAW DATA'!$C223,"")</f>
        <v/>
      </c>
      <c r="C221" s="1" t="str">
        <f>IF('RAW DATA'!$D223&lt;&gt;"",'RAW DATA'!$D223,"")</f>
        <v/>
      </c>
      <c r="D221" s="1" t="str">
        <f>IF(AND($B220&lt;&gt;"", $B221=""), "TOTAL:", IF($D220="TOTAL:","VESSEL TARGET "&amp;'RAW DATA'!$E$2&amp;":",IF('RAW DATA'!$E221&lt;&gt;"",'RAW DATA'!$E221,"")))</f>
        <v/>
      </c>
      <c r="E221" s="4" t="str">
        <f>IF($D220="TOTAL:",FIXED(ROUND(((SUM($E$4:$E219)/'RAW DATA'!$E$2)*100),1),1)&amp;"%",IF($D221="TOTAL:",SUM($E$4:$E220),IF(SUMIF('RAW DATA'!M:M,'RAW DATA'!B221,'RAW DATA'!H:H)=0,"",SUMIF('RAW DATA'!M:M,'RAW DATA'!B221,'RAW DATA'!H:H))))</f>
        <v/>
      </c>
      <c r="F221" s="4" t="str">
        <f>IF($D220="TOTAL:",FIXED(ROUND(((SUM($F$4:$F219)/'RAW DATA'!$E$2)*100),1),1)&amp;"%",IF($D221="TOTAL:",SUM($F$4:$F220),IF(SUMIF('RAW DATA'!M:M,'RAW DATA'!B221,'RAW DATA'!I:I)=0,"",SUMIF('RAW DATA'!M:M,'RAW DATA'!B221,'RAW DATA'!I:I))))</f>
        <v/>
      </c>
      <c r="G221" s="24" t="str">
        <f t="shared" si="3"/>
        <v/>
      </c>
    </row>
    <row r="222" spans="2:7" x14ac:dyDescent="0.25">
      <c r="B222" s="1" t="str">
        <f>IF('RAW DATA'!$C224&lt;&gt;"",'RAW DATA'!$C224,"")</f>
        <v/>
      </c>
      <c r="C222" s="1" t="str">
        <f>IF('RAW DATA'!$D224&lt;&gt;"",'RAW DATA'!$D224,"")</f>
        <v/>
      </c>
      <c r="D222" s="1" t="str">
        <f>IF(AND($B221&lt;&gt;"", $B222=""), "TOTAL:", IF($D221="TOTAL:","VESSEL TARGET "&amp;'RAW DATA'!$E$2&amp;":",IF('RAW DATA'!$E222&lt;&gt;"",'RAW DATA'!$E222,"")))</f>
        <v/>
      </c>
      <c r="E222" s="4" t="str">
        <f>IF($D221="TOTAL:",FIXED(ROUND(((SUM($E$4:$E220)/'RAW DATA'!$E$2)*100),1),1)&amp;"%",IF($D222="TOTAL:",SUM($E$4:$E221),IF(SUMIF('RAW DATA'!M:M,'RAW DATA'!B222,'RAW DATA'!H:H)=0,"",SUMIF('RAW DATA'!M:M,'RAW DATA'!B222,'RAW DATA'!H:H))))</f>
        <v/>
      </c>
      <c r="F222" s="4" t="str">
        <f>IF($D221="TOTAL:",FIXED(ROUND(((SUM($F$4:$F220)/'RAW DATA'!$E$2)*100),1),1)&amp;"%",IF($D222="TOTAL:",SUM($F$4:$F221),IF(SUMIF('RAW DATA'!M:M,'RAW DATA'!B222,'RAW DATA'!I:I)=0,"",SUMIF('RAW DATA'!M:M,'RAW DATA'!B222,'RAW DATA'!I:I))))</f>
        <v/>
      </c>
      <c r="G222" s="24" t="str">
        <f t="shared" si="3"/>
        <v/>
      </c>
    </row>
    <row r="223" spans="2:7" x14ac:dyDescent="0.25">
      <c r="B223" s="1" t="str">
        <f>IF('RAW DATA'!$C225&lt;&gt;"",'RAW DATA'!$C225,"")</f>
        <v/>
      </c>
      <c r="C223" s="1" t="str">
        <f>IF('RAW DATA'!$D225&lt;&gt;"",'RAW DATA'!$D225,"")</f>
        <v/>
      </c>
      <c r="D223" s="1" t="str">
        <f>IF(AND($B222&lt;&gt;"", $B223=""), "TOTAL:", IF($D222="TOTAL:","VESSEL TARGET "&amp;'RAW DATA'!$E$2&amp;":",IF('RAW DATA'!$E223&lt;&gt;"",'RAW DATA'!$E223,"")))</f>
        <v/>
      </c>
      <c r="E223" s="4" t="str">
        <f>IF($D222="TOTAL:",FIXED(ROUND(((SUM($E$4:$E221)/'RAW DATA'!$E$2)*100),1),1)&amp;"%",IF($D223="TOTAL:",SUM($E$4:$E222),IF(SUMIF('RAW DATA'!M:M,'RAW DATA'!B223,'RAW DATA'!H:H)=0,"",SUMIF('RAW DATA'!M:M,'RAW DATA'!B223,'RAW DATA'!H:H))))</f>
        <v/>
      </c>
      <c r="F223" s="4" t="str">
        <f>IF($D222="TOTAL:",FIXED(ROUND(((SUM($F$4:$F221)/'RAW DATA'!$E$2)*100),1),1)&amp;"%",IF($D223="TOTAL:",SUM($F$4:$F222),IF(SUMIF('RAW DATA'!M:M,'RAW DATA'!B223,'RAW DATA'!I:I)=0,"",SUMIF('RAW DATA'!M:M,'RAW DATA'!B223,'RAW DATA'!I:I))))</f>
        <v/>
      </c>
      <c r="G223" s="24" t="str">
        <f t="shared" si="3"/>
        <v/>
      </c>
    </row>
    <row r="224" spans="2:7" x14ac:dyDescent="0.25">
      <c r="B224" s="1" t="str">
        <f>IF('RAW DATA'!$C226&lt;&gt;"",'RAW DATA'!$C226,"")</f>
        <v/>
      </c>
      <c r="C224" s="1" t="str">
        <f>IF('RAW DATA'!$D226&lt;&gt;"",'RAW DATA'!$D226,"")</f>
        <v/>
      </c>
      <c r="D224" s="1" t="str">
        <f>IF(AND($B223&lt;&gt;"", $B224=""), "TOTAL:", IF($D223="TOTAL:","VESSEL TARGET "&amp;'RAW DATA'!$E$2&amp;":",IF('RAW DATA'!$E224&lt;&gt;"",'RAW DATA'!$E224,"")))</f>
        <v/>
      </c>
      <c r="E224" s="4" t="str">
        <f>IF($D223="TOTAL:",FIXED(ROUND(((SUM($E$4:$E222)/'RAW DATA'!$E$2)*100),1),1)&amp;"%",IF($D224="TOTAL:",SUM($E$4:$E223),IF(SUMIF('RAW DATA'!M:M,'RAW DATA'!B224,'RAW DATA'!H:H)=0,"",SUMIF('RAW DATA'!M:M,'RAW DATA'!B224,'RAW DATA'!H:H))))</f>
        <v/>
      </c>
      <c r="F224" s="4" t="str">
        <f>IF($D223="TOTAL:",FIXED(ROUND(((SUM($F$4:$F222)/'RAW DATA'!$E$2)*100),1),1)&amp;"%",IF($D224="TOTAL:",SUM($F$4:$F223),IF(SUMIF('RAW DATA'!M:M,'RAW DATA'!B224,'RAW DATA'!I:I)=0,"",SUMIF('RAW DATA'!M:M,'RAW DATA'!B224,'RAW DATA'!I:I))))</f>
        <v/>
      </c>
      <c r="G224" s="24" t="str">
        <f t="shared" si="3"/>
        <v/>
      </c>
    </row>
    <row r="225" spans="2:7" x14ac:dyDescent="0.25">
      <c r="B225" s="1" t="str">
        <f>IF('RAW DATA'!$C227&lt;&gt;"",'RAW DATA'!$C227,"")</f>
        <v/>
      </c>
      <c r="C225" s="1" t="str">
        <f>IF('RAW DATA'!$D227&lt;&gt;"",'RAW DATA'!$D227,"")</f>
        <v/>
      </c>
      <c r="D225" s="1" t="str">
        <f>IF(AND($B224&lt;&gt;"", $B225=""), "TOTAL:", IF($D224="TOTAL:","VESSEL TARGET "&amp;'RAW DATA'!$E$2&amp;":",IF('RAW DATA'!$E225&lt;&gt;"",'RAW DATA'!$E225,"")))</f>
        <v/>
      </c>
      <c r="E225" s="4" t="str">
        <f>IF($D224="TOTAL:",FIXED(ROUND(((SUM($E$4:$E223)/'RAW DATA'!$E$2)*100),1),1)&amp;"%",IF($D225="TOTAL:",SUM($E$4:$E224),IF(SUMIF('RAW DATA'!M:M,'RAW DATA'!B225,'RAW DATA'!H:H)=0,"",SUMIF('RAW DATA'!M:M,'RAW DATA'!B225,'RAW DATA'!H:H))))</f>
        <v/>
      </c>
      <c r="F225" s="4" t="str">
        <f>IF($D224="TOTAL:",FIXED(ROUND(((SUM($F$4:$F223)/'RAW DATA'!$E$2)*100),1),1)&amp;"%",IF($D225="TOTAL:",SUM($F$4:$F224),IF(SUMIF('RAW DATA'!M:M,'RAW DATA'!B225,'RAW DATA'!I:I)=0,"",SUMIF('RAW DATA'!M:M,'RAW DATA'!B225,'RAW DATA'!I:I))))</f>
        <v/>
      </c>
      <c r="G225" s="24" t="str">
        <f t="shared" si="3"/>
        <v/>
      </c>
    </row>
    <row r="226" spans="2:7" x14ac:dyDescent="0.25">
      <c r="B226" s="1" t="str">
        <f>IF('RAW DATA'!$C228&lt;&gt;"",'RAW DATA'!$C228,"")</f>
        <v/>
      </c>
      <c r="C226" s="1" t="str">
        <f>IF('RAW DATA'!$D228&lt;&gt;"",'RAW DATA'!$D228,"")</f>
        <v/>
      </c>
      <c r="D226" s="1" t="str">
        <f>IF(AND($B225&lt;&gt;"", $B226=""), "TOTAL:", IF($D225="TOTAL:","VESSEL TARGET "&amp;'RAW DATA'!$E$2&amp;":",IF('RAW DATA'!$E226&lt;&gt;"",'RAW DATA'!$E226,"")))</f>
        <v/>
      </c>
      <c r="E226" s="4" t="str">
        <f>IF($D225="TOTAL:",FIXED(ROUND(((SUM($E$4:$E224)/'RAW DATA'!$E$2)*100),1),1)&amp;"%",IF($D226="TOTAL:",SUM($E$4:$E225),IF(SUMIF('RAW DATA'!M:M,'RAW DATA'!B226,'RAW DATA'!H:H)=0,"",SUMIF('RAW DATA'!M:M,'RAW DATA'!B226,'RAW DATA'!H:H))))</f>
        <v/>
      </c>
      <c r="F226" s="4" t="str">
        <f>IF($D225="TOTAL:",FIXED(ROUND(((SUM($F$4:$F224)/'RAW DATA'!$E$2)*100),1),1)&amp;"%",IF($D226="TOTAL:",SUM($F$4:$F225),IF(SUMIF('RAW DATA'!M:M,'RAW DATA'!B226,'RAW DATA'!I:I)=0,"",SUMIF('RAW DATA'!M:M,'RAW DATA'!B226,'RAW DATA'!I:I))))</f>
        <v/>
      </c>
      <c r="G226" s="24" t="str">
        <f t="shared" si="3"/>
        <v/>
      </c>
    </row>
    <row r="227" spans="2:7" x14ac:dyDescent="0.25">
      <c r="B227" s="1" t="str">
        <f>IF('RAW DATA'!$C229&lt;&gt;"",'RAW DATA'!$C229,"")</f>
        <v/>
      </c>
      <c r="C227" s="1" t="str">
        <f>IF('RAW DATA'!$D229&lt;&gt;"",'RAW DATA'!$D229,"")</f>
        <v/>
      </c>
      <c r="D227" s="1" t="str">
        <f>IF(AND($B226&lt;&gt;"", $B227=""), "TOTAL:", IF($D226="TOTAL:","VESSEL TARGET "&amp;'RAW DATA'!$E$2&amp;":",IF('RAW DATA'!$E227&lt;&gt;"",'RAW DATA'!$E227,"")))</f>
        <v/>
      </c>
      <c r="E227" s="4" t="str">
        <f>IF($D226="TOTAL:",FIXED(ROUND(((SUM($E$4:$E225)/'RAW DATA'!$E$2)*100),1),1)&amp;"%",IF($D227="TOTAL:",SUM($E$4:$E226),IF(SUMIF('RAW DATA'!M:M,'RAW DATA'!B227,'RAW DATA'!H:H)=0,"",SUMIF('RAW DATA'!M:M,'RAW DATA'!B227,'RAW DATA'!H:H))))</f>
        <v/>
      </c>
      <c r="F227" s="4" t="str">
        <f>IF($D226="TOTAL:",FIXED(ROUND(((SUM($F$4:$F225)/'RAW DATA'!$E$2)*100),1),1)&amp;"%",IF($D227="TOTAL:",SUM($F$4:$F226),IF(SUMIF('RAW DATA'!M:M,'RAW DATA'!B227,'RAW DATA'!I:I)=0,"",SUMIF('RAW DATA'!M:M,'RAW DATA'!B227,'RAW DATA'!I:I))))</f>
        <v/>
      </c>
      <c r="G227" s="24" t="str">
        <f t="shared" si="3"/>
        <v/>
      </c>
    </row>
    <row r="228" spans="2:7" x14ac:dyDescent="0.25">
      <c r="B228" s="1" t="str">
        <f>IF('RAW DATA'!$C230&lt;&gt;"",'RAW DATA'!$C230,"")</f>
        <v/>
      </c>
      <c r="C228" s="1" t="str">
        <f>IF('RAW DATA'!$D230&lt;&gt;"",'RAW DATA'!$D230,"")</f>
        <v/>
      </c>
      <c r="D228" s="1" t="str">
        <f>IF(AND($B227&lt;&gt;"", $B228=""), "TOTAL:", IF($D227="TOTAL:","VESSEL TARGET "&amp;'RAW DATA'!$E$2&amp;":",IF('RAW DATA'!$E228&lt;&gt;"",'RAW DATA'!$E228,"")))</f>
        <v/>
      </c>
      <c r="E228" s="4" t="str">
        <f>IF($D227="TOTAL:",FIXED(ROUND(((SUM($E$4:$E226)/'RAW DATA'!$E$2)*100),1),1)&amp;"%",IF($D228="TOTAL:",SUM($E$4:$E227),IF(SUMIF('RAW DATA'!M:M,'RAW DATA'!B228,'RAW DATA'!H:H)=0,"",SUMIF('RAW DATA'!M:M,'RAW DATA'!B228,'RAW DATA'!H:H))))</f>
        <v/>
      </c>
      <c r="F228" s="4" t="str">
        <f>IF($D227="TOTAL:",FIXED(ROUND(((SUM($F$4:$F226)/'RAW DATA'!$E$2)*100),1),1)&amp;"%",IF($D228="TOTAL:",SUM($F$4:$F227),IF(SUMIF('RAW DATA'!M:M,'RAW DATA'!B228,'RAW DATA'!I:I)=0,"",SUMIF('RAW DATA'!M:M,'RAW DATA'!B228,'RAW DATA'!I:I))))</f>
        <v/>
      </c>
      <c r="G228" s="24" t="str">
        <f t="shared" si="3"/>
        <v/>
      </c>
    </row>
    <row r="229" spans="2:7" x14ac:dyDescent="0.25">
      <c r="B229" s="1" t="str">
        <f>IF('RAW DATA'!$C231&lt;&gt;"",'RAW DATA'!$C231,"")</f>
        <v/>
      </c>
      <c r="C229" s="1" t="str">
        <f>IF('RAW DATA'!$D231&lt;&gt;"",'RAW DATA'!$D231,"")</f>
        <v/>
      </c>
      <c r="D229" s="1" t="str">
        <f>IF(AND($B228&lt;&gt;"", $B229=""), "TOTAL:", IF($D228="TOTAL:","VESSEL TARGET "&amp;'RAW DATA'!$E$2&amp;":",IF('RAW DATA'!$E229&lt;&gt;"",'RAW DATA'!$E229,"")))</f>
        <v/>
      </c>
      <c r="E229" s="4" t="str">
        <f>IF($D228="TOTAL:",FIXED(ROUND(((SUM($E$4:$E227)/'RAW DATA'!$E$2)*100),1),1)&amp;"%",IF($D229="TOTAL:",SUM($E$4:$E228),IF(SUMIF('RAW DATA'!M:M,'RAW DATA'!B229,'RAW DATA'!H:H)=0,"",SUMIF('RAW DATA'!M:M,'RAW DATA'!B229,'RAW DATA'!H:H))))</f>
        <v/>
      </c>
      <c r="F229" s="4" t="str">
        <f>IF($D228="TOTAL:",FIXED(ROUND(((SUM($F$4:$F227)/'RAW DATA'!$E$2)*100),1),1)&amp;"%",IF($D229="TOTAL:",SUM($F$4:$F228),IF(SUMIF('RAW DATA'!M:M,'RAW DATA'!B229,'RAW DATA'!I:I)=0,"",SUMIF('RAW DATA'!M:M,'RAW DATA'!B229,'RAW DATA'!I:I))))</f>
        <v/>
      </c>
      <c r="G229" s="24" t="str">
        <f t="shared" si="3"/>
        <v/>
      </c>
    </row>
    <row r="230" spans="2:7" x14ac:dyDescent="0.25">
      <c r="B230" s="1" t="str">
        <f>IF('RAW DATA'!$C232&lt;&gt;"",'RAW DATA'!$C232,"")</f>
        <v/>
      </c>
      <c r="C230" s="1" t="str">
        <f>IF('RAW DATA'!$D232&lt;&gt;"",'RAW DATA'!$D232,"")</f>
        <v/>
      </c>
      <c r="D230" s="1" t="str">
        <f>IF(AND($B229&lt;&gt;"", $B230=""), "TOTAL:", IF($D229="TOTAL:","VESSEL TARGET "&amp;'RAW DATA'!$E$2&amp;":",IF('RAW DATA'!$E230&lt;&gt;"",'RAW DATA'!$E230,"")))</f>
        <v/>
      </c>
      <c r="E230" s="4" t="str">
        <f>IF($D229="TOTAL:",FIXED(ROUND(((SUM($E$4:$E228)/'RAW DATA'!$E$2)*100),1),1)&amp;"%",IF($D230="TOTAL:",SUM($E$4:$E229),IF(SUMIF('RAW DATA'!M:M,'RAW DATA'!B230,'RAW DATA'!H:H)=0,"",SUMIF('RAW DATA'!M:M,'RAW DATA'!B230,'RAW DATA'!H:H))))</f>
        <v/>
      </c>
      <c r="F230" s="4" t="str">
        <f>IF($D229="TOTAL:",FIXED(ROUND(((SUM($F$4:$F228)/'RAW DATA'!$E$2)*100),1),1)&amp;"%",IF($D230="TOTAL:",SUM($F$4:$F229),IF(SUMIF('RAW DATA'!M:M,'RAW DATA'!B230,'RAW DATA'!I:I)=0,"",SUMIF('RAW DATA'!M:M,'RAW DATA'!B230,'RAW DATA'!I:I))))</f>
        <v/>
      </c>
      <c r="G230" s="24" t="str">
        <f t="shared" si="3"/>
        <v/>
      </c>
    </row>
    <row r="231" spans="2:7" x14ac:dyDescent="0.25">
      <c r="B231" s="1" t="str">
        <f>IF('RAW DATA'!$C233&lt;&gt;"",'RAW DATA'!$C233,"")</f>
        <v/>
      </c>
      <c r="C231" s="1" t="str">
        <f>IF('RAW DATA'!$D233&lt;&gt;"",'RAW DATA'!$D233,"")</f>
        <v/>
      </c>
      <c r="D231" s="1" t="str">
        <f>IF(AND($B230&lt;&gt;"", $B231=""), "TOTAL:", IF($D230="TOTAL:","VESSEL TARGET "&amp;'RAW DATA'!$E$2&amp;":",IF('RAW DATA'!$E231&lt;&gt;"",'RAW DATA'!$E231,"")))</f>
        <v/>
      </c>
      <c r="E231" s="4" t="str">
        <f>IF($D230="TOTAL:",FIXED(ROUND(((SUM($E$4:$E229)/'RAW DATA'!$E$2)*100),1),1)&amp;"%",IF($D231="TOTAL:",SUM($E$4:$E230),IF(SUMIF('RAW DATA'!M:M,'RAW DATA'!B231,'RAW DATA'!H:H)=0,"",SUMIF('RAW DATA'!M:M,'RAW DATA'!B231,'RAW DATA'!H:H))))</f>
        <v/>
      </c>
      <c r="F231" s="4" t="str">
        <f>IF($D230="TOTAL:",FIXED(ROUND(((SUM($F$4:$F229)/'RAW DATA'!$E$2)*100),1),1)&amp;"%",IF($D231="TOTAL:",SUM($F$4:$F230),IF(SUMIF('RAW DATA'!M:M,'RAW DATA'!B231,'RAW DATA'!I:I)=0,"",SUMIF('RAW DATA'!M:M,'RAW DATA'!B231,'RAW DATA'!I:I))))</f>
        <v/>
      </c>
      <c r="G231" s="24" t="str">
        <f t="shared" si="3"/>
        <v/>
      </c>
    </row>
    <row r="232" spans="2:7" x14ac:dyDescent="0.25">
      <c r="B232" s="1" t="str">
        <f>IF('RAW DATA'!$C234&lt;&gt;"",'RAW DATA'!$C234,"")</f>
        <v/>
      </c>
      <c r="C232" s="1" t="str">
        <f>IF('RAW DATA'!$D234&lt;&gt;"",'RAW DATA'!$D234,"")</f>
        <v/>
      </c>
      <c r="D232" s="1" t="str">
        <f>IF(AND($B231&lt;&gt;"", $B232=""), "TOTAL:", IF($D231="TOTAL:","VESSEL TARGET "&amp;'RAW DATA'!$E$2&amp;":",IF('RAW DATA'!$E232&lt;&gt;"",'RAW DATA'!$E232,"")))</f>
        <v/>
      </c>
      <c r="E232" s="4" t="str">
        <f>IF($D231="TOTAL:",FIXED(ROUND(((SUM($E$4:$E230)/'RAW DATA'!$E$2)*100),1),1)&amp;"%",IF($D232="TOTAL:",SUM($E$4:$E231),IF(SUMIF('RAW DATA'!M:M,'RAW DATA'!B232,'RAW DATA'!H:H)=0,"",SUMIF('RAW DATA'!M:M,'RAW DATA'!B232,'RAW DATA'!H:H))))</f>
        <v/>
      </c>
      <c r="F232" s="4" t="str">
        <f>IF($D231="TOTAL:",FIXED(ROUND(((SUM($F$4:$F230)/'RAW DATA'!$E$2)*100),1),1)&amp;"%",IF($D232="TOTAL:",SUM($F$4:$F231),IF(SUMIF('RAW DATA'!M:M,'RAW DATA'!B232,'RAW DATA'!I:I)=0,"",SUMIF('RAW DATA'!M:M,'RAW DATA'!B232,'RAW DATA'!I:I))))</f>
        <v/>
      </c>
      <c r="G232" s="24" t="str">
        <f t="shared" si="3"/>
        <v/>
      </c>
    </row>
    <row r="233" spans="2:7" x14ac:dyDescent="0.25">
      <c r="B233" s="1" t="str">
        <f>IF('RAW DATA'!$C235&lt;&gt;"",'RAW DATA'!$C235,"")</f>
        <v/>
      </c>
      <c r="C233" s="1" t="str">
        <f>IF('RAW DATA'!$D235&lt;&gt;"",'RAW DATA'!$D235,"")</f>
        <v/>
      </c>
      <c r="D233" s="1" t="str">
        <f>IF(AND($B232&lt;&gt;"", $B233=""), "TOTAL:", IF($D232="TOTAL:","VESSEL TARGET "&amp;'RAW DATA'!$E$2&amp;":",IF('RAW DATA'!$E233&lt;&gt;"",'RAW DATA'!$E233,"")))</f>
        <v/>
      </c>
      <c r="E233" s="4" t="str">
        <f>IF($D232="TOTAL:",FIXED(ROUND(((SUM($E$4:$E231)/'RAW DATA'!$E$2)*100),1),1)&amp;"%",IF($D233="TOTAL:",SUM($E$4:$E232),IF(SUMIF('RAW DATA'!M:M,'RAW DATA'!B233,'RAW DATA'!H:H)=0,"",SUMIF('RAW DATA'!M:M,'RAW DATA'!B233,'RAW DATA'!H:H))))</f>
        <v/>
      </c>
      <c r="F233" s="4" t="str">
        <f>IF($D232="TOTAL:",FIXED(ROUND(((SUM($F$4:$F231)/'RAW DATA'!$E$2)*100),1),1)&amp;"%",IF($D233="TOTAL:",SUM($F$4:$F232),IF(SUMIF('RAW DATA'!M:M,'RAW DATA'!B233,'RAW DATA'!I:I)=0,"",SUMIF('RAW DATA'!M:M,'RAW DATA'!B233,'RAW DATA'!I:I))))</f>
        <v/>
      </c>
      <c r="G233" s="24" t="str">
        <f t="shared" si="3"/>
        <v/>
      </c>
    </row>
    <row r="234" spans="2:7" x14ac:dyDescent="0.25">
      <c r="B234" s="1" t="str">
        <f>IF('RAW DATA'!$C236&lt;&gt;"",'RAW DATA'!$C236,"")</f>
        <v/>
      </c>
      <c r="C234" s="1" t="str">
        <f>IF('RAW DATA'!$D236&lt;&gt;"",'RAW DATA'!$D236,"")</f>
        <v/>
      </c>
      <c r="D234" s="1" t="str">
        <f>IF(AND($B233&lt;&gt;"", $B234=""), "TOTAL:", IF($D233="TOTAL:","VESSEL TARGET "&amp;'RAW DATA'!$E$2&amp;":",IF('RAW DATA'!$E234&lt;&gt;"",'RAW DATA'!$E234,"")))</f>
        <v/>
      </c>
      <c r="E234" s="4" t="str">
        <f>IF($D233="TOTAL:",FIXED(ROUND(((SUM($E$4:$E232)/'RAW DATA'!$E$2)*100),1),1)&amp;"%",IF($D234="TOTAL:",SUM($E$4:$E233),IF(SUMIF('RAW DATA'!M:M,'RAW DATA'!B234,'RAW DATA'!H:H)=0,"",SUMIF('RAW DATA'!M:M,'RAW DATA'!B234,'RAW DATA'!H:H))))</f>
        <v/>
      </c>
      <c r="F234" s="4" t="str">
        <f>IF($D233="TOTAL:",FIXED(ROUND(((SUM($F$4:$F232)/'RAW DATA'!$E$2)*100),1),1)&amp;"%",IF($D234="TOTAL:",SUM($F$4:$F233),IF(SUMIF('RAW DATA'!M:M,'RAW DATA'!B234,'RAW DATA'!I:I)=0,"",SUMIF('RAW DATA'!M:M,'RAW DATA'!B234,'RAW DATA'!I:I))))</f>
        <v/>
      </c>
      <c r="G234" s="24" t="str">
        <f t="shared" si="3"/>
        <v/>
      </c>
    </row>
    <row r="235" spans="2:7" x14ac:dyDescent="0.25">
      <c r="B235" s="1" t="str">
        <f>IF('RAW DATA'!$C237&lt;&gt;"",'RAW DATA'!$C237,"")</f>
        <v/>
      </c>
      <c r="C235" s="1" t="str">
        <f>IF('RAW DATA'!$D237&lt;&gt;"",'RAW DATA'!$D237,"")</f>
        <v/>
      </c>
      <c r="D235" s="1" t="str">
        <f>IF(AND($B234&lt;&gt;"", $B235=""), "TOTAL:", IF($D234="TOTAL:","VESSEL TARGET "&amp;'RAW DATA'!$E$2&amp;":",IF('RAW DATA'!$E235&lt;&gt;"",'RAW DATA'!$E235,"")))</f>
        <v/>
      </c>
      <c r="E235" s="4" t="str">
        <f>IF($D234="TOTAL:",FIXED(ROUND(((SUM($E$4:$E233)/'RAW DATA'!$E$2)*100),1),1)&amp;"%",IF($D235="TOTAL:",SUM($E$4:$E234),IF(SUMIF('RAW DATA'!M:M,'RAW DATA'!B235,'RAW DATA'!H:H)=0,"",SUMIF('RAW DATA'!M:M,'RAW DATA'!B235,'RAW DATA'!H:H))))</f>
        <v/>
      </c>
      <c r="F235" s="4" t="str">
        <f>IF($D234="TOTAL:",FIXED(ROUND(((SUM($F$4:$F233)/'RAW DATA'!$E$2)*100),1),1)&amp;"%",IF($D235="TOTAL:",SUM($F$4:$F234),IF(SUMIF('RAW DATA'!M:M,'RAW DATA'!B235,'RAW DATA'!I:I)=0,"",SUMIF('RAW DATA'!M:M,'RAW DATA'!B235,'RAW DATA'!I:I))))</f>
        <v/>
      </c>
      <c r="G235" s="24" t="str">
        <f t="shared" si="3"/>
        <v/>
      </c>
    </row>
    <row r="236" spans="2:7" x14ac:dyDescent="0.25">
      <c r="B236" s="1" t="str">
        <f>IF('RAW DATA'!$C238&lt;&gt;"",'RAW DATA'!$C238,"")</f>
        <v/>
      </c>
      <c r="C236" s="1" t="str">
        <f>IF('RAW DATA'!$D238&lt;&gt;"",'RAW DATA'!$D238,"")</f>
        <v/>
      </c>
      <c r="D236" s="1" t="str">
        <f>IF(AND($B235&lt;&gt;"", $B236=""), "TOTAL:", IF($D235="TOTAL:","VESSEL TARGET "&amp;'RAW DATA'!$E$2&amp;":",IF('RAW DATA'!$E236&lt;&gt;"",'RAW DATA'!$E236,"")))</f>
        <v/>
      </c>
      <c r="E236" s="4" t="str">
        <f>IF($D235="TOTAL:",FIXED(ROUND(((SUM($E$4:$E234)/'RAW DATA'!$E$2)*100),1),1)&amp;"%",IF($D236="TOTAL:",SUM($E$4:$E235),IF(SUMIF('RAW DATA'!M:M,'RAW DATA'!B236,'RAW DATA'!H:H)=0,"",SUMIF('RAW DATA'!M:M,'RAW DATA'!B236,'RAW DATA'!H:H))))</f>
        <v/>
      </c>
      <c r="F236" s="4" t="str">
        <f>IF($D235="TOTAL:",FIXED(ROUND(((SUM($F$4:$F234)/'RAW DATA'!$E$2)*100),1),1)&amp;"%",IF($D236="TOTAL:",SUM($F$4:$F235),IF(SUMIF('RAW DATA'!M:M,'RAW DATA'!B236,'RAW DATA'!I:I)=0,"",SUMIF('RAW DATA'!M:M,'RAW DATA'!B236,'RAW DATA'!I:I))))</f>
        <v/>
      </c>
      <c r="G236" s="24" t="str">
        <f t="shared" si="3"/>
        <v/>
      </c>
    </row>
    <row r="237" spans="2:7" x14ac:dyDescent="0.25">
      <c r="B237" s="1" t="str">
        <f>IF('RAW DATA'!$C239&lt;&gt;"",'RAW DATA'!$C239,"")</f>
        <v/>
      </c>
      <c r="C237" s="1" t="str">
        <f>IF('RAW DATA'!$D239&lt;&gt;"",'RAW DATA'!$D239,"")</f>
        <v/>
      </c>
      <c r="D237" s="1" t="str">
        <f>IF(AND($B236&lt;&gt;"", $B237=""), "TOTAL:", IF($D236="TOTAL:","VESSEL TARGET "&amp;'RAW DATA'!$E$2&amp;":",IF('RAW DATA'!$E237&lt;&gt;"",'RAW DATA'!$E237,"")))</f>
        <v/>
      </c>
      <c r="E237" s="4" t="str">
        <f>IF($D236="TOTAL:",FIXED(ROUND(((SUM($E$4:$E235)/'RAW DATA'!$E$2)*100),1),1)&amp;"%",IF($D237="TOTAL:",SUM($E$4:$E236),IF(SUMIF('RAW DATA'!M:M,'RAW DATA'!B237,'RAW DATA'!H:H)=0,"",SUMIF('RAW DATA'!M:M,'RAW DATA'!B237,'RAW DATA'!H:H))))</f>
        <v/>
      </c>
      <c r="F237" s="4" t="str">
        <f>IF($D236="TOTAL:",FIXED(ROUND(((SUM($F$4:$F235)/'RAW DATA'!$E$2)*100),1),1)&amp;"%",IF($D237="TOTAL:",SUM($F$4:$F236),IF(SUMIF('RAW DATA'!M:M,'RAW DATA'!B237,'RAW DATA'!I:I)=0,"",SUMIF('RAW DATA'!M:M,'RAW DATA'!B237,'RAW DATA'!I:I))))</f>
        <v/>
      </c>
      <c r="G237" s="24" t="str">
        <f t="shared" si="3"/>
        <v/>
      </c>
    </row>
    <row r="238" spans="2:7" x14ac:dyDescent="0.25">
      <c r="B238" s="1" t="str">
        <f>IF('RAW DATA'!$C240&lt;&gt;"",'RAW DATA'!$C240,"")</f>
        <v/>
      </c>
      <c r="C238" s="1" t="str">
        <f>IF('RAW DATA'!$D240&lt;&gt;"",'RAW DATA'!$D240,"")</f>
        <v/>
      </c>
      <c r="D238" s="1" t="str">
        <f>IF(AND($B237&lt;&gt;"", $B238=""), "TOTAL:", IF($D237="TOTAL:","VESSEL TARGET "&amp;'RAW DATA'!$E$2&amp;":",IF('RAW DATA'!$E238&lt;&gt;"",'RAW DATA'!$E238,"")))</f>
        <v/>
      </c>
      <c r="E238" s="4" t="str">
        <f>IF($D237="TOTAL:",FIXED(ROUND(((SUM($E$4:$E236)/'RAW DATA'!$E$2)*100),1),1)&amp;"%",IF($D238="TOTAL:",SUM($E$4:$E237),IF(SUMIF('RAW DATA'!M:M,'RAW DATA'!B238,'RAW DATA'!H:H)=0,"",SUMIF('RAW DATA'!M:M,'RAW DATA'!B238,'RAW DATA'!H:H))))</f>
        <v/>
      </c>
      <c r="F238" s="4" t="str">
        <f>IF($D237="TOTAL:",FIXED(ROUND(((SUM($F$4:$F236)/'RAW DATA'!$E$2)*100),1),1)&amp;"%",IF($D238="TOTAL:",SUM($F$4:$F237),IF(SUMIF('RAW DATA'!M:M,'RAW DATA'!B238,'RAW DATA'!I:I)=0,"",SUMIF('RAW DATA'!M:M,'RAW DATA'!B238,'RAW DATA'!I:I))))</f>
        <v/>
      </c>
      <c r="G238" s="24" t="str">
        <f t="shared" si="3"/>
        <v/>
      </c>
    </row>
    <row r="239" spans="2:7" x14ac:dyDescent="0.25">
      <c r="B239" s="1" t="str">
        <f>IF('RAW DATA'!$C241&lt;&gt;"",'RAW DATA'!$C241,"")</f>
        <v/>
      </c>
      <c r="C239" s="1" t="str">
        <f>IF('RAW DATA'!$D241&lt;&gt;"",'RAW DATA'!$D241,"")</f>
        <v/>
      </c>
      <c r="D239" s="1" t="str">
        <f>IF(AND($B238&lt;&gt;"", $B239=""), "TOTAL:", IF($D238="TOTAL:","VESSEL TARGET "&amp;'RAW DATA'!$E$2&amp;":",IF('RAW DATA'!$E239&lt;&gt;"",'RAW DATA'!$E239,"")))</f>
        <v/>
      </c>
      <c r="E239" s="4" t="str">
        <f>IF($D238="TOTAL:",FIXED(ROUND(((SUM($E$4:$E237)/'RAW DATA'!$E$2)*100),1),1)&amp;"%",IF($D239="TOTAL:",SUM($E$4:$E238),IF(SUMIF('RAW DATA'!M:M,'RAW DATA'!B239,'RAW DATA'!H:H)=0,"",SUMIF('RAW DATA'!M:M,'RAW DATA'!B239,'RAW DATA'!H:H))))</f>
        <v/>
      </c>
      <c r="F239" s="4" t="str">
        <f>IF($D238="TOTAL:",FIXED(ROUND(((SUM($F$4:$F237)/'RAW DATA'!$E$2)*100),1),1)&amp;"%",IF($D239="TOTAL:",SUM($F$4:$F238),IF(SUMIF('RAW DATA'!M:M,'RAW DATA'!B239,'RAW DATA'!I:I)=0,"",SUMIF('RAW DATA'!M:M,'RAW DATA'!B239,'RAW DATA'!I:I))))</f>
        <v/>
      </c>
      <c r="G239" s="24" t="str">
        <f t="shared" si="3"/>
        <v/>
      </c>
    </row>
    <row r="240" spans="2:7" x14ac:dyDescent="0.25">
      <c r="B240" s="1" t="str">
        <f>IF('RAW DATA'!$C242&lt;&gt;"",'RAW DATA'!$C242,"")</f>
        <v/>
      </c>
      <c r="C240" s="1" t="str">
        <f>IF('RAW DATA'!$D242&lt;&gt;"",'RAW DATA'!$D242,"")</f>
        <v/>
      </c>
      <c r="D240" s="1" t="str">
        <f>IF(AND($B239&lt;&gt;"", $B240=""), "TOTAL:", IF($D239="TOTAL:","VESSEL TARGET "&amp;'RAW DATA'!$E$2&amp;":",IF('RAW DATA'!$E240&lt;&gt;"",'RAW DATA'!$E240,"")))</f>
        <v/>
      </c>
      <c r="E240" s="4" t="str">
        <f>IF($D239="TOTAL:",FIXED(ROUND(((SUM($E$4:$E238)/'RAW DATA'!$E$2)*100),1),1)&amp;"%",IF($D240="TOTAL:",SUM($E$4:$E239),IF(SUMIF('RAW DATA'!M:M,'RAW DATA'!B240,'RAW DATA'!H:H)=0,"",SUMIF('RAW DATA'!M:M,'RAW DATA'!B240,'RAW DATA'!H:H))))</f>
        <v/>
      </c>
      <c r="F240" s="4" t="str">
        <f>IF($D239="TOTAL:",FIXED(ROUND(((SUM($F$4:$F238)/'RAW DATA'!$E$2)*100),1),1)&amp;"%",IF($D240="TOTAL:",SUM($F$4:$F239),IF(SUMIF('RAW DATA'!M:M,'RAW DATA'!B240,'RAW DATA'!I:I)=0,"",SUMIF('RAW DATA'!M:M,'RAW DATA'!B240,'RAW DATA'!I:I))))</f>
        <v/>
      </c>
      <c r="G240" s="24" t="str">
        <f t="shared" si="3"/>
        <v/>
      </c>
    </row>
    <row r="241" spans="2:7" x14ac:dyDescent="0.25">
      <c r="B241" s="1" t="str">
        <f>IF('RAW DATA'!$C243&lt;&gt;"",'RAW DATA'!$C243,"")</f>
        <v/>
      </c>
      <c r="C241" s="1" t="str">
        <f>IF('RAW DATA'!$D243&lt;&gt;"",'RAW DATA'!$D243,"")</f>
        <v/>
      </c>
      <c r="D241" s="1" t="str">
        <f>IF(AND($B240&lt;&gt;"", $B241=""), "TOTAL:", IF($D240="TOTAL:","VESSEL TARGET "&amp;'RAW DATA'!$E$2&amp;":",IF('RAW DATA'!$E241&lt;&gt;"",'RAW DATA'!$E241,"")))</f>
        <v/>
      </c>
      <c r="E241" s="4" t="str">
        <f>IF($D240="TOTAL:",FIXED(ROUND(((SUM($E$4:$E239)/'RAW DATA'!$E$2)*100),1),1)&amp;"%",IF($D241="TOTAL:",SUM($E$4:$E240),IF(SUMIF('RAW DATA'!M:M,'RAW DATA'!B241,'RAW DATA'!H:H)=0,"",SUMIF('RAW DATA'!M:M,'RAW DATA'!B241,'RAW DATA'!H:H))))</f>
        <v/>
      </c>
      <c r="F241" s="4" t="str">
        <f>IF($D240="TOTAL:",FIXED(ROUND(((SUM($F$4:$F239)/'RAW DATA'!$E$2)*100),1),1)&amp;"%",IF($D241="TOTAL:",SUM($F$4:$F240),IF(SUMIF('RAW DATA'!M:M,'RAW DATA'!B241,'RAW DATA'!I:I)=0,"",SUMIF('RAW DATA'!M:M,'RAW DATA'!B241,'RAW DATA'!I:I))))</f>
        <v/>
      </c>
      <c r="G241" s="24" t="str">
        <f t="shared" si="3"/>
        <v/>
      </c>
    </row>
    <row r="242" spans="2:7" x14ac:dyDescent="0.25">
      <c r="B242" s="1" t="str">
        <f>IF('RAW DATA'!$C244&lt;&gt;"",'RAW DATA'!$C244,"")</f>
        <v/>
      </c>
      <c r="C242" s="1" t="str">
        <f>IF('RAW DATA'!$D244&lt;&gt;"",'RAW DATA'!$D244,"")</f>
        <v/>
      </c>
      <c r="D242" s="1" t="str">
        <f>IF(AND($B241&lt;&gt;"", $B242=""), "TOTAL:", IF($D241="TOTAL:","VESSEL TARGET "&amp;'RAW DATA'!$E$2&amp;":",IF('RAW DATA'!$E242&lt;&gt;"",'RAW DATA'!$E242,"")))</f>
        <v/>
      </c>
      <c r="E242" s="4" t="str">
        <f>IF($D241="TOTAL:",FIXED(ROUND(((SUM($E$4:$E240)/'RAW DATA'!$E$2)*100),1),1)&amp;"%",IF($D242="TOTAL:",SUM($E$4:$E241),IF(SUMIF('RAW DATA'!M:M,'RAW DATA'!B242,'RAW DATA'!H:H)=0,"",SUMIF('RAW DATA'!M:M,'RAW DATA'!B242,'RAW DATA'!H:H))))</f>
        <v/>
      </c>
      <c r="F242" s="4" t="str">
        <f>IF($D241="TOTAL:",FIXED(ROUND(((SUM($F$4:$F240)/'RAW DATA'!$E$2)*100),1),1)&amp;"%",IF($D242="TOTAL:",SUM($F$4:$F241),IF(SUMIF('RAW DATA'!M:M,'RAW DATA'!B242,'RAW DATA'!I:I)=0,"",SUMIF('RAW DATA'!M:M,'RAW DATA'!B242,'RAW DATA'!I:I))))</f>
        <v/>
      </c>
      <c r="G242" s="24" t="str">
        <f t="shared" si="3"/>
        <v/>
      </c>
    </row>
    <row r="243" spans="2:7" x14ac:dyDescent="0.25">
      <c r="B243" s="1" t="str">
        <f>IF('RAW DATA'!$C245&lt;&gt;"",'RAW DATA'!$C245,"")</f>
        <v/>
      </c>
      <c r="C243" s="1" t="str">
        <f>IF('RAW DATA'!$D245&lt;&gt;"",'RAW DATA'!$D245,"")</f>
        <v/>
      </c>
      <c r="D243" s="1" t="str">
        <f>IF(AND($B242&lt;&gt;"", $B243=""), "TOTAL:", IF($D242="TOTAL:","VESSEL TARGET "&amp;'RAW DATA'!$E$2&amp;":",IF('RAW DATA'!$E243&lt;&gt;"",'RAW DATA'!$E243,"")))</f>
        <v/>
      </c>
      <c r="E243" s="4" t="str">
        <f>IF($D242="TOTAL:",FIXED(ROUND(((SUM($E$4:$E241)/'RAW DATA'!$E$2)*100),1),1)&amp;"%",IF($D243="TOTAL:",SUM($E$4:$E242),IF(SUMIF('RAW DATA'!M:M,'RAW DATA'!B243,'RAW DATA'!H:H)=0,"",SUMIF('RAW DATA'!M:M,'RAW DATA'!B243,'RAW DATA'!H:H))))</f>
        <v/>
      </c>
      <c r="F243" s="4" t="str">
        <f>IF($D242="TOTAL:",FIXED(ROUND(((SUM($F$4:$F241)/'RAW DATA'!$E$2)*100),1),1)&amp;"%",IF($D243="TOTAL:",SUM($F$4:$F242),IF(SUMIF('RAW DATA'!M:M,'RAW DATA'!B243,'RAW DATA'!I:I)=0,"",SUMIF('RAW DATA'!M:M,'RAW DATA'!B243,'RAW DATA'!I:I))))</f>
        <v/>
      </c>
      <c r="G243" s="24" t="str">
        <f t="shared" si="3"/>
        <v/>
      </c>
    </row>
    <row r="244" spans="2:7" x14ac:dyDescent="0.25">
      <c r="B244" s="1" t="str">
        <f>IF('RAW DATA'!$C246&lt;&gt;"",'RAW DATA'!$C246,"")</f>
        <v/>
      </c>
      <c r="C244" s="1" t="str">
        <f>IF('RAW DATA'!$D246&lt;&gt;"",'RAW DATA'!$D246,"")</f>
        <v/>
      </c>
      <c r="D244" s="1" t="str">
        <f>IF(AND($B243&lt;&gt;"", $B244=""), "TOTAL:", IF($D243="TOTAL:","VESSEL TARGET "&amp;'RAW DATA'!$E$2&amp;":",IF('RAW DATA'!$E244&lt;&gt;"",'RAW DATA'!$E244,"")))</f>
        <v/>
      </c>
      <c r="E244" s="4" t="str">
        <f>IF($D243="TOTAL:",FIXED(ROUND(((SUM($E$4:$E242)/'RAW DATA'!$E$2)*100),1),1)&amp;"%",IF($D244="TOTAL:",SUM($E$4:$E243),IF(SUMIF('RAW DATA'!M:M,'RAW DATA'!B244,'RAW DATA'!H:H)=0,"",SUMIF('RAW DATA'!M:M,'RAW DATA'!B244,'RAW DATA'!H:H))))</f>
        <v/>
      </c>
      <c r="F244" s="4" t="str">
        <f>IF($D243="TOTAL:",FIXED(ROUND(((SUM($F$4:$F242)/'RAW DATA'!$E$2)*100),1),1)&amp;"%",IF($D244="TOTAL:",SUM($F$4:$F243),IF(SUMIF('RAW DATA'!M:M,'RAW DATA'!B244,'RAW DATA'!I:I)=0,"",SUMIF('RAW DATA'!M:M,'RAW DATA'!B244,'RAW DATA'!I:I))))</f>
        <v/>
      </c>
      <c r="G244" s="24" t="str">
        <f t="shared" si="3"/>
        <v/>
      </c>
    </row>
    <row r="245" spans="2:7" x14ac:dyDescent="0.25">
      <c r="B245" s="1" t="str">
        <f>IF('RAW DATA'!$C247&lt;&gt;"",'RAW DATA'!$C247,"")</f>
        <v/>
      </c>
      <c r="C245" s="1" t="str">
        <f>IF('RAW DATA'!$D247&lt;&gt;"",'RAW DATA'!$D247,"")</f>
        <v/>
      </c>
      <c r="D245" s="1" t="str">
        <f>IF(AND($B244&lt;&gt;"", $B245=""), "TOTAL:", IF($D244="TOTAL:","VESSEL TARGET "&amp;'RAW DATA'!$E$2&amp;":",IF('RAW DATA'!$E245&lt;&gt;"",'RAW DATA'!$E245,"")))</f>
        <v/>
      </c>
      <c r="E245" s="4" t="str">
        <f>IF($D244="TOTAL:",FIXED(ROUND(((SUM($E$4:$E243)/'RAW DATA'!$E$2)*100),1),1)&amp;"%",IF($D245="TOTAL:",SUM($E$4:$E244),IF(SUMIF('RAW DATA'!M:M,'RAW DATA'!B245,'RAW DATA'!H:H)=0,"",SUMIF('RAW DATA'!M:M,'RAW DATA'!B245,'RAW DATA'!H:H))))</f>
        <v/>
      </c>
      <c r="F245" s="4" t="str">
        <f>IF($D244="TOTAL:",FIXED(ROUND(((SUM($F$4:$F243)/'RAW DATA'!$E$2)*100),1),1)&amp;"%",IF($D245="TOTAL:",SUM($F$4:$F244),IF(SUMIF('RAW DATA'!M:M,'RAW DATA'!B245,'RAW DATA'!I:I)=0,"",SUMIF('RAW DATA'!M:M,'RAW DATA'!B245,'RAW DATA'!I:I))))</f>
        <v/>
      </c>
      <c r="G245" s="24" t="str">
        <f t="shared" si="3"/>
        <v/>
      </c>
    </row>
    <row r="246" spans="2:7" x14ac:dyDescent="0.25">
      <c r="B246" s="1" t="str">
        <f>IF('RAW DATA'!$C248&lt;&gt;"",'RAW DATA'!$C248,"")</f>
        <v/>
      </c>
      <c r="C246" s="1" t="str">
        <f>IF('RAW DATA'!$D248&lt;&gt;"",'RAW DATA'!$D248,"")</f>
        <v/>
      </c>
      <c r="D246" s="1" t="str">
        <f>IF(AND($B245&lt;&gt;"", $B246=""), "TOTAL:", IF($D245="TOTAL:","VESSEL TARGET "&amp;'RAW DATA'!$E$2&amp;":",IF('RAW DATA'!$E246&lt;&gt;"",'RAW DATA'!$E246,"")))</f>
        <v/>
      </c>
      <c r="E246" s="4" t="str">
        <f>IF($D245="TOTAL:",FIXED(ROUND(((SUM($E$4:$E244)/'RAW DATA'!$E$2)*100),1),1)&amp;"%",IF($D246="TOTAL:",SUM($E$4:$E245),IF(SUMIF('RAW DATA'!M:M,'RAW DATA'!B246,'RAW DATA'!H:H)=0,"",SUMIF('RAW DATA'!M:M,'RAW DATA'!B246,'RAW DATA'!H:H))))</f>
        <v/>
      </c>
      <c r="F246" s="4" t="str">
        <f>IF($D245="TOTAL:",FIXED(ROUND(((SUM($F$4:$F244)/'RAW DATA'!$E$2)*100),1),1)&amp;"%",IF($D246="TOTAL:",SUM($F$4:$F245),IF(SUMIF('RAW DATA'!M:M,'RAW DATA'!B246,'RAW DATA'!I:I)=0,"",SUMIF('RAW DATA'!M:M,'RAW DATA'!B246,'RAW DATA'!I:I))))</f>
        <v/>
      </c>
      <c r="G246" s="24" t="str">
        <f t="shared" si="3"/>
        <v/>
      </c>
    </row>
    <row r="247" spans="2:7" x14ac:dyDescent="0.25">
      <c r="B247" s="1" t="str">
        <f>IF('RAW DATA'!$C249&lt;&gt;"",'RAW DATA'!$C249,"")</f>
        <v/>
      </c>
      <c r="C247" s="1" t="str">
        <f>IF('RAW DATA'!$D249&lt;&gt;"",'RAW DATA'!$D249,"")</f>
        <v/>
      </c>
      <c r="D247" s="1" t="str">
        <f>IF(AND($B246&lt;&gt;"", $B247=""), "TOTAL:", IF($D246="TOTAL:","VESSEL TARGET "&amp;'RAW DATA'!$E$2&amp;":",IF('RAW DATA'!$E247&lt;&gt;"",'RAW DATA'!$E247,"")))</f>
        <v/>
      </c>
      <c r="E247" s="4" t="str">
        <f>IF($D246="TOTAL:",FIXED(ROUND(((SUM($E$4:$E245)/'RAW DATA'!$E$2)*100),1),1)&amp;"%",IF($D247="TOTAL:",SUM($E$4:$E246),IF(SUMIF('RAW DATA'!M:M,'RAW DATA'!B247,'RAW DATA'!H:H)=0,"",SUMIF('RAW DATA'!M:M,'RAW DATA'!B247,'RAW DATA'!H:H))))</f>
        <v/>
      </c>
      <c r="F247" s="4" t="str">
        <f>IF($D246="TOTAL:",FIXED(ROUND(((SUM($F$4:$F245)/'RAW DATA'!$E$2)*100),1),1)&amp;"%",IF($D247="TOTAL:",SUM($F$4:$F246),IF(SUMIF('RAW DATA'!M:M,'RAW DATA'!B247,'RAW DATA'!I:I)=0,"",SUMIF('RAW DATA'!M:M,'RAW DATA'!B247,'RAW DATA'!I:I))))</f>
        <v/>
      </c>
      <c r="G247" s="24" t="str">
        <f t="shared" si="3"/>
        <v/>
      </c>
    </row>
    <row r="248" spans="2:7" x14ac:dyDescent="0.25">
      <c r="B248" s="1" t="str">
        <f>IF('RAW DATA'!$C250&lt;&gt;"",'RAW DATA'!$C250,"")</f>
        <v/>
      </c>
      <c r="C248" s="1" t="str">
        <f>IF('RAW DATA'!$D250&lt;&gt;"",'RAW DATA'!$D250,"")</f>
        <v/>
      </c>
      <c r="D248" s="1" t="str">
        <f>IF(AND($B247&lt;&gt;"", $B248=""), "TOTAL:", IF($D247="TOTAL:","VESSEL TARGET "&amp;'RAW DATA'!$E$2&amp;":",IF('RAW DATA'!$E248&lt;&gt;"",'RAW DATA'!$E248,"")))</f>
        <v/>
      </c>
      <c r="E248" s="4" t="str">
        <f>IF($D247="TOTAL:",FIXED(ROUND(((SUM($E$4:$E246)/'RAW DATA'!$E$2)*100),1),1)&amp;"%",IF($D248="TOTAL:",SUM($E$4:$E247),IF(SUMIF('RAW DATA'!M:M,'RAW DATA'!B248,'RAW DATA'!H:H)=0,"",SUMIF('RAW DATA'!M:M,'RAW DATA'!B248,'RAW DATA'!H:H))))</f>
        <v/>
      </c>
      <c r="F248" s="4" t="str">
        <f>IF($D247="TOTAL:",FIXED(ROUND(((SUM($F$4:$F246)/'RAW DATA'!$E$2)*100),1),1)&amp;"%",IF($D248="TOTAL:",SUM($F$4:$F247),IF(SUMIF('RAW DATA'!M:M,'RAW DATA'!B248,'RAW DATA'!I:I)=0,"",SUMIF('RAW DATA'!M:M,'RAW DATA'!B248,'RAW DATA'!I:I))))</f>
        <v/>
      </c>
      <c r="G248" s="24" t="str">
        <f t="shared" si="3"/>
        <v/>
      </c>
    </row>
    <row r="249" spans="2:7" x14ac:dyDescent="0.25">
      <c r="B249" s="1" t="str">
        <f>IF('RAW DATA'!$C251&lt;&gt;"",'RAW DATA'!$C251,"")</f>
        <v/>
      </c>
      <c r="C249" s="1" t="str">
        <f>IF('RAW DATA'!$D251&lt;&gt;"",'RAW DATA'!$D251,"")</f>
        <v/>
      </c>
      <c r="D249" s="1" t="str">
        <f>IF(AND($B248&lt;&gt;"", $B249=""), "TOTAL:", IF($D248="TOTAL:","VESSEL TARGET "&amp;'RAW DATA'!$E$2&amp;":",IF('RAW DATA'!$E249&lt;&gt;"",'RAW DATA'!$E249,"")))</f>
        <v/>
      </c>
      <c r="E249" s="4" t="str">
        <f>IF($D248="TOTAL:",FIXED(ROUND(((SUM($E$4:$E247)/'RAW DATA'!$E$2)*100),1),1)&amp;"%",IF($D249="TOTAL:",SUM($E$4:$E248),IF(SUMIF('RAW DATA'!M:M,'RAW DATA'!B249,'RAW DATA'!H:H)=0,"",SUMIF('RAW DATA'!M:M,'RAW DATA'!B249,'RAW DATA'!H:H))))</f>
        <v/>
      </c>
      <c r="F249" s="4" t="str">
        <f>IF($D248="TOTAL:",FIXED(ROUND(((SUM($F$4:$F247)/'RAW DATA'!$E$2)*100),1),1)&amp;"%",IF($D249="TOTAL:",SUM($F$4:$F248),IF(SUMIF('RAW DATA'!M:M,'RAW DATA'!B249,'RAW DATA'!I:I)=0,"",SUMIF('RAW DATA'!M:M,'RAW DATA'!B249,'RAW DATA'!I:I))))</f>
        <v/>
      </c>
      <c r="G249" s="24" t="str">
        <f t="shared" si="3"/>
        <v/>
      </c>
    </row>
    <row r="250" spans="2:7" x14ac:dyDescent="0.25">
      <c r="B250" s="1" t="str">
        <f>IF('RAW DATA'!$C252&lt;&gt;"",'RAW DATA'!$C252,"")</f>
        <v/>
      </c>
      <c r="C250" s="1" t="str">
        <f>IF('RAW DATA'!$D252&lt;&gt;"",'RAW DATA'!$D252,"")</f>
        <v/>
      </c>
      <c r="D250" s="1" t="str">
        <f>IF(AND($B249&lt;&gt;"", $B250=""), "TOTAL:", IF($D249="TOTAL:","VESSEL TARGET "&amp;'RAW DATA'!$E$2&amp;":",IF('RAW DATA'!$E250&lt;&gt;"",'RAW DATA'!$E250,"")))</f>
        <v/>
      </c>
      <c r="E250" s="4" t="str">
        <f>IF($D249="TOTAL:",FIXED(ROUND(((SUM($E$4:$E248)/'RAW DATA'!$E$2)*100),1),1)&amp;"%",IF($D250="TOTAL:",SUM($E$4:$E249),IF(SUMIF('RAW DATA'!M:M,'RAW DATA'!B250,'RAW DATA'!H:H)=0,"",SUMIF('RAW DATA'!M:M,'RAW DATA'!B250,'RAW DATA'!H:H))))</f>
        <v/>
      </c>
      <c r="F250" s="4" t="str">
        <f>IF($D249="TOTAL:",FIXED(ROUND(((SUM($F$4:$F248)/'RAW DATA'!$E$2)*100),1),1)&amp;"%",IF($D250="TOTAL:",SUM($F$4:$F249),IF(SUMIF('RAW DATA'!M:M,'RAW DATA'!B250,'RAW DATA'!I:I)=0,"",SUMIF('RAW DATA'!M:M,'RAW DATA'!B250,'RAW DATA'!I:I))))</f>
        <v/>
      </c>
      <c r="G250" s="24" t="str">
        <f t="shared" si="3"/>
        <v/>
      </c>
    </row>
    <row r="251" spans="2:7" x14ac:dyDescent="0.25">
      <c r="B251" s="1" t="str">
        <f>IF('RAW DATA'!$C253&lt;&gt;"",'RAW DATA'!$C253,"")</f>
        <v/>
      </c>
      <c r="C251" s="1" t="str">
        <f>IF('RAW DATA'!$D253&lt;&gt;"",'RAW DATA'!$D253,"")</f>
        <v/>
      </c>
      <c r="D251" s="1" t="str">
        <f>IF(AND($B250&lt;&gt;"", $B251=""), "TOTAL:", IF($D250="TOTAL:","VESSEL TARGET "&amp;'RAW DATA'!$E$2&amp;":",IF('RAW DATA'!$E251&lt;&gt;"",'RAW DATA'!$E251,"")))</f>
        <v/>
      </c>
      <c r="E251" s="4" t="str">
        <f>IF($D250="TOTAL:",FIXED(ROUND(((SUM($E$4:$E249)/'RAW DATA'!$E$2)*100),1),1)&amp;"%",IF($D251="TOTAL:",SUM($E$4:$E250),IF(SUMIF('RAW DATA'!M:M,'RAW DATA'!B251,'RAW DATA'!H:H)=0,"",SUMIF('RAW DATA'!M:M,'RAW DATA'!B251,'RAW DATA'!H:H))))</f>
        <v/>
      </c>
      <c r="F251" s="4" t="str">
        <f>IF($D250="TOTAL:",FIXED(ROUND(((SUM($F$4:$F249)/'RAW DATA'!$E$2)*100),1),1)&amp;"%",IF($D251="TOTAL:",SUM($F$4:$F250),IF(SUMIF('RAW DATA'!M:M,'RAW DATA'!B251,'RAW DATA'!I:I)=0,"",SUMIF('RAW DATA'!M:M,'RAW DATA'!B251,'RAW DATA'!I:I))))</f>
        <v/>
      </c>
      <c r="G251" s="24" t="str">
        <f t="shared" si="3"/>
        <v/>
      </c>
    </row>
    <row r="252" spans="2:7" x14ac:dyDescent="0.25">
      <c r="B252" s="1" t="str">
        <f>IF('RAW DATA'!$C254&lt;&gt;"",'RAW DATA'!$C254,"")</f>
        <v/>
      </c>
      <c r="C252" s="1" t="str">
        <f>IF('RAW DATA'!$D254&lt;&gt;"",'RAW DATA'!$D254,"")</f>
        <v/>
      </c>
      <c r="D252" s="1" t="str">
        <f>IF(AND($B251&lt;&gt;"", $B252=""), "TOTAL:", IF($D251="TOTAL:","VESSEL TARGET "&amp;'RAW DATA'!$E$2&amp;":",IF('RAW DATA'!$E252&lt;&gt;"",'RAW DATA'!$E252,"")))</f>
        <v/>
      </c>
      <c r="E252" s="4" t="str">
        <f>IF($D251="TOTAL:",FIXED(ROUND(((SUM($E$4:$E250)/'RAW DATA'!$E$2)*100),1),1)&amp;"%",IF($D252="TOTAL:",SUM($E$4:$E251),IF(SUMIF('RAW DATA'!M:M,'RAW DATA'!B252,'RAW DATA'!H:H)=0,"",SUMIF('RAW DATA'!M:M,'RAW DATA'!B252,'RAW DATA'!H:H))))</f>
        <v/>
      </c>
      <c r="F252" s="4" t="str">
        <f>IF($D251="TOTAL:",FIXED(ROUND(((SUM($F$4:$F250)/'RAW DATA'!$E$2)*100),1),1)&amp;"%",IF($D252="TOTAL:",SUM($F$4:$F251),IF(SUMIF('RAW DATA'!M:M,'RAW DATA'!B252,'RAW DATA'!I:I)=0,"",SUMIF('RAW DATA'!M:M,'RAW DATA'!B252,'RAW DATA'!I:I))))</f>
        <v/>
      </c>
      <c r="G252" s="24" t="str">
        <f t="shared" si="3"/>
        <v/>
      </c>
    </row>
    <row r="253" spans="2:7" x14ac:dyDescent="0.25">
      <c r="B253" s="1" t="str">
        <f>IF('RAW DATA'!$C255&lt;&gt;"",'RAW DATA'!$C255,"")</f>
        <v/>
      </c>
      <c r="C253" s="1" t="str">
        <f>IF('RAW DATA'!$D255&lt;&gt;"",'RAW DATA'!$D255,"")</f>
        <v/>
      </c>
      <c r="D253" s="1" t="str">
        <f>IF(AND($B252&lt;&gt;"", $B253=""), "TOTAL:", IF($D252="TOTAL:","VESSEL TARGET "&amp;'RAW DATA'!$E$2&amp;":",IF('RAW DATA'!$E253&lt;&gt;"",'RAW DATA'!$E253,"")))</f>
        <v/>
      </c>
      <c r="E253" s="4" t="str">
        <f>IF($D252="TOTAL:",FIXED(ROUND(((SUM($E$4:$E251)/'RAW DATA'!$E$2)*100),1),1)&amp;"%",IF($D253="TOTAL:",SUM($E$4:$E252),IF(SUMIF('RAW DATA'!M:M,'RAW DATA'!B253,'RAW DATA'!H:H)=0,"",SUMIF('RAW DATA'!M:M,'RAW DATA'!B253,'RAW DATA'!H:H))))</f>
        <v/>
      </c>
      <c r="F253" s="4" t="str">
        <f>IF($D252="TOTAL:",FIXED(ROUND(((SUM($F$4:$F251)/'RAW DATA'!$E$2)*100),1),1)&amp;"%",IF($D253="TOTAL:",SUM($F$4:$F252),IF(SUMIF('RAW DATA'!M:M,'RAW DATA'!B253,'RAW DATA'!I:I)=0,"",SUMIF('RAW DATA'!M:M,'RAW DATA'!B253,'RAW DATA'!I:I))))</f>
        <v/>
      </c>
      <c r="G253" s="24" t="str">
        <f t="shared" si="3"/>
        <v/>
      </c>
    </row>
    <row r="254" spans="2:7" x14ac:dyDescent="0.25">
      <c r="B254" s="1" t="str">
        <f>IF('RAW DATA'!$C256&lt;&gt;"",'RAW DATA'!$C256,"")</f>
        <v/>
      </c>
      <c r="C254" s="1" t="str">
        <f>IF('RAW DATA'!$D256&lt;&gt;"",'RAW DATA'!$D256,"")</f>
        <v/>
      </c>
      <c r="D254" s="1" t="str">
        <f>IF(AND($B253&lt;&gt;"", $B254=""), "TOTAL:", IF($D253="TOTAL:","VESSEL TARGET "&amp;'RAW DATA'!$E$2&amp;":",IF('RAW DATA'!$E254&lt;&gt;"",'RAW DATA'!$E254,"")))</f>
        <v/>
      </c>
      <c r="E254" s="4" t="str">
        <f>IF($D253="TOTAL:",FIXED(ROUND(((SUM($E$4:$E252)/'RAW DATA'!$E$2)*100),1),1)&amp;"%",IF($D254="TOTAL:",SUM($E$4:$E253),IF(SUMIF('RAW DATA'!M:M,'RAW DATA'!B254,'RAW DATA'!H:H)=0,"",SUMIF('RAW DATA'!M:M,'RAW DATA'!B254,'RAW DATA'!H:H))))</f>
        <v/>
      </c>
      <c r="F254" s="4" t="str">
        <f>IF($D253="TOTAL:",FIXED(ROUND(((SUM($F$4:$F252)/'RAW DATA'!$E$2)*100),1),1)&amp;"%",IF($D254="TOTAL:",SUM($F$4:$F253),IF(SUMIF('RAW DATA'!M:M,'RAW DATA'!B254,'RAW DATA'!I:I)=0,"",SUMIF('RAW DATA'!M:M,'RAW DATA'!B254,'RAW DATA'!I:I))))</f>
        <v/>
      </c>
      <c r="G254" s="24" t="str">
        <f t="shared" si="3"/>
        <v/>
      </c>
    </row>
    <row r="255" spans="2:7" x14ac:dyDescent="0.25">
      <c r="B255" s="1" t="str">
        <f>IF('RAW DATA'!$C257&lt;&gt;"",'RAW DATA'!$C257,"")</f>
        <v/>
      </c>
      <c r="C255" s="1" t="str">
        <f>IF('RAW DATA'!$D257&lt;&gt;"",'RAW DATA'!$D257,"")</f>
        <v/>
      </c>
      <c r="D255" s="1" t="str">
        <f>IF(AND($B254&lt;&gt;"", $B255=""), "TOTAL:", IF($D254="TOTAL:","VESSEL TARGET "&amp;'RAW DATA'!$E$2&amp;":",IF('RAW DATA'!$E255&lt;&gt;"",'RAW DATA'!$E255,"")))</f>
        <v/>
      </c>
      <c r="E255" s="4" t="str">
        <f>IF($D254="TOTAL:",FIXED(ROUND(((SUM($E$4:$E253)/'RAW DATA'!$E$2)*100),1),1)&amp;"%",IF($D255="TOTAL:",SUM($E$4:$E254),IF(SUMIF('RAW DATA'!M:M,'RAW DATA'!B255,'RAW DATA'!H:H)=0,"",SUMIF('RAW DATA'!M:M,'RAW DATA'!B255,'RAW DATA'!H:H))))</f>
        <v/>
      </c>
      <c r="F255" s="4" t="str">
        <f>IF($D254="TOTAL:",FIXED(ROUND(((SUM($F$4:$F253)/'RAW DATA'!$E$2)*100),1),1)&amp;"%",IF($D255="TOTAL:",SUM($F$4:$F254),IF(SUMIF('RAW DATA'!M:M,'RAW DATA'!B255,'RAW DATA'!I:I)=0,"",SUMIF('RAW DATA'!M:M,'RAW DATA'!B255,'RAW DATA'!I:I))))</f>
        <v/>
      </c>
      <c r="G255" s="24" t="str">
        <f t="shared" si="3"/>
        <v/>
      </c>
    </row>
    <row r="256" spans="2:7" x14ac:dyDescent="0.25">
      <c r="B256" s="1" t="str">
        <f>IF('RAW DATA'!$C258&lt;&gt;"",'RAW DATA'!$C258,"")</f>
        <v/>
      </c>
      <c r="C256" s="1" t="str">
        <f>IF('RAW DATA'!$D258&lt;&gt;"",'RAW DATA'!$D258,"")</f>
        <v/>
      </c>
      <c r="D256" s="1" t="str">
        <f>IF(AND($B255&lt;&gt;"", $B256=""), "TOTAL:", IF($D255="TOTAL:","VESSEL TARGET "&amp;'RAW DATA'!$E$2&amp;":",IF('RAW DATA'!$E256&lt;&gt;"",'RAW DATA'!$E256,"")))</f>
        <v/>
      </c>
      <c r="E256" s="4" t="str">
        <f>IF($D255="TOTAL:",FIXED(ROUND(((SUM($E$4:$E254)/'RAW DATA'!$E$2)*100),1),1)&amp;"%",IF($D256="TOTAL:",SUM($E$4:$E255),IF(SUMIF('RAW DATA'!M:M,'RAW DATA'!B256,'RAW DATA'!H:H)=0,"",SUMIF('RAW DATA'!M:M,'RAW DATA'!B256,'RAW DATA'!H:H))))</f>
        <v/>
      </c>
      <c r="F256" s="4" t="str">
        <f>IF($D255="TOTAL:",FIXED(ROUND(((SUM($F$4:$F254)/'RAW DATA'!$E$2)*100),1),1)&amp;"%",IF($D256="TOTAL:",SUM($F$4:$F255),IF(SUMIF('RAW DATA'!M:M,'RAW DATA'!B256,'RAW DATA'!I:I)=0,"",SUMIF('RAW DATA'!M:M,'RAW DATA'!B256,'RAW DATA'!I:I))))</f>
        <v/>
      </c>
      <c r="G256" s="24" t="str">
        <f t="shared" si="3"/>
        <v/>
      </c>
    </row>
    <row r="257" spans="2:7" x14ac:dyDescent="0.25">
      <c r="B257" s="1" t="str">
        <f>IF('RAW DATA'!$C259&lt;&gt;"",'RAW DATA'!$C259,"")</f>
        <v/>
      </c>
      <c r="C257" s="1" t="str">
        <f>IF('RAW DATA'!$D259&lt;&gt;"",'RAW DATA'!$D259,"")</f>
        <v/>
      </c>
      <c r="D257" s="1" t="str">
        <f>IF(AND($B256&lt;&gt;"", $B257=""), "TOTAL:", IF($D256="TOTAL:","VESSEL TARGET "&amp;'RAW DATA'!$E$2&amp;":",IF('RAW DATA'!$E257&lt;&gt;"",'RAW DATA'!$E257,"")))</f>
        <v/>
      </c>
      <c r="E257" s="4" t="str">
        <f>IF($D256="TOTAL:",FIXED(ROUND(((SUM($E$4:$E255)/'RAW DATA'!$E$2)*100),1),1)&amp;"%",IF($D257="TOTAL:",SUM($E$4:$E256),IF(SUMIF('RAW DATA'!M:M,'RAW DATA'!B257,'RAW DATA'!H:H)=0,"",SUMIF('RAW DATA'!M:M,'RAW DATA'!B257,'RAW DATA'!H:H))))</f>
        <v/>
      </c>
      <c r="F257" s="4" t="str">
        <f>IF($D256="TOTAL:",FIXED(ROUND(((SUM($F$4:$F255)/'RAW DATA'!$E$2)*100),1),1)&amp;"%",IF($D257="TOTAL:",SUM($F$4:$F256),IF(SUMIF('RAW DATA'!M:M,'RAW DATA'!B257,'RAW DATA'!I:I)=0,"",SUMIF('RAW DATA'!M:M,'RAW DATA'!B257,'RAW DATA'!I:I))))</f>
        <v/>
      </c>
      <c r="G257" s="24" t="str">
        <f t="shared" si="3"/>
        <v/>
      </c>
    </row>
    <row r="258" spans="2:7" x14ac:dyDescent="0.25">
      <c r="B258" s="1" t="str">
        <f>IF('RAW DATA'!$C260&lt;&gt;"",'RAW DATA'!$C260,"")</f>
        <v/>
      </c>
      <c r="C258" s="1" t="str">
        <f>IF('RAW DATA'!$D260&lt;&gt;"",'RAW DATA'!$D260,"")</f>
        <v/>
      </c>
      <c r="D258" s="1" t="str">
        <f>IF(AND($B257&lt;&gt;"", $B258=""), "TOTAL:", IF($D257="TOTAL:","VESSEL TARGET "&amp;'RAW DATA'!$E$2&amp;":",IF('RAW DATA'!$E258&lt;&gt;"",'RAW DATA'!$E258,"")))</f>
        <v/>
      </c>
      <c r="E258" s="4" t="str">
        <f>IF($D257="TOTAL:",FIXED(ROUND(((SUM($E$4:$E256)/'RAW DATA'!$E$2)*100),1),1)&amp;"%",IF($D258="TOTAL:",SUM($E$4:$E257),IF(SUMIF('RAW DATA'!M:M,'RAW DATA'!B258,'RAW DATA'!H:H)=0,"",SUMIF('RAW DATA'!M:M,'RAW DATA'!B258,'RAW DATA'!H:H))))</f>
        <v/>
      </c>
      <c r="F258" s="4" t="str">
        <f>IF($D257="TOTAL:",FIXED(ROUND(((SUM($F$4:$F256)/'RAW DATA'!$E$2)*100),1),1)&amp;"%",IF($D258="TOTAL:",SUM($F$4:$F257),IF(SUMIF('RAW DATA'!M:M,'RAW DATA'!B258,'RAW DATA'!I:I)=0,"",SUMIF('RAW DATA'!M:M,'RAW DATA'!B258,'RAW DATA'!I:I))))</f>
        <v/>
      </c>
      <c r="G258" s="24" t="str">
        <f t="shared" si="3"/>
        <v/>
      </c>
    </row>
    <row r="259" spans="2:7" x14ac:dyDescent="0.25">
      <c r="B259" s="1" t="str">
        <f>IF('RAW DATA'!$C261&lt;&gt;"",'RAW DATA'!$C261,"")</f>
        <v/>
      </c>
      <c r="C259" s="1" t="str">
        <f>IF('RAW DATA'!$D261&lt;&gt;"",'RAW DATA'!$D261,"")</f>
        <v/>
      </c>
      <c r="D259" s="1" t="str">
        <f>IF(AND($B258&lt;&gt;"", $B259=""), "TOTAL:", IF($D258="TOTAL:","VESSEL TARGET "&amp;'RAW DATA'!$E$2&amp;":",IF('RAW DATA'!$E259&lt;&gt;"",'RAW DATA'!$E259,"")))</f>
        <v/>
      </c>
      <c r="E259" s="4" t="str">
        <f>IF($D258="TOTAL:",FIXED(ROUND(((SUM($E$4:$E257)/'RAW DATA'!$E$2)*100),1),1)&amp;"%",IF($D259="TOTAL:",SUM($E$4:$E258),IF(SUMIF('RAW DATA'!M:M,'RAW DATA'!B259,'RAW DATA'!H:H)=0,"",SUMIF('RAW DATA'!M:M,'RAW DATA'!B259,'RAW DATA'!H:H))))</f>
        <v/>
      </c>
      <c r="F259" s="4" t="str">
        <f>IF($D258="TOTAL:",FIXED(ROUND(((SUM($F$4:$F257)/'RAW DATA'!$E$2)*100),1),1)&amp;"%",IF($D259="TOTAL:",SUM($F$4:$F258),IF(SUMIF('RAW DATA'!M:M,'RAW DATA'!B259,'RAW DATA'!I:I)=0,"",SUMIF('RAW DATA'!M:M,'RAW DATA'!B259,'RAW DATA'!I:I))))</f>
        <v/>
      </c>
      <c r="G259" s="24" t="str">
        <f t="shared" si="3"/>
        <v/>
      </c>
    </row>
    <row r="260" spans="2:7" x14ac:dyDescent="0.25">
      <c r="B260" s="1" t="str">
        <f>IF('RAW DATA'!$C262&lt;&gt;"",'RAW DATA'!$C262,"")</f>
        <v/>
      </c>
      <c r="C260" s="1" t="str">
        <f>IF('RAW DATA'!$D262&lt;&gt;"",'RAW DATA'!$D262,"")</f>
        <v/>
      </c>
      <c r="D260" s="1" t="str">
        <f>IF(AND($B259&lt;&gt;"", $B260=""), "TOTAL:", IF($D259="TOTAL:","VESSEL TARGET "&amp;'RAW DATA'!$E$2&amp;":",IF('RAW DATA'!$E260&lt;&gt;"",'RAW DATA'!$E260,"")))</f>
        <v/>
      </c>
      <c r="E260" s="4" t="str">
        <f>IF($D259="TOTAL:",FIXED(ROUND(((SUM($E$4:$E258)/'RAW DATA'!$E$2)*100),1),1)&amp;"%",IF($D260="TOTAL:",SUM($E$4:$E259),IF(SUMIF('RAW DATA'!M:M,'RAW DATA'!B260,'RAW DATA'!H:H)=0,"",SUMIF('RAW DATA'!M:M,'RAW DATA'!B260,'RAW DATA'!H:H))))</f>
        <v/>
      </c>
      <c r="F260" s="4" t="str">
        <f>IF($D259="TOTAL:",FIXED(ROUND(((SUM($F$4:$F258)/'RAW DATA'!$E$2)*100),1),1)&amp;"%",IF($D260="TOTAL:",SUM($F$4:$F259),IF(SUMIF('RAW DATA'!M:M,'RAW DATA'!B260,'RAW DATA'!I:I)=0,"",SUMIF('RAW DATA'!M:M,'RAW DATA'!B260,'RAW DATA'!I:I))))</f>
        <v/>
      </c>
      <c r="G260" s="24" t="str">
        <f t="shared" si="3"/>
        <v/>
      </c>
    </row>
    <row r="261" spans="2:7" x14ac:dyDescent="0.25">
      <c r="B261" s="1" t="str">
        <f>IF('RAW DATA'!$C263&lt;&gt;"",'RAW DATA'!$C263,"")</f>
        <v/>
      </c>
      <c r="C261" s="1" t="str">
        <f>IF('RAW DATA'!$D263&lt;&gt;"",'RAW DATA'!$D263,"")</f>
        <v/>
      </c>
      <c r="D261" s="1" t="str">
        <f>IF(AND($B260&lt;&gt;"", $B261=""), "TOTAL:", IF($D260="TOTAL:","VESSEL TARGET "&amp;'RAW DATA'!$E$2&amp;":",IF('RAW DATA'!$E261&lt;&gt;"",'RAW DATA'!$E261,"")))</f>
        <v/>
      </c>
      <c r="E261" s="4" t="str">
        <f>IF($D260="TOTAL:",FIXED(ROUND(((SUM($E$4:$E259)/'RAW DATA'!$E$2)*100),1),1)&amp;"%",IF($D261="TOTAL:",SUM($E$4:$E260),IF(SUMIF('RAW DATA'!M:M,'RAW DATA'!B261,'RAW DATA'!H:H)=0,"",SUMIF('RAW DATA'!M:M,'RAW DATA'!B261,'RAW DATA'!H:H))))</f>
        <v/>
      </c>
      <c r="F261" s="4" t="str">
        <f>IF($D260="TOTAL:",FIXED(ROUND(((SUM($F$4:$F259)/'RAW DATA'!$E$2)*100),1),1)&amp;"%",IF($D261="TOTAL:",SUM($F$4:$F260),IF(SUMIF('RAW DATA'!M:M,'RAW DATA'!B261,'RAW DATA'!I:I)=0,"",SUMIF('RAW DATA'!M:M,'RAW DATA'!B261,'RAW DATA'!I:I))))</f>
        <v/>
      </c>
      <c r="G261" s="24" t="str">
        <f t="shared" si="3"/>
        <v/>
      </c>
    </row>
    <row r="262" spans="2:7" x14ac:dyDescent="0.25">
      <c r="B262" s="1" t="str">
        <f>IF('RAW DATA'!$C264&lt;&gt;"",'RAW DATA'!$C264,"")</f>
        <v/>
      </c>
      <c r="C262" s="1" t="str">
        <f>IF('RAW DATA'!$D264&lt;&gt;"",'RAW DATA'!$D264,"")</f>
        <v/>
      </c>
      <c r="D262" s="1" t="str">
        <f>IF(AND($B261&lt;&gt;"", $B262=""), "TOTAL:", IF($D261="TOTAL:","VESSEL TARGET "&amp;'RAW DATA'!$E$2&amp;":",IF('RAW DATA'!$E262&lt;&gt;"",'RAW DATA'!$E262,"")))</f>
        <v/>
      </c>
      <c r="E262" s="4" t="str">
        <f>IF($D261="TOTAL:",FIXED(ROUND(((SUM($E$4:$E260)/'RAW DATA'!$E$2)*100),1),1)&amp;"%",IF($D262="TOTAL:",SUM($E$4:$E261),IF(SUMIF('RAW DATA'!M:M,'RAW DATA'!B262,'RAW DATA'!H:H)=0,"",SUMIF('RAW DATA'!M:M,'RAW DATA'!B262,'RAW DATA'!H:H))))</f>
        <v/>
      </c>
      <c r="F262" s="4" t="str">
        <f>IF($D261="TOTAL:",FIXED(ROUND(((SUM($F$4:$F260)/'RAW DATA'!$E$2)*100),1),1)&amp;"%",IF($D262="TOTAL:",SUM($F$4:$F261),IF(SUMIF('RAW DATA'!M:M,'RAW DATA'!B262,'RAW DATA'!I:I)=0,"",SUMIF('RAW DATA'!M:M,'RAW DATA'!B262,'RAW DATA'!I:I))))</f>
        <v/>
      </c>
      <c r="G262" s="24" t="str">
        <f t="shared" ref="G262:G325" si="4">IF(OR($B262="", $E262="",$F262=""),"",IF(AND($E262&gt;=2,$F262&gt;=2),1,""))</f>
        <v/>
      </c>
    </row>
    <row r="263" spans="2:7" x14ac:dyDescent="0.25">
      <c r="B263" s="1" t="str">
        <f>IF('RAW DATA'!$C265&lt;&gt;"",'RAW DATA'!$C265,"")</f>
        <v/>
      </c>
      <c r="C263" s="1" t="str">
        <f>IF('RAW DATA'!$D265&lt;&gt;"",'RAW DATA'!$D265,"")</f>
        <v/>
      </c>
      <c r="D263" s="1" t="str">
        <f>IF(AND($B262&lt;&gt;"", $B263=""), "TOTAL:", IF($D262="TOTAL:","VESSEL TARGET "&amp;'RAW DATA'!$E$2&amp;":",IF('RAW DATA'!$E263&lt;&gt;"",'RAW DATA'!$E263,"")))</f>
        <v/>
      </c>
      <c r="E263" s="4" t="str">
        <f>IF($D262="TOTAL:",FIXED(ROUND(((SUM($E$4:$E261)/'RAW DATA'!$E$2)*100),1),1)&amp;"%",IF($D263="TOTAL:",SUM($E$4:$E262),IF(SUMIF('RAW DATA'!M:M,'RAW DATA'!B263,'RAW DATA'!H:H)=0,"",SUMIF('RAW DATA'!M:M,'RAW DATA'!B263,'RAW DATA'!H:H))))</f>
        <v/>
      </c>
      <c r="F263" s="4" t="str">
        <f>IF($D262="TOTAL:",FIXED(ROUND(((SUM($F$4:$F261)/'RAW DATA'!$E$2)*100),1),1)&amp;"%",IF($D263="TOTAL:",SUM($F$4:$F262),IF(SUMIF('RAW DATA'!M:M,'RAW DATA'!B263,'RAW DATA'!I:I)=0,"",SUMIF('RAW DATA'!M:M,'RAW DATA'!B263,'RAW DATA'!I:I))))</f>
        <v/>
      </c>
      <c r="G263" s="24" t="str">
        <f t="shared" si="4"/>
        <v/>
      </c>
    </row>
    <row r="264" spans="2:7" x14ac:dyDescent="0.25">
      <c r="B264" s="1" t="str">
        <f>IF('RAW DATA'!$C266&lt;&gt;"",'RAW DATA'!$C266,"")</f>
        <v/>
      </c>
      <c r="C264" s="1" t="str">
        <f>IF('RAW DATA'!$D266&lt;&gt;"",'RAW DATA'!$D266,"")</f>
        <v/>
      </c>
      <c r="D264" s="1" t="str">
        <f>IF(AND($B263&lt;&gt;"", $B264=""), "TOTAL:", IF($D263="TOTAL:","VESSEL TARGET "&amp;'RAW DATA'!$E$2&amp;":",IF('RAW DATA'!$E264&lt;&gt;"",'RAW DATA'!$E264,"")))</f>
        <v/>
      </c>
      <c r="E264" s="4" t="str">
        <f>IF($D263="TOTAL:",FIXED(ROUND(((SUM($E$4:$E262)/'RAW DATA'!$E$2)*100),1),1)&amp;"%",IF($D264="TOTAL:",SUM($E$4:$E263),IF(SUMIF('RAW DATA'!M:M,'RAW DATA'!B264,'RAW DATA'!H:H)=0,"",SUMIF('RAW DATA'!M:M,'RAW DATA'!B264,'RAW DATA'!H:H))))</f>
        <v/>
      </c>
      <c r="F264" s="4" t="str">
        <f>IF($D263="TOTAL:",FIXED(ROUND(((SUM($F$4:$F262)/'RAW DATA'!$E$2)*100),1),1)&amp;"%",IF($D264="TOTAL:",SUM($F$4:$F263),IF(SUMIF('RAW DATA'!M:M,'RAW DATA'!B264,'RAW DATA'!I:I)=0,"",SUMIF('RAW DATA'!M:M,'RAW DATA'!B264,'RAW DATA'!I:I))))</f>
        <v/>
      </c>
      <c r="G264" s="24" t="str">
        <f t="shared" si="4"/>
        <v/>
      </c>
    </row>
    <row r="265" spans="2:7" x14ac:dyDescent="0.25">
      <c r="B265" s="1" t="str">
        <f>IF('RAW DATA'!$C267&lt;&gt;"",'RAW DATA'!$C267,"")</f>
        <v/>
      </c>
      <c r="C265" s="1" t="str">
        <f>IF('RAW DATA'!$D267&lt;&gt;"",'RAW DATA'!$D267,"")</f>
        <v/>
      </c>
      <c r="D265" s="1" t="str">
        <f>IF(AND($B264&lt;&gt;"", $B265=""), "TOTAL:", IF($D264="TOTAL:","VESSEL TARGET "&amp;'RAW DATA'!$E$2&amp;":",IF('RAW DATA'!$E265&lt;&gt;"",'RAW DATA'!$E265,"")))</f>
        <v/>
      </c>
      <c r="E265" s="4" t="str">
        <f>IF($D264="TOTAL:",FIXED(ROUND(((SUM($E$4:$E263)/'RAW DATA'!$E$2)*100),1),1)&amp;"%",IF($D265="TOTAL:",SUM($E$4:$E264),IF(SUMIF('RAW DATA'!M:M,'RAW DATA'!B265,'RAW DATA'!H:H)=0,"",SUMIF('RAW DATA'!M:M,'RAW DATA'!B265,'RAW DATA'!H:H))))</f>
        <v/>
      </c>
      <c r="F265" s="4" t="str">
        <f>IF($D264="TOTAL:",FIXED(ROUND(((SUM($F$4:$F263)/'RAW DATA'!$E$2)*100),1),1)&amp;"%",IF($D265="TOTAL:",SUM($F$4:$F264),IF(SUMIF('RAW DATA'!M:M,'RAW DATA'!B265,'RAW DATA'!I:I)=0,"",SUMIF('RAW DATA'!M:M,'RAW DATA'!B265,'RAW DATA'!I:I))))</f>
        <v/>
      </c>
      <c r="G265" s="24" t="str">
        <f t="shared" si="4"/>
        <v/>
      </c>
    </row>
    <row r="266" spans="2:7" x14ac:dyDescent="0.25">
      <c r="B266" s="1" t="str">
        <f>IF('RAW DATA'!$C268&lt;&gt;"",'RAW DATA'!$C268,"")</f>
        <v/>
      </c>
      <c r="C266" s="1" t="str">
        <f>IF('RAW DATA'!$D268&lt;&gt;"",'RAW DATA'!$D268,"")</f>
        <v/>
      </c>
      <c r="D266" s="1" t="str">
        <f>IF(AND($B265&lt;&gt;"", $B266=""), "TOTAL:", IF($D265="TOTAL:","VESSEL TARGET "&amp;'RAW DATA'!$E$2&amp;":",IF('RAW DATA'!$E266&lt;&gt;"",'RAW DATA'!$E266,"")))</f>
        <v/>
      </c>
      <c r="E266" s="4" t="str">
        <f>IF($D265="TOTAL:",FIXED(ROUND(((SUM($E$4:$E264)/'RAW DATA'!$E$2)*100),1),1)&amp;"%",IF($D266="TOTAL:",SUM($E$4:$E265),IF(SUMIF('RAW DATA'!M:M,'RAW DATA'!B266,'RAW DATA'!H:H)=0,"",SUMIF('RAW DATA'!M:M,'RAW DATA'!B266,'RAW DATA'!H:H))))</f>
        <v/>
      </c>
      <c r="F266" s="4" t="str">
        <f>IF($D265="TOTAL:",FIXED(ROUND(((SUM($F$4:$F264)/'RAW DATA'!$E$2)*100),1),1)&amp;"%",IF($D266="TOTAL:",SUM($F$4:$F265),IF(SUMIF('RAW DATA'!M:M,'RAW DATA'!B266,'RAW DATA'!I:I)=0,"",SUMIF('RAW DATA'!M:M,'RAW DATA'!B266,'RAW DATA'!I:I))))</f>
        <v/>
      </c>
      <c r="G266" s="24" t="str">
        <f t="shared" si="4"/>
        <v/>
      </c>
    </row>
    <row r="267" spans="2:7" x14ac:dyDescent="0.25">
      <c r="B267" s="1" t="str">
        <f>IF('RAW DATA'!$C269&lt;&gt;"",'RAW DATA'!$C269,"")</f>
        <v/>
      </c>
      <c r="C267" s="1" t="str">
        <f>IF('RAW DATA'!$D269&lt;&gt;"",'RAW DATA'!$D269,"")</f>
        <v/>
      </c>
      <c r="D267" s="1" t="str">
        <f>IF(AND($B266&lt;&gt;"", $B267=""), "TOTAL:", IF($D266="TOTAL:","VESSEL TARGET "&amp;'RAW DATA'!$E$2&amp;":",IF('RAW DATA'!$E267&lt;&gt;"",'RAW DATA'!$E267,"")))</f>
        <v/>
      </c>
      <c r="E267" s="4" t="str">
        <f>IF($D266="TOTAL:",FIXED(ROUND(((SUM($E$4:$E265)/'RAW DATA'!$E$2)*100),1),1)&amp;"%",IF($D267="TOTAL:",SUM($E$4:$E266),IF(SUMIF('RAW DATA'!M:M,'RAW DATA'!B267,'RAW DATA'!H:H)=0,"",SUMIF('RAW DATA'!M:M,'RAW DATA'!B267,'RAW DATA'!H:H))))</f>
        <v/>
      </c>
      <c r="F267" s="4" t="str">
        <f>IF($D266="TOTAL:",FIXED(ROUND(((SUM($F$4:$F265)/'RAW DATA'!$E$2)*100),1),1)&amp;"%",IF($D267="TOTAL:",SUM($F$4:$F266),IF(SUMIF('RAW DATA'!M:M,'RAW DATA'!B267,'RAW DATA'!I:I)=0,"",SUMIF('RAW DATA'!M:M,'RAW DATA'!B267,'RAW DATA'!I:I))))</f>
        <v/>
      </c>
      <c r="G267" s="24" t="str">
        <f t="shared" si="4"/>
        <v/>
      </c>
    </row>
    <row r="268" spans="2:7" x14ac:dyDescent="0.25">
      <c r="B268" s="1" t="str">
        <f>IF('RAW DATA'!$C270&lt;&gt;"",'RAW DATA'!$C270,"")</f>
        <v/>
      </c>
      <c r="C268" s="1" t="str">
        <f>IF('RAW DATA'!$D270&lt;&gt;"",'RAW DATA'!$D270,"")</f>
        <v/>
      </c>
      <c r="D268" s="1" t="str">
        <f>IF(AND($B267&lt;&gt;"", $B268=""), "TOTAL:", IF($D267="TOTAL:","VESSEL TARGET "&amp;'RAW DATA'!$E$2&amp;":",IF('RAW DATA'!$E268&lt;&gt;"",'RAW DATA'!$E268,"")))</f>
        <v/>
      </c>
      <c r="E268" s="4" t="str">
        <f>IF($D267="TOTAL:",FIXED(ROUND(((SUM($E$4:$E266)/'RAW DATA'!$E$2)*100),1),1)&amp;"%",IF($D268="TOTAL:",SUM($E$4:$E267),IF(SUMIF('RAW DATA'!M:M,'RAW DATA'!B268,'RAW DATA'!H:H)=0,"",SUMIF('RAW DATA'!M:M,'RAW DATA'!B268,'RAW DATA'!H:H))))</f>
        <v/>
      </c>
      <c r="F268" s="4" t="str">
        <f>IF($D267="TOTAL:",FIXED(ROUND(((SUM($F$4:$F266)/'RAW DATA'!$E$2)*100),1),1)&amp;"%",IF($D268="TOTAL:",SUM($F$4:$F267),IF(SUMIF('RAW DATA'!M:M,'RAW DATA'!B268,'RAW DATA'!I:I)=0,"",SUMIF('RAW DATA'!M:M,'RAW DATA'!B268,'RAW DATA'!I:I))))</f>
        <v/>
      </c>
      <c r="G268" s="24" t="str">
        <f t="shared" si="4"/>
        <v/>
      </c>
    </row>
    <row r="269" spans="2:7" x14ac:dyDescent="0.25">
      <c r="B269" s="1" t="str">
        <f>IF('RAW DATA'!$C271&lt;&gt;"",'RAW DATA'!$C271,"")</f>
        <v/>
      </c>
      <c r="C269" s="1" t="str">
        <f>IF('RAW DATA'!$D271&lt;&gt;"",'RAW DATA'!$D271,"")</f>
        <v/>
      </c>
      <c r="D269" s="1" t="str">
        <f>IF(AND($B268&lt;&gt;"", $B269=""), "TOTAL:", IF($D268="TOTAL:","VESSEL TARGET "&amp;'RAW DATA'!$E$2&amp;":",IF('RAW DATA'!$E269&lt;&gt;"",'RAW DATA'!$E269,"")))</f>
        <v/>
      </c>
      <c r="E269" s="4" t="str">
        <f>IF($D268="TOTAL:",FIXED(ROUND(((SUM($E$4:$E267)/'RAW DATA'!$E$2)*100),1),1)&amp;"%",IF($D269="TOTAL:",SUM($E$4:$E268),IF(SUMIF('RAW DATA'!M:M,'RAW DATA'!B269,'RAW DATA'!H:H)=0,"",SUMIF('RAW DATA'!M:M,'RAW DATA'!B269,'RAW DATA'!H:H))))</f>
        <v/>
      </c>
      <c r="F269" s="4" t="str">
        <f>IF($D268="TOTAL:",FIXED(ROUND(((SUM($F$4:$F267)/'RAW DATA'!$E$2)*100),1),1)&amp;"%",IF($D269="TOTAL:",SUM($F$4:$F268),IF(SUMIF('RAW DATA'!M:M,'RAW DATA'!B269,'RAW DATA'!I:I)=0,"",SUMIF('RAW DATA'!M:M,'RAW DATA'!B269,'RAW DATA'!I:I))))</f>
        <v/>
      </c>
      <c r="G269" s="24" t="str">
        <f t="shared" si="4"/>
        <v/>
      </c>
    </row>
    <row r="270" spans="2:7" x14ac:dyDescent="0.25">
      <c r="B270" s="1" t="str">
        <f>IF('RAW DATA'!$C272&lt;&gt;"",'RAW DATA'!$C272,"")</f>
        <v/>
      </c>
      <c r="C270" s="1" t="str">
        <f>IF('RAW DATA'!$D272&lt;&gt;"",'RAW DATA'!$D272,"")</f>
        <v/>
      </c>
      <c r="D270" s="1" t="str">
        <f>IF(AND($B269&lt;&gt;"", $B270=""), "TOTAL:", IF($D269="TOTAL:","VESSEL TARGET "&amp;'RAW DATA'!$E$2&amp;":",IF('RAW DATA'!$E270&lt;&gt;"",'RAW DATA'!$E270,"")))</f>
        <v/>
      </c>
      <c r="E270" s="4" t="str">
        <f>IF($D269="TOTAL:",FIXED(ROUND(((SUM($E$4:$E268)/'RAW DATA'!$E$2)*100),1),1)&amp;"%",IF($D270="TOTAL:",SUM($E$4:$E269),IF(SUMIF('RAW DATA'!M:M,'RAW DATA'!B270,'RAW DATA'!H:H)=0,"",SUMIF('RAW DATA'!M:M,'RAW DATA'!B270,'RAW DATA'!H:H))))</f>
        <v/>
      </c>
      <c r="F270" s="4" t="str">
        <f>IF($D269="TOTAL:",FIXED(ROUND(((SUM($F$4:$F268)/'RAW DATA'!$E$2)*100),1),1)&amp;"%",IF($D270="TOTAL:",SUM($F$4:$F269),IF(SUMIF('RAW DATA'!M:M,'RAW DATA'!B270,'RAW DATA'!I:I)=0,"",SUMIF('RAW DATA'!M:M,'RAW DATA'!B270,'RAW DATA'!I:I))))</f>
        <v/>
      </c>
      <c r="G270" s="24" t="str">
        <f t="shared" si="4"/>
        <v/>
      </c>
    </row>
    <row r="271" spans="2:7" x14ac:dyDescent="0.25">
      <c r="B271" s="1" t="str">
        <f>IF('RAW DATA'!$C273&lt;&gt;"",'RAW DATA'!$C273,"")</f>
        <v/>
      </c>
      <c r="C271" s="1" t="str">
        <f>IF('RAW DATA'!$D273&lt;&gt;"",'RAW DATA'!$D273,"")</f>
        <v/>
      </c>
      <c r="D271" s="1" t="str">
        <f>IF(AND($B270&lt;&gt;"", $B271=""), "TOTAL:", IF($D270="TOTAL:","VESSEL TARGET "&amp;'RAW DATA'!$E$2&amp;":",IF('RAW DATA'!$E271&lt;&gt;"",'RAW DATA'!$E271,"")))</f>
        <v/>
      </c>
      <c r="E271" s="4" t="str">
        <f>IF($D270="TOTAL:",FIXED(ROUND(((SUM($E$4:$E269)/'RAW DATA'!$E$2)*100),1),1)&amp;"%",IF($D271="TOTAL:",SUM($E$4:$E270),IF(SUMIF('RAW DATA'!M:M,'RAW DATA'!B271,'RAW DATA'!H:H)=0,"",SUMIF('RAW DATA'!M:M,'RAW DATA'!B271,'RAW DATA'!H:H))))</f>
        <v/>
      </c>
      <c r="F271" s="4" t="str">
        <f>IF($D270="TOTAL:",FIXED(ROUND(((SUM($F$4:$F269)/'RAW DATA'!$E$2)*100),1),1)&amp;"%",IF($D271="TOTAL:",SUM($F$4:$F270),IF(SUMIF('RAW DATA'!M:M,'RAW DATA'!B271,'RAW DATA'!I:I)=0,"",SUMIF('RAW DATA'!M:M,'RAW DATA'!B271,'RAW DATA'!I:I))))</f>
        <v/>
      </c>
      <c r="G271" s="24" t="str">
        <f t="shared" si="4"/>
        <v/>
      </c>
    </row>
    <row r="272" spans="2:7" x14ac:dyDescent="0.25">
      <c r="B272" s="1" t="str">
        <f>IF('RAW DATA'!$C274&lt;&gt;"",'RAW DATA'!$C274,"")</f>
        <v/>
      </c>
      <c r="C272" s="1" t="str">
        <f>IF('RAW DATA'!$D274&lt;&gt;"",'RAW DATA'!$D274,"")</f>
        <v/>
      </c>
      <c r="D272" s="1" t="str">
        <f>IF(AND($B271&lt;&gt;"", $B272=""), "TOTAL:", IF($D271="TOTAL:","VESSEL TARGET "&amp;'RAW DATA'!$E$2&amp;":",IF('RAW DATA'!$E272&lt;&gt;"",'RAW DATA'!$E272,"")))</f>
        <v/>
      </c>
      <c r="E272" s="4" t="str">
        <f>IF($D271="TOTAL:",FIXED(ROUND(((SUM($E$4:$E270)/'RAW DATA'!$E$2)*100),1),1)&amp;"%",IF($D272="TOTAL:",SUM($E$4:$E271),IF(SUMIF('RAW DATA'!M:M,'RAW DATA'!B272,'RAW DATA'!H:H)=0,"",SUMIF('RAW DATA'!M:M,'RAW DATA'!B272,'RAW DATA'!H:H))))</f>
        <v/>
      </c>
      <c r="F272" s="4" t="str">
        <f>IF($D271="TOTAL:",FIXED(ROUND(((SUM($F$4:$F270)/'RAW DATA'!$E$2)*100),1),1)&amp;"%",IF($D272="TOTAL:",SUM($F$4:$F271),IF(SUMIF('RAW DATA'!M:M,'RAW DATA'!B272,'RAW DATA'!I:I)=0,"",SUMIF('RAW DATA'!M:M,'RAW DATA'!B272,'RAW DATA'!I:I))))</f>
        <v/>
      </c>
      <c r="G272" s="24" t="str">
        <f t="shared" si="4"/>
        <v/>
      </c>
    </row>
    <row r="273" spans="2:7" x14ac:dyDescent="0.25">
      <c r="B273" s="1" t="str">
        <f>IF('RAW DATA'!$C275&lt;&gt;"",'RAW DATA'!$C275,"")</f>
        <v/>
      </c>
      <c r="C273" s="1" t="str">
        <f>IF('RAW DATA'!$D275&lt;&gt;"",'RAW DATA'!$D275,"")</f>
        <v/>
      </c>
      <c r="D273" s="1" t="str">
        <f>IF(AND($B272&lt;&gt;"", $B273=""), "TOTAL:", IF($D272="TOTAL:","VESSEL TARGET "&amp;'RAW DATA'!$E$2&amp;":",IF('RAW DATA'!$E273&lt;&gt;"",'RAW DATA'!$E273,"")))</f>
        <v/>
      </c>
      <c r="E273" s="4" t="str">
        <f>IF($D272="TOTAL:",FIXED(ROUND(((SUM($E$4:$E271)/'RAW DATA'!$E$2)*100),1),1)&amp;"%",IF($D273="TOTAL:",SUM($E$4:$E272),IF(SUMIF('RAW DATA'!M:M,'RAW DATA'!B273,'RAW DATA'!H:H)=0,"",SUMIF('RAW DATA'!M:M,'RAW DATA'!B273,'RAW DATA'!H:H))))</f>
        <v/>
      </c>
      <c r="F273" s="4" t="str">
        <f>IF($D272="TOTAL:",FIXED(ROUND(((SUM($F$4:$F271)/'RAW DATA'!$E$2)*100),1),1)&amp;"%",IF($D273="TOTAL:",SUM($F$4:$F272),IF(SUMIF('RAW DATA'!M:M,'RAW DATA'!B273,'RAW DATA'!I:I)=0,"",SUMIF('RAW DATA'!M:M,'RAW DATA'!B273,'RAW DATA'!I:I))))</f>
        <v/>
      </c>
      <c r="G273" s="24" t="str">
        <f t="shared" si="4"/>
        <v/>
      </c>
    </row>
    <row r="274" spans="2:7" x14ac:dyDescent="0.25">
      <c r="B274" s="1" t="str">
        <f>IF('RAW DATA'!$C276&lt;&gt;"",'RAW DATA'!$C276,"")</f>
        <v/>
      </c>
      <c r="C274" s="1" t="str">
        <f>IF('RAW DATA'!$D276&lt;&gt;"",'RAW DATA'!$D276,"")</f>
        <v/>
      </c>
      <c r="D274" s="1" t="str">
        <f>IF(AND($B273&lt;&gt;"", $B274=""), "TOTAL:", IF($D273="TOTAL:","VESSEL TARGET "&amp;'RAW DATA'!$E$2&amp;":",IF('RAW DATA'!$E274&lt;&gt;"",'RAW DATA'!$E274,"")))</f>
        <v/>
      </c>
      <c r="E274" s="4" t="str">
        <f>IF($D273="TOTAL:",FIXED(ROUND(((SUM($E$4:$E272)/'RAW DATA'!$E$2)*100),1),1)&amp;"%",IF($D274="TOTAL:",SUM($E$4:$E273),IF(SUMIF('RAW DATA'!M:M,'RAW DATA'!B274,'RAW DATA'!H:H)=0,"",SUMIF('RAW DATA'!M:M,'RAW DATA'!B274,'RAW DATA'!H:H))))</f>
        <v/>
      </c>
      <c r="F274" s="4" t="str">
        <f>IF($D273="TOTAL:",FIXED(ROUND(((SUM($F$4:$F272)/'RAW DATA'!$E$2)*100),1),1)&amp;"%",IF($D274="TOTAL:",SUM($F$4:$F273),IF(SUMIF('RAW DATA'!M:M,'RAW DATA'!B274,'RAW DATA'!I:I)=0,"",SUMIF('RAW DATA'!M:M,'RAW DATA'!B274,'RAW DATA'!I:I))))</f>
        <v/>
      </c>
      <c r="G274" s="24" t="str">
        <f t="shared" si="4"/>
        <v/>
      </c>
    </row>
    <row r="275" spans="2:7" x14ac:dyDescent="0.25">
      <c r="B275" s="1" t="str">
        <f>IF('RAW DATA'!$C277&lt;&gt;"",'RAW DATA'!$C277,"")</f>
        <v/>
      </c>
      <c r="C275" s="1" t="str">
        <f>IF('RAW DATA'!$D277&lt;&gt;"",'RAW DATA'!$D277,"")</f>
        <v/>
      </c>
      <c r="D275" s="1" t="str">
        <f>IF(AND($B274&lt;&gt;"", $B275=""), "TOTAL:", IF($D274="TOTAL:","VESSEL TARGET "&amp;'RAW DATA'!$E$2&amp;":",IF('RAW DATA'!$E275&lt;&gt;"",'RAW DATA'!$E275,"")))</f>
        <v/>
      </c>
      <c r="E275" s="4" t="str">
        <f>IF($D274="TOTAL:",FIXED(ROUND(((SUM($E$4:$E273)/'RAW DATA'!$E$2)*100),1),1)&amp;"%",IF($D275="TOTAL:",SUM($E$4:$E274),IF(SUMIF('RAW DATA'!M:M,'RAW DATA'!B275,'RAW DATA'!H:H)=0,"",SUMIF('RAW DATA'!M:M,'RAW DATA'!B275,'RAW DATA'!H:H))))</f>
        <v/>
      </c>
      <c r="F275" s="4" t="str">
        <f>IF($D274="TOTAL:",FIXED(ROUND(((SUM($F$4:$F273)/'RAW DATA'!$E$2)*100),1),1)&amp;"%",IF($D275="TOTAL:",SUM($F$4:$F274),IF(SUMIF('RAW DATA'!M:M,'RAW DATA'!B275,'RAW DATA'!I:I)=0,"",SUMIF('RAW DATA'!M:M,'RAW DATA'!B275,'RAW DATA'!I:I))))</f>
        <v/>
      </c>
      <c r="G275" s="24" t="str">
        <f t="shared" si="4"/>
        <v/>
      </c>
    </row>
    <row r="276" spans="2:7" x14ac:dyDescent="0.25">
      <c r="B276" s="1" t="str">
        <f>IF('RAW DATA'!$C278&lt;&gt;"",'RAW DATA'!$C278,"")</f>
        <v/>
      </c>
      <c r="C276" s="1" t="str">
        <f>IF('RAW DATA'!$D278&lt;&gt;"",'RAW DATA'!$D278,"")</f>
        <v/>
      </c>
      <c r="D276" s="1" t="str">
        <f>IF(AND($B275&lt;&gt;"", $B276=""), "TOTAL:", IF($D275="TOTAL:","VESSEL TARGET "&amp;'RAW DATA'!$E$2&amp;":",IF('RAW DATA'!$E276&lt;&gt;"",'RAW DATA'!$E276,"")))</f>
        <v/>
      </c>
      <c r="E276" s="4" t="str">
        <f>IF($D275="TOTAL:",FIXED(ROUND(((SUM($E$4:$E274)/'RAW DATA'!$E$2)*100),1),1)&amp;"%",IF($D276="TOTAL:",SUM($E$4:$E275),IF(SUMIF('RAW DATA'!M:M,'RAW DATA'!B276,'RAW DATA'!H:H)=0,"",SUMIF('RAW DATA'!M:M,'RAW DATA'!B276,'RAW DATA'!H:H))))</f>
        <v/>
      </c>
      <c r="F276" s="4" t="str">
        <f>IF($D275="TOTAL:",FIXED(ROUND(((SUM($F$4:$F274)/'RAW DATA'!$E$2)*100),1),1)&amp;"%",IF($D276="TOTAL:",SUM($F$4:$F275),IF(SUMIF('RAW DATA'!M:M,'RAW DATA'!B276,'RAW DATA'!I:I)=0,"",SUMIF('RAW DATA'!M:M,'RAW DATA'!B276,'RAW DATA'!I:I))))</f>
        <v/>
      </c>
      <c r="G276" s="24" t="str">
        <f t="shared" si="4"/>
        <v/>
      </c>
    </row>
    <row r="277" spans="2:7" x14ac:dyDescent="0.25">
      <c r="B277" s="1" t="str">
        <f>IF('RAW DATA'!$C279&lt;&gt;"",'RAW DATA'!$C279,"")</f>
        <v/>
      </c>
      <c r="C277" s="1" t="str">
        <f>IF('RAW DATA'!$D279&lt;&gt;"",'RAW DATA'!$D279,"")</f>
        <v/>
      </c>
      <c r="D277" s="1" t="str">
        <f>IF(AND($B276&lt;&gt;"", $B277=""), "TOTAL:", IF($D276="TOTAL:","VESSEL TARGET "&amp;'RAW DATA'!$E$2&amp;":",IF('RAW DATA'!$E277&lt;&gt;"",'RAW DATA'!$E277,"")))</f>
        <v/>
      </c>
      <c r="E277" s="4" t="str">
        <f>IF($D276="TOTAL:",FIXED(ROUND(((SUM($E$4:$E275)/'RAW DATA'!$E$2)*100),1),1)&amp;"%",IF($D277="TOTAL:",SUM($E$4:$E276),IF(SUMIF('RAW DATA'!M:M,'RAW DATA'!B277,'RAW DATA'!H:H)=0,"",SUMIF('RAW DATA'!M:M,'RAW DATA'!B277,'RAW DATA'!H:H))))</f>
        <v/>
      </c>
      <c r="F277" s="4" t="str">
        <f>IF($D276="TOTAL:",FIXED(ROUND(((SUM($F$4:$F275)/'RAW DATA'!$E$2)*100),1),1)&amp;"%",IF($D277="TOTAL:",SUM($F$4:$F276),IF(SUMIF('RAW DATA'!M:M,'RAW DATA'!B277,'RAW DATA'!I:I)=0,"",SUMIF('RAW DATA'!M:M,'RAW DATA'!B277,'RAW DATA'!I:I))))</f>
        <v/>
      </c>
      <c r="G277" s="24" t="str">
        <f t="shared" si="4"/>
        <v/>
      </c>
    </row>
    <row r="278" spans="2:7" x14ac:dyDescent="0.25">
      <c r="B278" s="1" t="str">
        <f>IF('RAW DATA'!$C280&lt;&gt;"",'RAW DATA'!$C280,"")</f>
        <v/>
      </c>
      <c r="C278" s="1" t="str">
        <f>IF('RAW DATA'!$D280&lt;&gt;"",'RAW DATA'!$D280,"")</f>
        <v/>
      </c>
      <c r="D278" s="1" t="str">
        <f>IF(AND($B277&lt;&gt;"", $B278=""), "TOTAL:", IF($D277="TOTAL:","VESSEL TARGET "&amp;'RAW DATA'!$E$2&amp;":",IF('RAW DATA'!$E278&lt;&gt;"",'RAW DATA'!$E278,"")))</f>
        <v/>
      </c>
      <c r="E278" s="4" t="str">
        <f>IF($D277="TOTAL:",FIXED(ROUND(((SUM($E$4:$E276)/'RAW DATA'!$E$2)*100),1),1)&amp;"%",IF($D278="TOTAL:",SUM($E$4:$E277),IF(SUMIF('RAW DATA'!M:M,'RAW DATA'!B278,'RAW DATA'!H:H)=0,"",SUMIF('RAW DATA'!M:M,'RAW DATA'!B278,'RAW DATA'!H:H))))</f>
        <v/>
      </c>
      <c r="F278" s="4" t="str">
        <f>IF($D277="TOTAL:",FIXED(ROUND(((SUM($F$4:$F276)/'RAW DATA'!$E$2)*100),1),1)&amp;"%",IF($D278="TOTAL:",SUM($F$4:$F277),IF(SUMIF('RAW DATA'!M:M,'RAW DATA'!B278,'RAW DATA'!I:I)=0,"",SUMIF('RAW DATA'!M:M,'RAW DATA'!B278,'RAW DATA'!I:I))))</f>
        <v/>
      </c>
      <c r="G278" s="24" t="str">
        <f t="shared" si="4"/>
        <v/>
      </c>
    </row>
    <row r="279" spans="2:7" x14ac:dyDescent="0.25">
      <c r="B279" s="1" t="str">
        <f>IF('RAW DATA'!$C281&lt;&gt;"",'RAW DATA'!$C281,"")</f>
        <v/>
      </c>
      <c r="C279" s="1" t="str">
        <f>IF('RAW DATA'!$D281&lt;&gt;"",'RAW DATA'!$D281,"")</f>
        <v/>
      </c>
      <c r="D279" s="1" t="str">
        <f>IF(AND($B278&lt;&gt;"", $B279=""), "TOTAL:", IF($D278="TOTAL:","VESSEL TARGET "&amp;'RAW DATA'!$E$2&amp;":",IF('RAW DATA'!$E279&lt;&gt;"",'RAW DATA'!$E279,"")))</f>
        <v/>
      </c>
      <c r="E279" s="4" t="str">
        <f>IF($D278="TOTAL:",FIXED(ROUND(((SUM($E$4:$E277)/'RAW DATA'!$E$2)*100),1),1)&amp;"%",IF($D279="TOTAL:",SUM($E$4:$E278),IF(SUMIF('RAW DATA'!M:M,'RAW DATA'!B279,'RAW DATA'!H:H)=0,"",SUMIF('RAW DATA'!M:M,'RAW DATA'!B279,'RAW DATA'!H:H))))</f>
        <v/>
      </c>
      <c r="F279" s="4" t="str">
        <f>IF($D278="TOTAL:",FIXED(ROUND(((SUM($F$4:$F277)/'RAW DATA'!$E$2)*100),1),1)&amp;"%",IF($D279="TOTAL:",SUM($F$4:$F278),IF(SUMIF('RAW DATA'!M:M,'RAW DATA'!B279,'RAW DATA'!I:I)=0,"",SUMIF('RAW DATA'!M:M,'RAW DATA'!B279,'RAW DATA'!I:I))))</f>
        <v/>
      </c>
      <c r="G279" s="24" t="str">
        <f t="shared" si="4"/>
        <v/>
      </c>
    </row>
    <row r="280" spans="2:7" x14ac:dyDescent="0.25">
      <c r="B280" s="1" t="str">
        <f>IF('RAW DATA'!$C282&lt;&gt;"",'RAW DATA'!$C282,"")</f>
        <v/>
      </c>
      <c r="C280" s="1" t="str">
        <f>IF('RAW DATA'!$D282&lt;&gt;"",'RAW DATA'!$D282,"")</f>
        <v/>
      </c>
      <c r="D280" s="1" t="str">
        <f>IF(AND($B279&lt;&gt;"", $B280=""), "TOTAL:", IF($D279="TOTAL:","VESSEL TARGET "&amp;'RAW DATA'!$E$2&amp;":",IF('RAW DATA'!$E280&lt;&gt;"",'RAW DATA'!$E280,"")))</f>
        <v/>
      </c>
      <c r="E280" s="4" t="str">
        <f>IF($D279="TOTAL:",FIXED(ROUND(((SUM($E$4:$E278)/'RAW DATA'!$E$2)*100),1),1)&amp;"%",IF($D280="TOTAL:",SUM($E$4:$E279),IF(SUMIF('RAW DATA'!M:M,'RAW DATA'!B280,'RAW DATA'!H:H)=0,"",SUMIF('RAW DATA'!M:M,'RAW DATA'!B280,'RAW DATA'!H:H))))</f>
        <v/>
      </c>
      <c r="F280" s="4" t="str">
        <f>IF($D279="TOTAL:",FIXED(ROUND(((SUM($F$4:$F278)/'RAW DATA'!$E$2)*100),1),1)&amp;"%",IF($D280="TOTAL:",SUM($F$4:$F279),IF(SUMIF('RAW DATA'!M:M,'RAW DATA'!B280,'RAW DATA'!I:I)=0,"",SUMIF('RAW DATA'!M:M,'RAW DATA'!B280,'RAW DATA'!I:I))))</f>
        <v/>
      </c>
      <c r="G280" s="24" t="str">
        <f t="shared" si="4"/>
        <v/>
      </c>
    </row>
    <row r="281" spans="2:7" x14ac:dyDescent="0.25">
      <c r="B281" s="1" t="str">
        <f>IF('RAW DATA'!$C283&lt;&gt;"",'RAW DATA'!$C283,"")</f>
        <v/>
      </c>
      <c r="C281" s="1" t="str">
        <f>IF('RAW DATA'!$D283&lt;&gt;"",'RAW DATA'!$D283,"")</f>
        <v/>
      </c>
      <c r="D281" s="1" t="str">
        <f>IF(AND($B280&lt;&gt;"", $B281=""), "TOTAL:", IF($D280="TOTAL:","VESSEL TARGET "&amp;'RAW DATA'!$E$2&amp;":",IF('RAW DATA'!$E281&lt;&gt;"",'RAW DATA'!$E281,"")))</f>
        <v/>
      </c>
      <c r="E281" s="4" t="str">
        <f>IF($D280="TOTAL:",FIXED(ROUND(((SUM($E$4:$E279)/'RAW DATA'!$E$2)*100),1),1)&amp;"%",IF($D281="TOTAL:",SUM($E$4:$E280),IF(SUMIF('RAW DATA'!M:M,'RAW DATA'!B281,'RAW DATA'!H:H)=0,"",SUMIF('RAW DATA'!M:M,'RAW DATA'!B281,'RAW DATA'!H:H))))</f>
        <v/>
      </c>
      <c r="F281" s="4" t="str">
        <f>IF($D280="TOTAL:",FIXED(ROUND(((SUM($F$4:$F279)/'RAW DATA'!$E$2)*100),1),1)&amp;"%",IF($D281="TOTAL:",SUM($F$4:$F280),IF(SUMIF('RAW DATA'!M:M,'RAW DATA'!B281,'RAW DATA'!I:I)=0,"",SUMIF('RAW DATA'!M:M,'RAW DATA'!B281,'RAW DATA'!I:I))))</f>
        <v/>
      </c>
      <c r="G281" s="24" t="str">
        <f t="shared" si="4"/>
        <v/>
      </c>
    </row>
    <row r="282" spans="2:7" x14ac:dyDescent="0.25">
      <c r="B282" s="1" t="str">
        <f>IF('RAW DATA'!$C284&lt;&gt;"",'RAW DATA'!$C284,"")</f>
        <v/>
      </c>
      <c r="C282" s="1" t="str">
        <f>IF('RAW DATA'!$D284&lt;&gt;"",'RAW DATA'!$D284,"")</f>
        <v/>
      </c>
      <c r="D282" s="1" t="str">
        <f>IF(AND($B281&lt;&gt;"", $B282=""), "TOTAL:", IF($D281="TOTAL:","VESSEL TARGET "&amp;'RAW DATA'!$E$2&amp;":",IF('RAW DATA'!$E282&lt;&gt;"",'RAW DATA'!$E282,"")))</f>
        <v/>
      </c>
      <c r="E282" s="4" t="str">
        <f>IF($D281="TOTAL:",FIXED(ROUND(((SUM($E$4:$E280)/'RAW DATA'!$E$2)*100),1),1)&amp;"%",IF($D282="TOTAL:",SUM($E$4:$E281),IF(SUMIF('RAW DATA'!M:M,'RAW DATA'!B282,'RAW DATA'!H:H)=0,"",SUMIF('RAW DATA'!M:M,'RAW DATA'!B282,'RAW DATA'!H:H))))</f>
        <v/>
      </c>
      <c r="F282" s="4" t="str">
        <f>IF($D281="TOTAL:",FIXED(ROUND(((SUM($F$4:$F280)/'RAW DATA'!$E$2)*100),1),1)&amp;"%",IF($D282="TOTAL:",SUM($F$4:$F281),IF(SUMIF('RAW DATA'!M:M,'RAW DATA'!B282,'RAW DATA'!I:I)=0,"",SUMIF('RAW DATA'!M:M,'RAW DATA'!B282,'RAW DATA'!I:I))))</f>
        <v/>
      </c>
      <c r="G282" s="24" t="str">
        <f t="shared" si="4"/>
        <v/>
      </c>
    </row>
    <row r="283" spans="2:7" x14ac:dyDescent="0.25">
      <c r="B283" s="1" t="str">
        <f>IF('RAW DATA'!$C285&lt;&gt;"",'RAW DATA'!$C285,"")</f>
        <v/>
      </c>
      <c r="C283" s="1" t="str">
        <f>IF('RAW DATA'!$D285&lt;&gt;"",'RAW DATA'!$D285,"")</f>
        <v/>
      </c>
      <c r="D283" s="1" t="str">
        <f>IF(AND($B282&lt;&gt;"", $B283=""), "TOTAL:", IF($D282="TOTAL:","VESSEL TARGET "&amp;'RAW DATA'!$E$2&amp;":",IF('RAW DATA'!$E283&lt;&gt;"",'RAW DATA'!$E283,"")))</f>
        <v/>
      </c>
      <c r="E283" s="4" t="str">
        <f>IF($D282="TOTAL:",FIXED(ROUND(((SUM($E$4:$E281)/'RAW DATA'!$E$2)*100),1),1)&amp;"%",IF($D283="TOTAL:",SUM($E$4:$E282),IF(SUMIF('RAW DATA'!M:M,'RAW DATA'!B283,'RAW DATA'!H:H)=0,"",SUMIF('RAW DATA'!M:M,'RAW DATA'!B283,'RAW DATA'!H:H))))</f>
        <v/>
      </c>
      <c r="F283" s="4" t="str">
        <f>IF($D282="TOTAL:",FIXED(ROUND(((SUM($F$4:$F281)/'RAW DATA'!$E$2)*100),1),1)&amp;"%",IF($D283="TOTAL:",SUM($F$4:$F282),IF(SUMIF('RAW DATA'!M:M,'RAW DATA'!B283,'RAW DATA'!I:I)=0,"",SUMIF('RAW DATA'!M:M,'RAW DATA'!B283,'RAW DATA'!I:I))))</f>
        <v/>
      </c>
      <c r="G283" s="24" t="str">
        <f t="shared" si="4"/>
        <v/>
      </c>
    </row>
    <row r="284" spans="2:7" x14ac:dyDescent="0.25">
      <c r="B284" s="1" t="str">
        <f>IF('RAW DATA'!$C286&lt;&gt;"",'RAW DATA'!$C286,"")</f>
        <v/>
      </c>
      <c r="C284" s="1" t="str">
        <f>IF('RAW DATA'!$D286&lt;&gt;"",'RAW DATA'!$D286,"")</f>
        <v/>
      </c>
      <c r="D284" s="1" t="str">
        <f>IF(AND($B283&lt;&gt;"", $B284=""), "TOTAL:", IF($D283="TOTAL:","VESSEL TARGET "&amp;'RAW DATA'!$E$2&amp;":",IF('RAW DATA'!$E284&lt;&gt;"",'RAW DATA'!$E284,"")))</f>
        <v/>
      </c>
      <c r="E284" s="4" t="str">
        <f>IF($D283="TOTAL:",FIXED(ROUND(((SUM($E$4:$E282)/'RAW DATA'!$E$2)*100),1),1)&amp;"%",IF($D284="TOTAL:",SUM($E$4:$E283),IF(SUMIF('RAW DATA'!M:M,'RAW DATA'!B284,'RAW DATA'!H:H)=0,"",SUMIF('RAW DATA'!M:M,'RAW DATA'!B284,'RAW DATA'!H:H))))</f>
        <v/>
      </c>
      <c r="F284" s="4" t="str">
        <f>IF($D283="TOTAL:",FIXED(ROUND(((SUM($F$4:$F282)/'RAW DATA'!$E$2)*100),1),1)&amp;"%",IF($D284="TOTAL:",SUM($F$4:$F283),IF(SUMIF('RAW DATA'!M:M,'RAW DATA'!B284,'RAW DATA'!I:I)=0,"",SUMIF('RAW DATA'!M:M,'RAW DATA'!B284,'RAW DATA'!I:I))))</f>
        <v/>
      </c>
      <c r="G284" s="24" t="str">
        <f t="shared" si="4"/>
        <v/>
      </c>
    </row>
    <row r="285" spans="2:7" x14ac:dyDescent="0.25">
      <c r="B285" s="1" t="str">
        <f>IF('RAW DATA'!$C287&lt;&gt;"",'RAW DATA'!$C287,"")</f>
        <v/>
      </c>
      <c r="C285" s="1" t="str">
        <f>IF('RAW DATA'!$D287&lt;&gt;"",'RAW DATA'!$D287,"")</f>
        <v/>
      </c>
      <c r="D285" s="1" t="str">
        <f>IF(AND($B284&lt;&gt;"", $B285=""), "TOTAL:", IF($D284="TOTAL:","VESSEL TARGET "&amp;'RAW DATA'!$E$2&amp;":",IF('RAW DATA'!$E285&lt;&gt;"",'RAW DATA'!$E285,"")))</f>
        <v/>
      </c>
      <c r="E285" s="4" t="str">
        <f>IF($D284="TOTAL:",FIXED(ROUND(((SUM($E$4:$E283)/'RAW DATA'!$E$2)*100),1),1)&amp;"%",IF($D285="TOTAL:",SUM($E$4:$E284),IF(SUMIF('RAW DATA'!M:M,'RAW DATA'!B285,'RAW DATA'!H:H)=0,"",SUMIF('RAW DATA'!M:M,'RAW DATA'!B285,'RAW DATA'!H:H))))</f>
        <v/>
      </c>
      <c r="F285" s="4" t="str">
        <f>IF($D284="TOTAL:",FIXED(ROUND(((SUM($F$4:$F283)/'RAW DATA'!$E$2)*100),1),1)&amp;"%",IF($D285="TOTAL:",SUM($F$4:$F284),IF(SUMIF('RAW DATA'!M:M,'RAW DATA'!B285,'RAW DATA'!I:I)=0,"",SUMIF('RAW DATA'!M:M,'RAW DATA'!B285,'RAW DATA'!I:I))))</f>
        <v/>
      </c>
      <c r="G285" s="24" t="str">
        <f t="shared" si="4"/>
        <v/>
      </c>
    </row>
    <row r="286" spans="2:7" x14ac:dyDescent="0.25">
      <c r="B286" s="1" t="str">
        <f>IF('RAW DATA'!$C288&lt;&gt;"",'RAW DATA'!$C288,"")</f>
        <v/>
      </c>
      <c r="C286" s="1" t="str">
        <f>IF('RAW DATA'!$D288&lt;&gt;"",'RAW DATA'!$D288,"")</f>
        <v/>
      </c>
      <c r="D286" s="1" t="str">
        <f>IF(AND($B285&lt;&gt;"", $B286=""), "TOTAL:", IF($D285="TOTAL:","VESSEL TARGET "&amp;'RAW DATA'!$E$2&amp;":",IF('RAW DATA'!$E286&lt;&gt;"",'RAW DATA'!$E286,"")))</f>
        <v/>
      </c>
      <c r="E286" s="4" t="str">
        <f>IF($D285="TOTAL:",FIXED(ROUND(((SUM($E$4:$E284)/'RAW DATA'!$E$2)*100),1),1)&amp;"%",IF($D286="TOTAL:",SUM($E$4:$E285),IF(SUMIF('RAW DATA'!M:M,'RAW DATA'!B286,'RAW DATA'!H:H)=0,"",SUMIF('RAW DATA'!M:M,'RAW DATA'!B286,'RAW DATA'!H:H))))</f>
        <v/>
      </c>
      <c r="F286" s="4" t="str">
        <f>IF($D285="TOTAL:",FIXED(ROUND(((SUM($F$4:$F284)/'RAW DATA'!$E$2)*100),1),1)&amp;"%",IF($D286="TOTAL:",SUM($F$4:$F285),IF(SUMIF('RAW DATA'!M:M,'RAW DATA'!B286,'RAW DATA'!I:I)=0,"",SUMIF('RAW DATA'!M:M,'RAW DATA'!B286,'RAW DATA'!I:I))))</f>
        <v/>
      </c>
      <c r="G286" s="24" t="str">
        <f t="shared" si="4"/>
        <v/>
      </c>
    </row>
    <row r="287" spans="2:7" x14ac:dyDescent="0.25">
      <c r="B287" s="1" t="str">
        <f>IF('RAW DATA'!$C289&lt;&gt;"",'RAW DATA'!$C289,"")</f>
        <v/>
      </c>
      <c r="C287" s="1" t="str">
        <f>IF('RAW DATA'!$D289&lt;&gt;"",'RAW DATA'!$D289,"")</f>
        <v/>
      </c>
      <c r="D287" s="1" t="str">
        <f>IF(AND($B286&lt;&gt;"", $B287=""), "TOTAL:", IF($D286="TOTAL:","VESSEL TARGET "&amp;'RAW DATA'!$E$2&amp;":",IF('RAW DATA'!$E287&lt;&gt;"",'RAW DATA'!$E287,"")))</f>
        <v/>
      </c>
      <c r="E287" s="4" t="str">
        <f>IF($D286="TOTAL:",FIXED(ROUND(((SUM($E$4:$E285)/'RAW DATA'!$E$2)*100),1),1)&amp;"%",IF($D287="TOTAL:",SUM($E$4:$E286),IF(SUMIF('RAW DATA'!M:M,'RAW DATA'!B287,'RAW DATA'!H:H)=0,"",SUMIF('RAW DATA'!M:M,'RAW DATA'!B287,'RAW DATA'!H:H))))</f>
        <v/>
      </c>
      <c r="F287" s="4" t="str">
        <f>IF($D286="TOTAL:",FIXED(ROUND(((SUM($F$4:$F285)/'RAW DATA'!$E$2)*100),1),1)&amp;"%",IF($D287="TOTAL:",SUM($F$4:$F286),IF(SUMIF('RAW DATA'!M:M,'RAW DATA'!B287,'RAW DATA'!I:I)=0,"",SUMIF('RAW DATA'!M:M,'RAW DATA'!B287,'RAW DATA'!I:I))))</f>
        <v/>
      </c>
      <c r="G287" s="24" t="str">
        <f t="shared" si="4"/>
        <v/>
      </c>
    </row>
    <row r="288" spans="2:7" x14ac:dyDescent="0.25">
      <c r="B288" s="1" t="str">
        <f>IF('RAW DATA'!$C290&lt;&gt;"",'RAW DATA'!$C290,"")</f>
        <v/>
      </c>
      <c r="C288" s="1" t="str">
        <f>IF('RAW DATA'!$D290&lt;&gt;"",'RAW DATA'!$D290,"")</f>
        <v/>
      </c>
      <c r="D288" s="1" t="str">
        <f>IF(AND($B287&lt;&gt;"", $B288=""), "TOTAL:", IF($D287="TOTAL:","VESSEL TARGET "&amp;'RAW DATA'!$E$2&amp;":",IF('RAW DATA'!$E288&lt;&gt;"",'RAW DATA'!$E288,"")))</f>
        <v/>
      </c>
      <c r="E288" s="4" t="str">
        <f>IF($D287="TOTAL:",FIXED(ROUND(((SUM($E$4:$E286)/'RAW DATA'!$E$2)*100),1),1)&amp;"%",IF($D288="TOTAL:",SUM($E$4:$E287),IF(SUMIF('RAW DATA'!M:M,'RAW DATA'!B288,'RAW DATA'!H:H)=0,"",SUMIF('RAW DATA'!M:M,'RAW DATA'!B288,'RAW DATA'!H:H))))</f>
        <v/>
      </c>
      <c r="F288" s="4" t="str">
        <f>IF($D287="TOTAL:",FIXED(ROUND(((SUM($F$4:$F286)/'RAW DATA'!$E$2)*100),1),1)&amp;"%",IF($D288="TOTAL:",SUM($F$4:$F287),IF(SUMIF('RAW DATA'!M:M,'RAW DATA'!B288,'RAW DATA'!I:I)=0,"",SUMIF('RAW DATA'!M:M,'RAW DATA'!B288,'RAW DATA'!I:I))))</f>
        <v/>
      </c>
      <c r="G288" s="24" t="str">
        <f t="shared" si="4"/>
        <v/>
      </c>
    </row>
    <row r="289" spans="2:7" x14ac:dyDescent="0.25">
      <c r="B289" s="1" t="str">
        <f>IF('RAW DATA'!$C291&lt;&gt;"",'RAW DATA'!$C291,"")</f>
        <v/>
      </c>
      <c r="C289" s="1" t="str">
        <f>IF('RAW DATA'!$D291&lt;&gt;"",'RAW DATA'!$D291,"")</f>
        <v/>
      </c>
      <c r="D289" s="1" t="str">
        <f>IF(AND($B288&lt;&gt;"", $B289=""), "TOTAL:", IF($D288="TOTAL:","VESSEL TARGET "&amp;'RAW DATA'!$E$2&amp;":",IF('RAW DATA'!$E289&lt;&gt;"",'RAW DATA'!$E289,"")))</f>
        <v/>
      </c>
      <c r="E289" s="4" t="str">
        <f>IF($D288="TOTAL:",FIXED(ROUND(((SUM($E$4:$E287)/'RAW DATA'!$E$2)*100),1),1)&amp;"%",IF($D289="TOTAL:",SUM($E$4:$E288),IF(SUMIF('RAW DATA'!M:M,'RAW DATA'!B289,'RAW DATA'!H:H)=0,"",SUMIF('RAW DATA'!M:M,'RAW DATA'!B289,'RAW DATA'!H:H))))</f>
        <v/>
      </c>
      <c r="F289" s="4" t="str">
        <f>IF($D288="TOTAL:",FIXED(ROUND(((SUM($F$4:$F287)/'RAW DATA'!$E$2)*100),1),1)&amp;"%",IF($D289="TOTAL:",SUM($F$4:$F288),IF(SUMIF('RAW DATA'!M:M,'RAW DATA'!B289,'RAW DATA'!I:I)=0,"",SUMIF('RAW DATA'!M:M,'RAW DATA'!B289,'RAW DATA'!I:I))))</f>
        <v/>
      </c>
      <c r="G289" s="24" t="str">
        <f t="shared" si="4"/>
        <v/>
      </c>
    </row>
    <row r="290" spans="2:7" x14ac:dyDescent="0.25">
      <c r="B290" s="1" t="str">
        <f>IF('RAW DATA'!$C292&lt;&gt;"",'RAW DATA'!$C292,"")</f>
        <v/>
      </c>
      <c r="C290" s="1" t="str">
        <f>IF('RAW DATA'!$D292&lt;&gt;"",'RAW DATA'!$D292,"")</f>
        <v/>
      </c>
      <c r="D290" s="1" t="str">
        <f>IF(AND($B289&lt;&gt;"", $B290=""), "TOTAL:", IF($D289="TOTAL:","VESSEL TARGET "&amp;'RAW DATA'!$E$2&amp;":",IF('RAW DATA'!$E290&lt;&gt;"",'RAW DATA'!$E290,"")))</f>
        <v/>
      </c>
      <c r="E290" s="4" t="str">
        <f>IF($D289="TOTAL:",FIXED(ROUND(((SUM($E$4:$E288)/'RAW DATA'!$E$2)*100),1),1)&amp;"%",IF($D290="TOTAL:",SUM($E$4:$E289),IF(SUMIF('RAW DATA'!M:M,'RAW DATA'!B290,'RAW DATA'!H:H)=0,"",SUMIF('RAW DATA'!M:M,'RAW DATA'!B290,'RAW DATA'!H:H))))</f>
        <v/>
      </c>
      <c r="F290" s="4" t="str">
        <f>IF($D289="TOTAL:",FIXED(ROUND(((SUM($F$4:$F288)/'RAW DATA'!$E$2)*100),1),1)&amp;"%",IF($D290="TOTAL:",SUM($F$4:$F289),IF(SUMIF('RAW DATA'!M:M,'RAW DATA'!B290,'RAW DATA'!I:I)=0,"",SUMIF('RAW DATA'!M:M,'RAW DATA'!B290,'RAW DATA'!I:I))))</f>
        <v/>
      </c>
      <c r="G290" s="24" t="str">
        <f t="shared" si="4"/>
        <v/>
      </c>
    </row>
    <row r="291" spans="2:7" x14ac:dyDescent="0.25">
      <c r="B291" s="1" t="str">
        <f>IF('RAW DATA'!$C293&lt;&gt;"",'RAW DATA'!$C293,"")</f>
        <v/>
      </c>
      <c r="C291" s="1" t="str">
        <f>IF('RAW DATA'!$D293&lt;&gt;"",'RAW DATA'!$D293,"")</f>
        <v/>
      </c>
      <c r="D291" s="1" t="str">
        <f>IF(AND($B290&lt;&gt;"", $B291=""), "TOTAL:", IF($D290="TOTAL:","VESSEL TARGET "&amp;'RAW DATA'!$E$2&amp;":",IF('RAW DATA'!$E291&lt;&gt;"",'RAW DATA'!$E291,"")))</f>
        <v/>
      </c>
      <c r="E291" s="4" t="str">
        <f>IF($D290="TOTAL:",FIXED(ROUND(((SUM($E$4:$E289)/'RAW DATA'!$E$2)*100),1),1)&amp;"%",IF($D291="TOTAL:",SUM($E$4:$E290),IF(SUMIF('RAW DATA'!M:M,'RAW DATA'!B291,'RAW DATA'!H:H)=0,"",SUMIF('RAW DATA'!M:M,'RAW DATA'!B291,'RAW DATA'!H:H))))</f>
        <v/>
      </c>
      <c r="F291" s="4" t="str">
        <f>IF($D290="TOTAL:",FIXED(ROUND(((SUM($F$4:$F289)/'RAW DATA'!$E$2)*100),1),1)&amp;"%",IF($D291="TOTAL:",SUM($F$4:$F290),IF(SUMIF('RAW DATA'!M:M,'RAW DATA'!B291,'RAW DATA'!I:I)=0,"",SUMIF('RAW DATA'!M:M,'RAW DATA'!B291,'RAW DATA'!I:I))))</f>
        <v/>
      </c>
      <c r="G291" s="24" t="str">
        <f t="shared" si="4"/>
        <v/>
      </c>
    </row>
    <row r="292" spans="2:7" x14ac:dyDescent="0.25">
      <c r="B292" s="1" t="str">
        <f>IF('RAW DATA'!$C294&lt;&gt;"",'RAW DATA'!$C294,"")</f>
        <v/>
      </c>
      <c r="C292" s="1" t="str">
        <f>IF('RAW DATA'!$D294&lt;&gt;"",'RAW DATA'!$D294,"")</f>
        <v/>
      </c>
      <c r="D292" s="1" t="str">
        <f>IF(AND($B291&lt;&gt;"", $B292=""), "TOTAL:", IF($D291="TOTAL:","VESSEL TARGET "&amp;'RAW DATA'!$E$2&amp;":",IF('RAW DATA'!$E292&lt;&gt;"",'RAW DATA'!$E292,"")))</f>
        <v/>
      </c>
      <c r="E292" s="4" t="str">
        <f>IF($D291="TOTAL:",FIXED(ROUND(((SUM($E$4:$E290)/'RAW DATA'!$E$2)*100),1),1)&amp;"%",IF($D292="TOTAL:",SUM($E$4:$E291),IF(SUMIF('RAW DATA'!M:M,'RAW DATA'!B292,'RAW DATA'!H:H)=0,"",SUMIF('RAW DATA'!M:M,'RAW DATA'!B292,'RAW DATA'!H:H))))</f>
        <v/>
      </c>
      <c r="F292" s="4" t="str">
        <f>IF($D291="TOTAL:",FIXED(ROUND(((SUM($F$4:$F290)/'RAW DATA'!$E$2)*100),1),1)&amp;"%",IF($D292="TOTAL:",SUM($F$4:$F291),IF(SUMIF('RAW DATA'!M:M,'RAW DATA'!B292,'RAW DATA'!I:I)=0,"",SUMIF('RAW DATA'!M:M,'RAW DATA'!B292,'RAW DATA'!I:I))))</f>
        <v/>
      </c>
      <c r="G292" s="24" t="str">
        <f t="shared" si="4"/>
        <v/>
      </c>
    </row>
    <row r="293" spans="2:7" x14ac:dyDescent="0.25">
      <c r="B293" s="1" t="str">
        <f>IF('RAW DATA'!$C295&lt;&gt;"",'RAW DATA'!$C295,"")</f>
        <v/>
      </c>
      <c r="C293" s="1" t="str">
        <f>IF('RAW DATA'!$D295&lt;&gt;"",'RAW DATA'!$D295,"")</f>
        <v/>
      </c>
      <c r="D293" s="1" t="str">
        <f>IF(AND($B292&lt;&gt;"", $B293=""), "TOTAL:", IF($D292="TOTAL:","VESSEL TARGET "&amp;'RAW DATA'!$E$2&amp;":",IF('RAW DATA'!$E293&lt;&gt;"",'RAW DATA'!$E293,"")))</f>
        <v/>
      </c>
      <c r="E293" s="4" t="str">
        <f>IF($D292="TOTAL:",FIXED(ROUND(((SUM($E$4:$E291)/'RAW DATA'!$E$2)*100),1),1)&amp;"%",IF($D293="TOTAL:",SUM($E$4:$E292),IF(SUMIF('RAW DATA'!M:M,'RAW DATA'!B293,'RAW DATA'!H:H)=0,"",SUMIF('RAW DATA'!M:M,'RAW DATA'!B293,'RAW DATA'!H:H))))</f>
        <v/>
      </c>
      <c r="F293" s="4" t="str">
        <f>IF($D292="TOTAL:",FIXED(ROUND(((SUM($F$4:$F291)/'RAW DATA'!$E$2)*100),1),1)&amp;"%",IF($D293="TOTAL:",SUM($F$4:$F292),IF(SUMIF('RAW DATA'!M:M,'RAW DATA'!B293,'RAW DATA'!I:I)=0,"",SUMIF('RAW DATA'!M:M,'RAW DATA'!B293,'RAW DATA'!I:I))))</f>
        <v/>
      </c>
      <c r="G293" s="24" t="str">
        <f t="shared" si="4"/>
        <v/>
      </c>
    </row>
    <row r="294" spans="2:7" x14ac:dyDescent="0.25">
      <c r="B294" s="1" t="str">
        <f>IF('RAW DATA'!$C296&lt;&gt;"",'RAW DATA'!$C296,"")</f>
        <v/>
      </c>
      <c r="C294" s="1" t="str">
        <f>IF('RAW DATA'!$D296&lt;&gt;"",'RAW DATA'!$D296,"")</f>
        <v/>
      </c>
      <c r="D294" s="1" t="str">
        <f>IF(AND($B293&lt;&gt;"", $B294=""), "TOTAL:", IF($D293="TOTAL:","VESSEL TARGET "&amp;'RAW DATA'!$E$2&amp;":",IF('RAW DATA'!$E294&lt;&gt;"",'RAW DATA'!$E294,"")))</f>
        <v/>
      </c>
      <c r="E294" s="4" t="str">
        <f>IF($D293="TOTAL:",FIXED(ROUND(((SUM($E$4:$E292)/'RAW DATA'!$E$2)*100),1),1)&amp;"%",IF($D294="TOTAL:",SUM($E$4:$E293),IF(SUMIF('RAW DATA'!M:M,'RAW DATA'!B294,'RAW DATA'!H:H)=0,"",SUMIF('RAW DATA'!M:M,'RAW DATA'!B294,'RAW DATA'!H:H))))</f>
        <v/>
      </c>
      <c r="F294" s="4" t="str">
        <f>IF($D293="TOTAL:",FIXED(ROUND(((SUM($F$4:$F292)/'RAW DATA'!$E$2)*100),1),1)&amp;"%",IF($D294="TOTAL:",SUM($F$4:$F293),IF(SUMIF('RAW DATA'!M:M,'RAW DATA'!B294,'RAW DATA'!I:I)=0,"",SUMIF('RAW DATA'!M:M,'RAW DATA'!B294,'RAW DATA'!I:I))))</f>
        <v/>
      </c>
      <c r="G294" s="24" t="str">
        <f t="shared" si="4"/>
        <v/>
      </c>
    </row>
    <row r="295" spans="2:7" x14ac:dyDescent="0.25">
      <c r="B295" s="1" t="str">
        <f>IF('RAW DATA'!$C297&lt;&gt;"",'RAW DATA'!$C297,"")</f>
        <v/>
      </c>
      <c r="C295" s="1" t="str">
        <f>IF('RAW DATA'!$D297&lt;&gt;"",'RAW DATA'!$D297,"")</f>
        <v/>
      </c>
      <c r="D295" s="1" t="str">
        <f>IF(AND($B294&lt;&gt;"", $B295=""), "TOTAL:", IF($D294="TOTAL:","VESSEL TARGET "&amp;'RAW DATA'!$E$2&amp;":",IF('RAW DATA'!$E295&lt;&gt;"",'RAW DATA'!$E295,"")))</f>
        <v/>
      </c>
      <c r="E295" s="4" t="str">
        <f>IF($D294="TOTAL:",FIXED(ROUND(((SUM($E$4:$E293)/'RAW DATA'!$E$2)*100),1),1)&amp;"%",IF($D295="TOTAL:",SUM($E$4:$E294),IF(SUMIF('RAW DATA'!M:M,'RAW DATA'!B295,'RAW DATA'!H:H)=0,"",SUMIF('RAW DATA'!M:M,'RAW DATA'!B295,'RAW DATA'!H:H))))</f>
        <v/>
      </c>
      <c r="F295" s="4" t="str">
        <f>IF($D294="TOTAL:",FIXED(ROUND(((SUM($F$4:$F293)/'RAW DATA'!$E$2)*100),1),1)&amp;"%",IF($D295="TOTAL:",SUM($F$4:$F294),IF(SUMIF('RAW DATA'!M:M,'RAW DATA'!B295,'RAW DATA'!I:I)=0,"",SUMIF('RAW DATA'!M:M,'RAW DATA'!B295,'RAW DATA'!I:I))))</f>
        <v/>
      </c>
      <c r="G295" s="24" t="str">
        <f t="shared" si="4"/>
        <v/>
      </c>
    </row>
    <row r="296" spans="2:7" x14ac:dyDescent="0.25">
      <c r="B296" s="1" t="str">
        <f>IF('RAW DATA'!$C298&lt;&gt;"",'RAW DATA'!$C298,"")</f>
        <v/>
      </c>
      <c r="C296" s="1" t="str">
        <f>IF('RAW DATA'!$D298&lt;&gt;"",'RAW DATA'!$D298,"")</f>
        <v/>
      </c>
      <c r="D296" s="1" t="str">
        <f>IF(AND($B295&lt;&gt;"", $B296=""), "TOTAL:", IF($D295="TOTAL:","VESSEL TARGET "&amp;'RAW DATA'!$E$2&amp;":",IF('RAW DATA'!$E296&lt;&gt;"",'RAW DATA'!$E296,"")))</f>
        <v/>
      </c>
      <c r="E296" s="4" t="str">
        <f>IF($D295="TOTAL:",FIXED(ROUND(((SUM($E$4:$E294)/'RAW DATA'!$E$2)*100),1),1)&amp;"%",IF($D296="TOTAL:",SUM($E$4:$E295),IF(SUMIF('RAW DATA'!M:M,'RAW DATA'!B296,'RAW DATA'!H:H)=0,"",SUMIF('RAW DATA'!M:M,'RAW DATA'!B296,'RAW DATA'!H:H))))</f>
        <v/>
      </c>
      <c r="F296" s="4" t="str">
        <f>IF($D295="TOTAL:",FIXED(ROUND(((SUM($F$4:$F294)/'RAW DATA'!$E$2)*100),1),1)&amp;"%",IF($D296="TOTAL:",SUM($F$4:$F295),IF(SUMIF('RAW DATA'!M:M,'RAW DATA'!B296,'RAW DATA'!I:I)=0,"",SUMIF('RAW DATA'!M:M,'RAW DATA'!B296,'RAW DATA'!I:I))))</f>
        <v/>
      </c>
      <c r="G296" s="24" t="str">
        <f t="shared" si="4"/>
        <v/>
      </c>
    </row>
    <row r="297" spans="2:7" x14ac:dyDescent="0.25">
      <c r="B297" s="1" t="str">
        <f>IF('RAW DATA'!$C299&lt;&gt;"",'RAW DATA'!$C299,"")</f>
        <v/>
      </c>
      <c r="C297" s="1" t="str">
        <f>IF('RAW DATA'!$D299&lt;&gt;"",'RAW DATA'!$D299,"")</f>
        <v/>
      </c>
      <c r="D297" s="1" t="str">
        <f>IF(AND($B296&lt;&gt;"", $B297=""), "TOTAL:", IF($D296="TOTAL:","VESSEL TARGET "&amp;'RAW DATA'!$E$2&amp;":",IF('RAW DATA'!$E297&lt;&gt;"",'RAW DATA'!$E297,"")))</f>
        <v/>
      </c>
      <c r="E297" s="4" t="str">
        <f>IF($D296="TOTAL:",FIXED(ROUND(((SUM($E$4:$E295)/'RAW DATA'!$E$2)*100),1),1)&amp;"%",IF($D297="TOTAL:",SUM($E$4:$E296),IF(SUMIF('RAW DATA'!M:M,'RAW DATA'!B297,'RAW DATA'!H:H)=0,"",SUMIF('RAW DATA'!M:M,'RAW DATA'!B297,'RAW DATA'!H:H))))</f>
        <v/>
      </c>
      <c r="F297" s="4" t="str">
        <f>IF($D296="TOTAL:",FIXED(ROUND(((SUM($F$4:$F295)/'RAW DATA'!$E$2)*100),1),1)&amp;"%",IF($D297="TOTAL:",SUM($F$4:$F296),IF(SUMIF('RAW DATA'!M:M,'RAW DATA'!B297,'RAW DATA'!I:I)=0,"",SUMIF('RAW DATA'!M:M,'RAW DATA'!B297,'RAW DATA'!I:I))))</f>
        <v/>
      </c>
      <c r="G297" s="24" t="str">
        <f t="shared" si="4"/>
        <v/>
      </c>
    </row>
    <row r="298" spans="2:7" x14ac:dyDescent="0.25">
      <c r="B298" s="1" t="str">
        <f>IF('RAW DATA'!$C300&lt;&gt;"",'RAW DATA'!$C300,"")</f>
        <v/>
      </c>
      <c r="C298" s="1" t="str">
        <f>IF('RAW DATA'!$D300&lt;&gt;"",'RAW DATA'!$D300,"")</f>
        <v/>
      </c>
      <c r="D298" s="1" t="str">
        <f>IF(AND($B297&lt;&gt;"", $B298=""), "TOTAL:", IF($D297="TOTAL:","VESSEL TARGET "&amp;'RAW DATA'!$E$2&amp;":",IF('RAW DATA'!$E298&lt;&gt;"",'RAW DATA'!$E298,"")))</f>
        <v/>
      </c>
      <c r="E298" s="4" t="str">
        <f>IF($D297="TOTAL:",FIXED(ROUND(((SUM($E$4:$E296)/'RAW DATA'!$E$2)*100),1),1)&amp;"%",IF($D298="TOTAL:",SUM($E$4:$E297),IF(SUMIF('RAW DATA'!M:M,'RAW DATA'!B298,'RAW DATA'!H:H)=0,"",SUMIF('RAW DATA'!M:M,'RAW DATA'!B298,'RAW DATA'!H:H))))</f>
        <v/>
      </c>
      <c r="F298" s="4" t="str">
        <f>IF($D297="TOTAL:",FIXED(ROUND(((SUM($F$4:$F296)/'RAW DATA'!$E$2)*100),1),1)&amp;"%",IF($D298="TOTAL:",SUM($F$4:$F297),IF(SUMIF('RAW DATA'!M:M,'RAW DATA'!B298,'RAW DATA'!I:I)=0,"",SUMIF('RAW DATA'!M:M,'RAW DATA'!B298,'RAW DATA'!I:I))))</f>
        <v/>
      </c>
      <c r="G298" s="24" t="str">
        <f t="shared" si="4"/>
        <v/>
      </c>
    </row>
    <row r="299" spans="2:7" x14ac:dyDescent="0.25">
      <c r="B299" s="1" t="str">
        <f>IF('RAW DATA'!$C301&lt;&gt;"",'RAW DATA'!$C301,"")</f>
        <v/>
      </c>
      <c r="C299" s="1" t="str">
        <f>IF('RAW DATA'!$D301&lt;&gt;"",'RAW DATA'!$D301,"")</f>
        <v/>
      </c>
      <c r="D299" s="1" t="str">
        <f>IF(AND($B298&lt;&gt;"", $B299=""), "TOTAL:", IF($D298="TOTAL:","VESSEL TARGET "&amp;'RAW DATA'!$E$2&amp;":",IF('RAW DATA'!$E299&lt;&gt;"",'RAW DATA'!$E299,"")))</f>
        <v/>
      </c>
      <c r="E299" s="4" t="str">
        <f>IF($D298="TOTAL:",FIXED(ROUND(((SUM($E$4:$E297)/'RAW DATA'!$E$2)*100),1),1)&amp;"%",IF($D299="TOTAL:",SUM($E$4:$E298),IF(SUMIF('RAW DATA'!M:M,'RAW DATA'!B299,'RAW DATA'!H:H)=0,"",SUMIF('RAW DATA'!M:M,'RAW DATA'!B299,'RAW DATA'!H:H))))</f>
        <v/>
      </c>
      <c r="F299" s="4" t="str">
        <f>IF($D298="TOTAL:",FIXED(ROUND(((SUM($F$4:$F297)/'RAW DATA'!$E$2)*100),1),1)&amp;"%",IF($D299="TOTAL:",SUM($F$4:$F298),IF(SUMIF('RAW DATA'!M:M,'RAW DATA'!B299,'RAW DATA'!I:I)=0,"",SUMIF('RAW DATA'!M:M,'RAW DATA'!B299,'RAW DATA'!I:I))))</f>
        <v/>
      </c>
      <c r="G299" s="24" t="str">
        <f t="shared" si="4"/>
        <v/>
      </c>
    </row>
    <row r="300" spans="2:7" x14ac:dyDescent="0.25">
      <c r="B300" s="1" t="str">
        <f>IF('RAW DATA'!$C302&lt;&gt;"",'RAW DATA'!$C302,"")</f>
        <v/>
      </c>
      <c r="C300" s="1" t="str">
        <f>IF('RAW DATA'!$D302&lt;&gt;"",'RAW DATA'!$D302,"")</f>
        <v/>
      </c>
      <c r="D300" s="1" t="str">
        <f>IF(AND($B299&lt;&gt;"", $B300=""), "TOTAL:", IF($D299="TOTAL:","VESSEL TARGET "&amp;'RAW DATA'!$E$2&amp;":",IF('RAW DATA'!$E300&lt;&gt;"",'RAW DATA'!$E300,"")))</f>
        <v/>
      </c>
      <c r="E300" s="4" t="str">
        <f>IF($D299="TOTAL:",FIXED(ROUND(((SUM($E$4:$E298)/'RAW DATA'!$E$2)*100),1),1)&amp;"%",IF($D300="TOTAL:",SUM($E$4:$E299),IF(SUMIF('RAW DATA'!M:M,'RAW DATA'!B300,'RAW DATA'!H:H)=0,"",SUMIF('RAW DATA'!M:M,'RAW DATA'!B300,'RAW DATA'!H:H))))</f>
        <v/>
      </c>
      <c r="F300" s="4" t="str">
        <f>IF($D299="TOTAL:",FIXED(ROUND(((SUM($F$4:$F298)/'RAW DATA'!$E$2)*100),1),1)&amp;"%",IF($D300="TOTAL:",SUM($F$4:$F299),IF(SUMIF('RAW DATA'!M:M,'RAW DATA'!B300,'RAW DATA'!I:I)=0,"",SUMIF('RAW DATA'!M:M,'RAW DATA'!B300,'RAW DATA'!I:I))))</f>
        <v/>
      </c>
      <c r="G300" s="24" t="str">
        <f t="shared" si="4"/>
        <v/>
      </c>
    </row>
    <row r="301" spans="2:7" x14ac:dyDescent="0.25">
      <c r="B301" s="1" t="str">
        <f>IF('RAW DATA'!$C303&lt;&gt;"",'RAW DATA'!$C303,"")</f>
        <v/>
      </c>
      <c r="C301" s="1" t="str">
        <f>IF('RAW DATA'!$D303&lt;&gt;"",'RAW DATA'!$D303,"")</f>
        <v/>
      </c>
      <c r="D301" s="1" t="str">
        <f>IF(AND($B300&lt;&gt;"", $B301=""), "TOTAL:", IF($D300="TOTAL:","VESSEL TARGET "&amp;'RAW DATA'!$E$2&amp;":",IF('RAW DATA'!$E301&lt;&gt;"",'RAW DATA'!$E301,"")))</f>
        <v/>
      </c>
      <c r="E301" s="4" t="str">
        <f>IF($D300="TOTAL:",FIXED(ROUND(((SUM($E$4:$E299)/'RAW DATA'!$E$2)*100),1),1)&amp;"%",IF($D301="TOTAL:",SUM($E$4:$E300),IF(SUMIF('RAW DATA'!M:M,'RAW DATA'!B301,'RAW DATA'!H:H)=0,"",SUMIF('RAW DATA'!M:M,'RAW DATA'!B301,'RAW DATA'!H:H))))</f>
        <v/>
      </c>
      <c r="F301" s="4" t="str">
        <f>IF($D300="TOTAL:",FIXED(ROUND(((SUM($F$4:$F299)/'RAW DATA'!$E$2)*100),1),1)&amp;"%",IF($D301="TOTAL:",SUM($F$4:$F300),IF(SUMIF('RAW DATA'!M:M,'RAW DATA'!B301,'RAW DATA'!I:I)=0,"",SUMIF('RAW DATA'!M:M,'RAW DATA'!B301,'RAW DATA'!I:I))))</f>
        <v/>
      </c>
      <c r="G301" s="24" t="str">
        <f t="shared" si="4"/>
        <v/>
      </c>
    </row>
    <row r="302" spans="2:7" x14ac:dyDescent="0.25">
      <c r="B302" s="1" t="str">
        <f>IF('RAW DATA'!$C304&lt;&gt;"",'RAW DATA'!$C304,"")</f>
        <v/>
      </c>
      <c r="C302" s="1" t="str">
        <f>IF('RAW DATA'!$D304&lt;&gt;"",'RAW DATA'!$D304,"")</f>
        <v/>
      </c>
      <c r="D302" s="1" t="str">
        <f>IF(AND($B301&lt;&gt;"", $B302=""), "TOTAL:", IF($D301="TOTAL:","VESSEL TARGET "&amp;'RAW DATA'!$E$2&amp;":",IF('RAW DATA'!$E302&lt;&gt;"",'RAW DATA'!$E302,"")))</f>
        <v/>
      </c>
      <c r="E302" s="4" t="str">
        <f>IF($D301="TOTAL:",FIXED(ROUND(((SUM($E$4:$E300)/'RAW DATA'!$E$2)*100),1),1)&amp;"%",IF($D302="TOTAL:",SUM($E$4:$E301),IF(SUMIF('RAW DATA'!M:M,'RAW DATA'!B302,'RAW DATA'!H:H)=0,"",SUMIF('RAW DATA'!M:M,'RAW DATA'!B302,'RAW DATA'!H:H))))</f>
        <v/>
      </c>
      <c r="F302" s="4" t="str">
        <f>IF($D301="TOTAL:",FIXED(ROUND(((SUM($F$4:$F300)/'RAW DATA'!$E$2)*100),1),1)&amp;"%",IF($D302="TOTAL:",SUM($F$4:$F301),IF(SUMIF('RAW DATA'!M:M,'RAW DATA'!B302,'RAW DATA'!I:I)=0,"",SUMIF('RAW DATA'!M:M,'RAW DATA'!B302,'RAW DATA'!I:I))))</f>
        <v/>
      </c>
      <c r="G302" s="24" t="str">
        <f t="shared" si="4"/>
        <v/>
      </c>
    </row>
    <row r="303" spans="2:7" x14ac:dyDescent="0.25">
      <c r="B303" s="1" t="str">
        <f>IF('RAW DATA'!$C305&lt;&gt;"",'RAW DATA'!$C305,"")</f>
        <v/>
      </c>
      <c r="C303" s="1" t="str">
        <f>IF('RAW DATA'!$D305&lt;&gt;"",'RAW DATA'!$D305,"")</f>
        <v/>
      </c>
      <c r="D303" s="1" t="str">
        <f>IF(AND($B302&lt;&gt;"", $B303=""), "TOTAL:", IF($D302="TOTAL:","VESSEL TARGET "&amp;'RAW DATA'!$E$2&amp;":",IF('RAW DATA'!$E303&lt;&gt;"",'RAW DATA'!$E303,"")))</f>
        <v/>
      </c>
      <c r="E303" s="4" t="str">
        <f>IF($D302="TOTAL:",FIXED(ROUND(((SUM($E$4:$E301)/'RAW DATA'!$E$2)*100),1),1)&amp;"%",IF($D303="TOTAL:",SUM($E$4:$E302),IF(SUMIF('RAW DATA'!M:M,'RAW DATA'!B303,'RAW DATA'!H:H)=0,"",SUMIF('RAW DATA'!M:M,'RAW DATA'!B303,'RAW DATA'!H:H))))</f>
        <v/>
      </c>
      <c r="F303" s="4" t="str">
        <f>IF($D302="TOTAL:",FIXED(ROUND(((SUM($F$4:$F301)/'RAW DATA'!$E$2)*100),1),1)&amp;"%",IF($D303="TOTAL:",SUM($F$4:$F302),IF(SUMIF('RAW DATA'!M:M,'RAW DATA'!B303,'RAW DATA'!I:I)=0,"",SUMIF('RAW DATA'!M:M,'RAW DATA'!B303,'RAW DATA'!I:I))))</f>
        <v/>
      </c>
      <c r="G303" s="24" t="str">
        <f t="shared" si="4"/>
        <v/>
      </c>
    </row>
    <row r="304" spans="2:7" x14ac:dyDescent="0.25">
      <c r="B304" s="1" t="str">
        <f>IF('RAW DATA'!$C306&lt;&gt;"",'RAW DATA'!$C306,"")</f>
        <v/>
      </c>
      <c r="C304" s="1" t="str">
        <f>IF('RAW DATA'!$D306&lt;&gt;"",'RAW DATA'!$D306,"")</f>
        <v/>
      </c>
      <c r="D304" s="1" t="str">
        <f>IF(AND($B303&lt;&gt;"", $B304=""), "TOTAL:", IF($D303="TOTAL:","VESSEL TARGET "&amp;'RAW DATA'!$E$2&amp;":",IF('RAW DATA'!$E304&lt;&gt;"",'RAW DATA'!$E304,"")))</f>
        <v/>
      </c>
      <c r="E304" s="4" t="str">
        <f>IF($D303="TOTAL:",FIXED(ROUND(((SUM($E$4:$E302)/'RAW DATA'!$E$2)*100),1),1)&amp;"%",IF($D304="TOTAL:",SUM($E$4:$E303),IF(SUMIF('RAW DATA'!M:M,'RAW DATA'!B304,'RAW DATA'!H:H)=0,"",SUMIF('RAW DATA'!M:M,'RAW DATA'!B304,'RAW DATA'!H:H))))</f>
        <v/>
      </c>
      <c r="F304" s="4" t="str">
        <f>IF($D303="TOTAL:",FIXED(ROUND(((SUM($F$4:$F302)/'RAW DATA'!$E$2)*100),1),1)&amp;"%",IF($D304="TOTAL:",SUM($F$4:$F303),IF(SUMIF('RAW DATA'!M:M,'RAW DATA'!B304,'RAW DATA'!I:I)=0,"",SUMIF('RAW DATA'!M:M,'RAW DATA'!B304,'RAW DATA'!I:I))))</f>
        <v/>
      </c>
      <c r="G304" s="24" t="str">
        <f t="shared" si="4"/>
        <v/>
      </c>
    </row>
    <row r="305" spans="2:7" x14ac:dyDescent="0.25">
      <c r="B305" s="1" t="str">
        <f>IF('RAW DATA'!$C307&lt;&gt;"",'RAW DATA'!$C307,"")</f>
        <v/>
      </c>
      <c r="C305" s="1" t="str">
        <f>IF('RAW DATA'!$D307&lt;&gt;"",'RAW DATA'!$D307,"")</f>
        <v/>
      </c>
      <c r="D305" s="1" t="str">
        <f>IF(AND($B304&lt;&gt;"", $B305=""), "TOTAL:", IF($D304="TOTAL:","VESSEL TARGET "&amp;'RAW DATA'!$E$2&amp;":",IF('RAW DATA'!$E305&lt;&gt;"",'RAW DATA'!$E305,"")))</f>
        <v/>
      </c>
      <c r="E305" s="4" t="str">
        <f>IF($D304="TOTAL:",FIXED(ROUND(((SUM($E$4:$E303)/'RAW DATA'!$E$2)*100),1),1)&amp;"%",IF($D305="TOTAL:",SUM($E$4:$E304),IF(SUMIF('RAW DATA'!M:M,'RAW DATA'!B305,'RAW DATA'!H:H)=0,"",SUMIF('RAW DATA'!M:M,'RAW DATA'!B305,'RAW DATA'!H:H))))</f>
        <v/>
      </c>
      <c r="F305" s="4" t="str">
        <f>IF($D304="TOTAL:",FIXED(ROUND(((SUM($F$4:$F303)/'RAW DATA'!$E$2)*100),1),1)&amp;"%",IF($D305="TOTAL:",SUM($F$4:$F304),IF(SUMIF('RAW DATA'!M:M,'RAW DATA'!B305,'RAW DATA'!I:I)=0,"",SUMIF('RAW DATA'!M:M,'RAW DATA'!B305,'RAW DATA'!I:I))))</f>
        <v/>
      </c>
      <c r="G305" s="24" t="str">
        <f t="shared" si="4"/>
        <v/>
      </c>
    </row>
    <row r="306" spans="2:7" x14ac:dyDescent="0.25">
      <c r="B306" s="1" t="str">
        <f>IF('RAW DATA'!$C308&lt;&gt;"",'RAW DATA'!$C308,"")</f>
        <v/>
      </c>
      <c r="C306" s="1" t="str">
        <f>IF('RAW DATA'!$D308&lt;&gt;"",'RAW DATA'!$D308,"")</f>
        <v/>
      </c>
      <c r="D306" s="1" t="str">
        <f>IF(AND($B305&lt;&gt;"", $B306=""), "TOTAL:", IF($D305="TOTAL:","VESSEL TARGET "&amp;'RAW DATA'!$E$2&amp;":",IF('RAW DATA'!$E306&lt;&gt;"",'RAW DATA'!$E306,"")))</f>
        <v/>
      </c>
      <c r="E306" s="4" t="str">
        <f>IF($D305="TOTAL:",FIXED(ROUND(((SUM($E$4:$E304)/'RAW DATA'!$E$2)*100),1),1)&amp;"%",IF($D306="TOTAL:",SUM($E$4:$E305),IF(SUMIF('RAW DATA'!M:M,'RAW DATA'!B306,'RAW DATA'!H:H)=0,"",SUMIF('RAW DATA'!M:M,'RAW DATA'!B306,'RAW DATA'!H:H))))</f>
        <v/>
      </c>
      <c r="F306" s="4" t="str">
        <f>IF($D305="TOTAL:",FIXED(ROUND(((SUM($F$4:$F304)/'RAW DATA'!$E$2)*100),1),1)&amp;"%",IF($D306="TOTAL:",SUM($F$4:$F305),IF(SUMIF('RAW DATA'!M:M,'RAW DATA'!B306,'RAW DATA'!I:I)=0,"",SUMIF('RAW DATA'!M:M,'RAW DATA'!B306,'RAW DATA'!I:I))))</f>
        <v/>
      </c>
      <c r="G306" s="24" t="str">
        <f t="shared" si="4"/>
        <v/>
      </c>
    </row>
    <row r="307" spans="2:7" x14ac:dyDescent="0.25">
      <c r="B307" s="1" t="str">
        <f>IF('RAW DATA'!$C309&lt;&gt;"",'RAW DATA'!$C309,"")</f>
        <v/>
      </c>
      <c r="C307" s="1" t="str">
        <f>IF('RAW DATA'!$D309&lt;&gt;"",'RAW DATA'!$D309,"")</f>
        <v/>
      </c>
      <c r="D307" s="1" t="str">
        <f>IF(AND($B306&lt;&gt;"", $B307=""), "TOTAL:", IF($D306="TOTAL:","VESSEL TARGET "&amp;'RAW DATA'!$E$2&amp;":",IF('RAW DATA'!$E307&lt;&gt;"",'RAW DATA'!$E307,"")))</f>
        <v/>
      </c>
      <c r="E307" s="4" t="str">
        <f>IF($D306="TOTAL:",FIXED(ROUND(((SUM($E$4:$E305)/'RAW DATA'!$E$2)*100),1),1)&amp;"%",IF($D307="TOTAL:",SUM($E$4:$E306),IF(SUMIF('RAW DATA'!M:M,'RAW DATA'!B307,'RAW DATA'!H:H)=0,"",SUMIF('RAW DATA'!M:M,'RAW DATA'!B307,'RAW DATA'!H:H))))</f>
        <v/>
      </c>
      <c r="F307" s="4" t="str">
        <f>IF($D306="TOTAL:",FIXED(ROUND(((SUM($F$4:$F305)/'RAW DATA'!$E$2)*100),1),1)&amp;"%",IF($D307="TOTAL:",SUM($F$4:$F306),IF(SUMIF('RAW DATA'!M:M,'RAW DATA'!B307,'RAW DATA'!I:I)=0,"",SUMIF('RAW DATA'!M:M,'RAW DATA'!B307,'RAW DATA'!I:I))))</f>
        <v/>
      </c>
      <c r="G307" s="24" t="str">
        <f t="shared" si="4"/>
        <v/>
      </c>
    </row>
    <row r="308" spans="2:7" x14ac:dyDescent="0.25">
      <c r="B308" s="1" t="str">
        <f>IF('RAW DATA'!$C310&lt;&gt;"",'RAW DATA'!$C310,"")</f>
        <v/>
      </c>
      <c r="C308" s="1" t="str">
        <f>IF('RAW DATA'!$D310&lt;&gt;"",'RAW DATA'!$D310,"")</f>
        <v/>
      </c>
      <c r="D308" s="1" t="str">
        <f>IF(AND($B307&lt;&gt;"", $B308=""), "TOTAL:", IF($D307="TOTAL:","VESSEL TARGET "&amp;'RAW DATA'!$E$2&amp;":",IF('RAW DATA'!$E308&lt;&gt;"",'RAW DATA'!$E308,"")))</f>
        <v/>
      </c>
      <c r="E308" s="4" t="str">
        <f>IF($D307="TOTAL:",FIXED(ROUND(((SUM($E$4:$E306)/'RAW DATA'!$E$2)*100),1),1)&amp;"%",IF($D308="TOTAL:",SUM($E$4:$E307),IF(SUMIF('RAW DATA'!M:M,'RAW DATA'!B308,'RAW DATA'!H:H)=0,"",SUMIF('RAW DATA'!M:M,'RAW DATA'!B308,'RAW DATA'!H:H))))</f>
        <v/>
      </c>
      <c r="F308" s="4" t="str">
        <f>IF($D307="TOTAL:",FIXED(ROUND(((SUM($F$4:$F306)/'RAW DATA'!$E$2)*100),1),1)&amp;"%",IF($D308="TOTAL:",SUM($F$4:$F307),IF(SUMIF('RAW DATA'!M:M,'RAW DATA'!B308,'RAW DATA'!I:I)=0,"",SUMIF('RAW DATA'!M:M,'RAW DATA'!B308,'RAW DATA'!I:I))))</f>
        <v/>
      </c>
      <c r="G308" s="24" t="str">
        <f t="shared" si="4"/>
        <v/>
      </c>
    </row>
    <row r="309" spans="2:7" x14ac:dyDescent="0.25">
      <c r="B309" s="1" t="str">
        <f>IF('RAW DATA'!$C311&lt;&gt;"",'RAW DATA'!$C311,"")</f>
        <v/>
      </c>
      <c r="C309" s="1" t="str">
        <f>IF('RAW DATA'!$D311&lt;&gt;"",'RAW DATA'!$D311,"")</f>
        <v/>
      </c>
      <c r="D309" s="1" t="str">
        <f>IF(AND($B308&lt;&gt;"", $B309=""), "TOTAL:", IF($D308="TOTAL:","VESSEL TARGET "&amp;'RAW DATA'!$E$2&amp;":",IF('RAW DATA'!$E309&lt;&gt;"",'RAW DATA'!$E309,"")))</f>
        <v/>
      </c>
      <c r="E309" s="4" t="str">
        <f>IF($D308="TOTAL:",FIXED(ROUND(((SUM($E$4:$E307)/'RAW DATA'!$E$2)*100),1),1)&amp;"%",IF($D309="TOTAL:",SUM($E$4:$E308),IF(SUMIF('RAW DATA'!M:M,'RAW DATA'!B309,'RAW DATA'!H:H)=0,"",SUMIF('RAW DATA'!M:M,'RAW DATA'!B309,'RAW DATA'!H:H))))</f>
        <v/>
      </c>
      <c r="F309" s="4" t="str">
        <f>IF($D308="TOTAL:",FIXED(ROUND(((SUM($F$4:$F307)/'RAW DATA'!$E$2)*100),1),1)&amp;"%",IF($D309="TOTAL:",SUM($F$4:$F308),IF(SUMIF('RAW DATA'!M:M,'RAW DATA'!B309,'RAW DATA'!I:I)=0,"",SUMIF('RAW DATA'!M:M,'RAW DATA'!B309,'RAW DATA'!I:I))))</f>
        <v/>
      </c>
      <c r="G309" s="24" t="str">
        <f t="shared" si="4"/>
        <v/>
      </c>
    </row>
    <row r="310" spans="2:7" x14ac:dyDescent="0.25">
      <c r="B310" s="1" t="str">
        <f>IF('RAW DATA'!$C312&lt;&gt;"",'RAW DATA'!$C312,"")</f>
        <v/>
      </c>
      <c r="C310" s="1" t="str">
        <f>IF('RAW DATA'!$D312&lt;&gt;"",'RAW DATA'!$D312,"")</f>
        <v/>
      </c>
      <c r="D310" s="1" t="str">
        <f>IF(AND($B309&lt;&gt;"", $B310=""), "TOTAL:", IF($D309="TOTAL:","VESSEL TARGET "&amp;'RAW DATA'!$E$2&amp;":",IF('RAW DATA'!$E310&lt;&gt;"",'RAW DATA'!$E310,"")))</f>
        <v/>
      </c>
      <c r="E310" s="4" t="str">
        <f>IF($D309="TOTAL:",FIXED(ROUND(((SUM($E$4:$E308)/'RAW DATA'!$E$2)*100),1),1)&amp;"%",IF($D310="TOTAL:",SUM($E$4:$E309),IF(SUMIF('RAW DATA'!M:M,'RAW DATA'!B310,'RAW DATA'!H:H)=0,"",SUMIF('RAW DATA'!M:M,'RAW DATA'!B310,'RAW DATA'!H:H))))</f>
        <v/>
      </c>
      <c r="F310" s="4" t="str">
        <f>IF($D309="TOTAL:",FIXED(ROUND(((SUM($F$4:$F308)/'RAW DATA'!$E$2)*100),1),1)&amp;"%",IF($D310="TOTAL:",SUM($F$4:$F309),IF(SUMIF('RAW DATA'!M:M,'RAW DATA'!B310,'RAW DATA'!I:I)=0,"",SUMIF('RAW DATA'!M:M,'RAW DATA'!B310,'RAW DATA'!I:I))))</f>
        <v/>
      </c>
      <c r="G310" s="24" t="str">
        <f t="shared" si="4"/>
        <v/>
      </c>
    </row>
    <row r="311" spans="2:7" x14ac:dyDescent="0.25">
      <c r="B311" s="1" t="str">
        <f>IF('RAW DATA'!$C313&lt;&gt;"",'RAW DATA'!$C313,"")</f>
        <v/>
      </c>
      <c r="C311" s="1" t="str">
        <f>IF('RAW DATA'!$D313&lt;&gt;"",'RAW DATA'!$D313,"")</f>
        <v/>
      </c>
      <c r="D311" s="1" t="str">
        <f>IF(AND($B310&lt;&gt;"", $B311=""), "TOTAL:", IF($D310="TOTAL:","VESSEL TARGET "&amp;'RAW DATA'!$E$2&amp;":",IF('RAW DATA'!$E311&lt;&gt;"",'RAW DATA'!$E311,"")))</f>
        <v/>
      </c>
      <c r="E311" s="4" t="str">
        <f>IF($D310="TOTAL:",FIXED(ROUND(((SUM($E$4:$E309)/'RAW DATA'!$E$2)*100),1),1)&amp;"%",IF($D311="TOTAL:",SUM($E$4:$E310),IF(SUMIF('RAW DATA'!M:M,'RAW DATA'!B311,'RAW DATA'!H:H)=0,"",SUMIF('RAW DATA'!M:M,'RAW DATA'!B311,'RAW DATA'!H:H))))</f>
        <v/>
      </c>
      <c r="F311" s="4" t="str">
        <f>IF($D310="TOTAL:",FIXED(ROUND(((SUM($F$4:$F309)/'RAW DATA'!$E$2)*100),1),1)&amp;"%",IF($D311="TOTAL:",SUM($F$4:$F310),IF(SUMIF('RAW DATA'!M:M,'RAW DATA'!B311,'RAW DATA'!I:I)=0,"",SUMIF('RAW DATA'!M:M,'RAW DATA'!B311,'RAW DATA'!I:I))))</f>
        <v/>
      </c>
      <c r="G311" s="24" t="str">
        <f t="shared" si="4"/>
        <v/>
      </c>
    </row>
    <row r="312" spans="2:7" x14ac:dyDescent="0.25">
      <c r="B312" s="1" t="str">
        <f>IF('RAW DATA'!$C314&lt;&gt;"",'RAW DATA'!$C314,"")</f>
        <v/>
      </c>
      <c r="C312" s="1" t="str">
        <f>IF('RAW DATA'!$D314&lt;&gt;"",'RAW DATA'!$D314,"")</f>
        <v/>
      </c>
      <c r="D312" s="1" t="str">
        <f>IF(AND($B311&lt;&gt;"", $B312=""), "TOTAL:", IF($D311="TOTAL:","VESSEL TARGET "&amp;'RAW DATA'!$E$2&amp;":",IF('RAW DATA'!$E312&lt;&gt;"",'RAW DATA'!$E312,"")))</f>
        <v/>
      </c>
      <c r="E312" s="4" t="str">
        <f>IF($D311="TOTAL:",FIXED(ROUND(((SUM($E$4:$E310)/'RAW DATA'!$E$2)*100),1),1)&amp;"%",IF($D312="TOTAL:",SUM($E$4:$E311),IF(SUMIF('RAW DATA'!M:M,'RAW DATA'!B312,'RAW DATA'!H:H)=0,"",SUMIF('RAW DATA'!M:M,'RAW DATA'!B312,'RAW DATA'!H:H))))</f>
        <v/>
      </c>
      <c r="F312" s="4" t="str">
        <f>IF($D311="TOTAL:",FIXED(ROUND(((SUM($F$4:$F310)/'RAW DATA'!$E$2)*100),1),1)&amp;"%",IF($D312="TOTAL:",SUM($F$4:$F311),IF(SUMIF('RAW DATA'!M:M,'RAW DATA'!B312,'RAW DATA'!I:I)=0,"",SUMIF('RAW DATA'!M:M,'RAW DATA'!B312,'RAW DATA'!I:I))))</f>
        <v/>
      </c>
      <c r="G312" s="24" t="str">
        <f t="shared" si="4"/>
        <v/>
      </c>
    </row>
    <row r="313" spans="2:7" x14ac:dyDescent="0.25">
      <c r="B313" s="1" t="str">
        <f>IF('RAW DATA'!$C315&lt;&gt;"",'RAW DATA'!$C315,"")</f>
        <v/>
      </c>
      <c r="C313" s="1" t="str">
        <f>IF('RAW DATA'!$D315&lt;&gt;"",'RAW DATA'!$D315,"")</f>
        <v/>
      </c>
      <c r="D313" s="1" t="str">
        <f>IF(AND($B312&lt;&gt;"", $B313=""), "TOTAL:", IF($D312="TOTAL:","VESSEL TARGET "&amp;'RAW DATA'!$E$2&amp;":",IF('RAW DATA'!$E313&lt;&gt;"",'RAW DATA'!$E313,"")))</f>
        <v/>
      </c>
      <c r="E313" s="4" t="str">
        <f>IF($D312="TOTAL:",FIXED(ROUND(((SUM($E$4:$E311)/'RAW DATA'!$E$2)*100),1),1)&amp;"%",IF($D313="TOTAL:",SUM($E$4:$E312),IF(SUMIF('RAW DATA'!M:M,'RAW DATA'!B313,'RAW DATA'!H:H)=0,"",SUMIF('RAW DATA'!M:M,'RAW DATA'!B313,'RAW DATA'!H:H))))</f>
        <v/>
      </c>
      <c r="F313" s="4" t="str">
        <f>IF($D312="TOTAL:",FIXED(ROUND(((SUM($F$4:$F311)/'RAW DATA'!$E$2)*100),1),1)&amp;"%",IF($D313="TOTAL:",SUM($F$4:$F312),IF(SUMIF('RAW DATA'!M:M,'RAW DATA'!B313,'RAW DATA'!I:I)=0,"",SUMIF('RAW DATA'!M:M,'RAW DATA'!B313,'RAW DATA'!I:I))))</f>
        <v/>
      </c>
      <c r="G313" s="24" t="str">
        <f t="shared" si="4"/>
        <v/>
      </c>
    </row>
    <row r="314" spans="2:7" x14ac:dyDescent="0.25">
      <c r="B314" s="1" t="str">
        <f>IF('RAW DATA'!$C316&lt;&gt;"",'RAW DATA'!$C316,"")</f>
        <v/>
      </c>
      <c r="C314" s="1" t="str">
        <f>IF('RAW DATA'!$D316&lt;&gt;"",'RAW DATA'!$D316,"")</f>
        <v/>
      </c>
      <c r="D314" s="1" t="str">
        <f>IF(AND($B313&lt;&gt;"", $B314=""), "TOTAL:", IF($D313="TOTAL:","VESSEL TARGET "&amp;'RAW DATA'!$E$2&amp;":",IF('RAW DATA'!$E314&lt;&gt;"",'RAW DATA'!$E314,"")))</f>
        <v/>
      </c>
      <c r="E314" s="4" t="str">
        <f>IF($D313="TOTAL:",FIXED(ROUND(((SUM($E$4:$E312)/'RAW DATA'!$E$2)*100),1),1)&amp;"%",IF($D314="TOTAL:",SUM($E$4:$E313),IF(SUMIF('RAW DATA'!M:M,'RAW DATA'!B314,'RAW DATA'!H:H)=0,"",SUMIF('RAW DATA'!M:M,'RAW DATA'!B314,'RAW DATA'!H:H))))</f>
        <v/>
      </c>
      <c r="F314" s="4" t="str">
        <f>IF($D313="TOTAL:",FIXED(ROUND(((SUM($F$4:$F312)/'RAW DATA'!$E$2)*100),1),1)&amp;"%",IF($D314="TOTAL:",SUM($F$4:$F313),IF(SUMIF('RAW DATA'!M:M,'RAW DATA'!B314,'RAW DATA'!I:I)=0,"",SUMIF('RAW DATA'!M:M,'RAW DATA'!B314,'RAW DATA'!I:I))))</f>
        <v/>
      </c>
      <c r="G314" s="24" t="str">
        <f t="shared" si="4"/>
        <v/>
      </c>
    </row>
    <row r="315" spans="2:7" x14ac:dyDescent="0.25">
      <c r="B315" s="1" t="str">
        <f>IF('RAW DATA'!$C317&lt;&gt;"",'RAW DATA'!$C317,"")</f>
        <v/>
      </c>
      <c r="C315" s="1" t="str">
        <f>IF('RAW DATA'!$D317&lt;&gt;"",'RAW DATA'!$D317,"")</f>
        <v/>
      </c>
      <c r="D315" s="1" t="str">
        <f>IF(AND($B314&lt;&gt;"", $B315=""), "TOTAL:", IF($D314="TOTAL:","VESSEL TARGET "&amp;'RAW DATA'!$E$2&amp;":",IF('RAW DATA'!$E315&lt;&gt;"",'RAW DATA'!$E315,"")))</f>
        <v/>
      </c>
      <c r="E315" s="4" t="str">
        <f>IF($D314="TOTAL:",FIXED(ROUND(((SUM($E$4:$E313)/'RAW DATA'!$E$2)*100),1),1)&amp;"%",IF($D315="TOTAL:",SUM($E$4:$E314),IF(SUMIF('RAW DATA'!M:M,'RAW DATA'!B315,'RAW DATA'!H:H)=0,"",SUMIF('RAW DATA'!M:M,'RAW DATA'!B315,'RAW DATA'!H:H))))</f>
        <v/>
      </c>
      <c r="F315" s="4" t="str">
        <f>IF($D314="TOTAL:",FIXED(ROUND(((SUM($F$4:$F313)/'RAW DATA'!$E$2)*100),1),1)&amp;"%",IF($D315="TOTAL:",SUM($F$4:$F314),IF(SUMIF('RAW DATA'!M:M,'RAW DATA'!B315,'RAW DATA'!I:I)=0,"",SUMIF('RAW DATA'!M:M,'RAW DATA'!B315,'RAW DATA'!I:I))))</f>
        <v/>
      </c>
      <c r="G315" s="24" t="str">
        <f t="shared" si="4"/>
        <v/>
      </c>
    </row>
    <row r="316" spans="2:7" x14ac:dyDescent="0.25">
      <c r="B316" s="1" t="str">
        <f>IF('RAW DATA'!$C318&lt;&gt;"",'RAW DATA'!$C318,"")</f>
        <v/>
      </c>
      <c r="C316" s="1" t="str">
        <f>IF('RAW DATA'!$D318&lt;&gt;"",'RAW DATA'!$D318,"")</f>
        <v/>
      </c>
      <c r="D316" s="1" t="str">
        <f>IF(AND($B315&lt;&gt;"", $B316=""), "TOTAL:", IF($D315="TOTAL:","VESSEL TARGET "&amp;'RAW DATA'!$E$2&amp;":",IF('RAW DATA'!$E316&lt;&gt;"",'RAW DATA'!$E316,"")))</f>
        <v/>
      </c>
      <c r="E316" s="4" t="str">
        <f>IF($D315="TOTAL:",FIXED(ROUND(((SUM($E$4:$E314)/'RAW DATA'!$E$2)*100),1),1)&amp;"%",IF($D316="TOTAL:",SUM($E$4:$E315),IF(SUMIF('RAW DATA'!M:M,'RAW DATA'!B316,'RAW DATA'!H:H)=0,"",SUMIF('RAW DATA'!M:M,'RAW DATA'!B316,'RAW DATA'!H:H))))</f>
        <v/>
      </c>
      <c r="F316" s="4" t="str">
        <f>IF($D315="TOTAL:",FIXED(ROUND(((SUM($F$4:$F314)/'RAW DATA'!$E$2)*100),1),1)&amp;"%",IF($D316="TOTAL:",SUM($F$4:$F315),IF(SUMIF('RAW DATA'!M:M,'RAW DATA'!B316,'RAW DATA'!I:I)=0,"",SUMIF('RAW DATA'!M:M,'RAW DATA'!B316,'RAW DATA'!I:I))))</f>
        <v/>
      </c>
      <c r="G316" s="24" t="str">
        <f t="shared" si="4"/>
        <v/>
      </c>
    </row>
    <row r="317" spans="2:7" x14ac:dyDescent="0.25">
      <c r="B317" s="1" t="str">
        <f>IF('RAW DATA'!$C319&lt;&gt;"",'RAW DATA'!$C319,"")</f>
        <v/>
      </c>
      <c r="C317" s="1" t="str">
        <f>IF('RAW DATA'!$D319&lt;&gt;"",'RAW DATA'!$D319,"")</f>
        <v/>
      </c>
      <c r="D317" s="1" t="str">
        <f>IF(AND($B316&lt;&gt;"", $B317=""), "TOTAL:", IF($D316="TOTAL:","VESSEL TARGET "&amp;'RAW DATA'!$E$2&amp;":",IF('RAW DATA'!$E317&lt;&gt;"",'RAW DATA'!$E317,"")))</f>
        <v/>
      </c>
      <c r="E317" s="4" t="str">
        <f>IF($D316="TOTAL:",FIXED(ROUND(((SUM($E$4:$E315)/'RAW DATA'!$E$2)*100),1),1)&amp;"%",IF($D317="TOTAL:",SUM($E$4:$E316),IF(SUMIF('RAW DATA'!M:M,'RAW DATA'!B317,'RAW DATA'!H:H)=0,"",SUMIF('RAW DATA'!M:M,'RAW DATA'!B317,'RAW DATA'!H:H))))</f>
        <v/>
      </c>
      <c r="F317" s="4" t="str">
        <f>IF($D316="TOTAL:",FIXED(ROUND(((SUM($F$4:$F315)/'RAW DATA'!$E$2)*100),1),1)&amp;"%",IF($D317="TOTAL:",SUM($F$4:$F316),IF(SUMIF('RAW DATA'!M:M,'RAW DATA'!B317,'RAW DATA'!I:I)=0,"",SUMIF('RAW DATA'!M:M,'RAW DATA'!B317,'RAW DATA'!I:I))))</f>
        <v/>
      </c>
      <c r="G317" s="24" t="str">
        <f t="shared" si="4"/>
        <v/>
      </c>
    </row>
    <row r="318" spans="2:7" x14ac:dyDescent="0.25">
      <c r="B318" s="1" t="str">
        <f>IF('RAW DATA'!$C320&lt;&gt;"",'RAW DATA'!$C320,"")</f>
        <v/>
      </c>
      <c r="C318" s="1" t="str">
        <f>IF('RAW DATA'!$D320&lt;&gt;"",'RAW DATA'!$D320,"")</f>
        <v/>
      </c>
      <c r="D318" s="1" t="str">
        <f>IF(AND($B317&lt;&gt;"", $B318=""), "TOTAL:", IF($D317="TOTAL:","VESSEL TARGET "&amp;'RAW DATA'!$E$2&amp;":",IF('RAW DATA'!$E318&lt;&gt;"",'RAW DATA'!$E318,"")))</f>
        <v/>
      </c>
      <c r="E318" s="4" t="str">
        <f>IF($D317="TOTAL:",FIXED(ROUND(((SUM($E$4:$E316)/'RAW DATA'!$E$2)*100),1),1)&amp;"%",IF($D318="TOTAL:",SUM($E$4:$E317),IF(SUMIF('RAW DATA'!M:M,'RAW DATA'!B318,'RAW DATA'!H:H)=0,"",SUMIF('RAW DATA'!M:M,'RAW DATA'!B318,'RAW DATA'!H:H))))</f>
        <v/>
      </c>
      <c r="F318" s="4" t="str">
        <f>IF($D317="TOTAL:",FIXED(ROUND(((SUM($F$4:$F316)/'RAW DATA'!$E$2)*100),1),1)&amp;"%",IF($D318="TOTAL:",SUM($F$4:$F317),IF(SUMIF('RAW DATA'!M:M,'RAW DATA'!B318,'RAW DATA'!I:I)=0,"",SUMIF('RAW DATA'!M:M,'RAW DATA'!B318,'RAW DATA'!I:I))))</f>
        <v/>
      </c>
      <c r="G318" s="24" t="str">
        <f t="shared" si="4"/>
        <v/>
      </c>
    </row>
    <row r="319" spans="2:7" x14ac:dyDescent="0.25">
      <c r="B319" s="1" t="str">
        <f>IF('RAW DATA'!$C321&lt;&gt;"",'RAW DATA'!$C321,"")</f>
        <v/>
      </c>
      <c r="C319" s="1" t="str">
        <f>IF('RAW DATA'!$D321&lt;&gt;"",'RAW DATA'!$D321,"")</f>
        <v/>
      </c>
      <c r="D319" s="1" t="str">
        <f>IF(AND($B318&lt;&gt;"", $B319=""), "TOTAL:", IF($D318="TOTAL:","VESSEL TARGET "&amp;'RAW DATA'!$E$2&amp;":",IF('RAW DATA'!$E319&lt;&gt;"",'RAW DATA'!$E319,"")))</f>
        <v/>
      </c>
      <c r="E319" s="4" t="str">
        <f>IF($D318="TOTAL:",FIXED(ROUND(((SUM($E$4:$E317)/'RAW DATA'!$E$2)*100),1),1)&amp;"%",IF($D319="TOTAL:",SUM($E$4:$E318),IF(SUMIF('RAW DATA'!M:M,'RAW DATA'!B319,'RAW DATA'!H:H)=0,"",SUMIF('RAW DATA'!M:M,'RAW DATA'!B319,'RAW DATA'!H:H))))</f>
        <v/>
      </c>
      <c r="F319" s="4" t="str">
        <f>IF($D318="TOTAL:",FIXED(ROUND(((SUM($F$4:$F317)/'RAW DATA'!$E$2)*100),1),1)&amp;"%",IF($D319="TOTAL:",SUM($F$4:$F318),IF(SUMIF('RAW DATA'!M:M,'RAW DATA'!B319,'RAW DATA'!I:I)=0,"",SUMIF('RAW DATA'!M:M,'RAW DATA'!B319,'RAW DATA'!I:I))))</f>
        <v/>
      </c>
      <c r="G319" s="24" t="str">
        <f t="shared" si="4"/>
        <v/>
      </c>
    </row>
    <row r="320" spans="2:7" x14ac:dyDescent="0.25">
      <c r="B320" s="1" t="str">
        <f>IF('RAW DATA'!$C322&lt;&gt;"",'RAW DATA'!$C322,"")</f>
        <v/>
      </c>
      <c r="C320" s="1" t="str">
        <f>IF('RAW DATA'!$D322&lt;&gt;"",'RAW DATA'!$D322,"")</f>
        <v/>
      </c>
      <c r="D320" s="1" t="str">
        <f>IF(AND($B319&lt;&gt;"", $B320=""), "TOTAL:", IF($D319="TOTAL:","VESSEL TARGET "&amp;'RAW DATA'!$E$2&amp;":",IF('RAW DATA'!$E320&lt;&gt;"",'RAW DATA'!$E320,"")))</f>
        <v/>
      </c>
      <c r="E320" s="4" t="str">
        <f>IF($D319="TOTAL:",FIXED(ROUND(((SUM($E$4:$E318)/'RAW DATA'!$E$2)*100),1),1)&amp;"%",IF($D320="TOTAL:",SUM($E$4:$E319),IF(SUMIF('RAW DATA'!M:M,'RAW DATA'!B320,'RAW DATA'!H:H)=0,"",SUMIF('RAW DATA'!M:M,'RAW DATA'!B320,'RAW DATA'!H:H))))</f>
        <v/>
      </c>
      <c r="F320" s="4" t="str">
        <f>IF($D319="TOTAL:",FIXED(ROUND(((SUM($F$4:$F318)/'RAW DATA'!$E$2)*100),1),1)&amp;"%",IF($D320="TOTAL:",SUM($F$4:$F319),IF(SUMIF('RAW DATA'!M:M,'RAW DATA'!B320,'RAW DATA'!I:I)=0,"",SUMIF('RAW DATA'!M:M,'RAW DATA'!B320,'RAW DATA'!I:I))))</f>
        <v/>
      </c>
      <c r="G320" s="24" t="str">
        <f t="shared" si="4"/>
        <v/>
      </c>
    </row>
    <row r="321" spans="2:7" x14ac:dyDescent="0.25">
      <c r="B321" s="1" t="str">
        <f>IF('RAW DATA'!$C323&lt;&gt;"",'RAW DATA'!$C323,"")</f>
        <v/>
      </c>
      <c r="C321" s="1" t="str">
        <f>IF('RAW DATA'!$D323&lt;&gt;"",'RAW DATA'!$D323,"")</f>
        <v/>
      </c>
      <c r="D321" s="1" t="str">
        <f>IF(AND($B320&lt;&gt;"", $B321=""), "TOTAL:", IF($D320="TOTAL:","VESSEL TARGET "&amp;'RAW DATA'!$E$2&amp;":",IF('RAW DATA'!$E321&lt;&gt;"",'RAW DATA'!$E321,"")))</f>
        <v/>
      </c>
      <c r="E321" s="4" t="str">
        <f>IF($D320="TOTAL:",FIXED(ROUND(((SUM($E$4:$E319)/'RAW DATA'!$E$2)*100),1),1)&amp;"%",IF($D321="TOTAL:",SUM($E$4:$E320),IF(SUMIF('RAW DATA'!M:M,'RAW DATA'!B321,'RAW DATA'!H:H)=0,"",SUMIF('RAW DATA'!M:M,'RAW DATA'!B321,'RAW DATA'!H:H))))</f>
        <v/>
      </c>
      <c r="F321" s="4" t="str">
        <f>IF($D320="TOTAL:",FIXED(ROUND(((SUM($F$4:$F319)/'RAW DATA'!$E$2)*100),1),1)&amp;"%",IF($D321="TOTAL:",SUM($F$4:$F320),IF(SUMIF('RAW DATA'!M:M,'RAW DATA'!B321,'RAW DATA'!I:I)=0,"",SUMIF('RAW DATA'!M:M,'RAW DATA'!B321,'RAW DATA'!I:I))))</f>
        <v/>
      </c>
      <c r="G321" s="24" t="str">
        <f t="shared" si="4"/>
        <v/>
      </c>
    </row>
    <row r="322" spans="2:7" x14ac:dyDescent="0.25">
      <c r="B322" s="1" t="str">
        <f>IF('RAW DATA'!$C324&lt;&gt;"",'RAW DATA'!$C324,"")</f>
        <v/>
      </c>
      <c r="C322" s="1" t="str">
        <f>IF('RAW DATA'!$D324&lt;&gt;"",'RAW DATA'!$D324,"")</f>
        <v/>
      </c>
      <c r="D322" s="1" t="str">
        <f>IF(AND($B321&lt;&gt;"", $B322=""), "TOTAL:", IF($D321="TOTAL:","VESSEL TARGET "&amp;'RAW DATA'!$E$2&amp;":",IF('RAW DATA'!$E322&lt;&gt;"",'RAW DATA'!$E322,"")))</f>
        <v/>
      </c>
      <c r="E322" s="4" t="str">
        <f>IF($D321="TOTAL:",FIXED(ROUND(((SUM($E$4:$E320)/'RAW DATA'!$E$2)*100),1),1)&amp;"%",IF($D322="TOTAL:",SUM($E$4:$E321),IF(SUMIF('RAW DATA'!M:M,'RAW DATA'!B322,'RAW DATA'!H:H)=0,"",SUMIF('RAW DATA'!M:M,'RAW DATA'!B322,'RAW DATA'!H:H))))</f>
        <v/>
      </c>
      <c r="F322" s="4" t="str">
        <f>IF($D321="TOTAL:",FIXED(ROUND(((SUM($F$4:$F320)/'RAW DATA'!$E$2)*100),1),1)&amp;"%",IF($D322="TOTAL:",SUM($F$4:$F321),IF(SUMIF('RAW DATA'!M:M,'RAW DATA'!B322,'RAW DATA'!I:I)=0,"",SUMIF('RAW DATA'!M:M,'RAW DATA'!B322,'RAW DATA'!I:I))))</f>
        <v/>
      </c>
      <c r="G322" s="24" t="str">
        <f t="shared" si="4"/>
        <v/>
      </c>
    </row>
    <row r="323" spans="2:7" x14ac:dyDescent="0.25">
      <c r="B323" s="1" t="str">
        <f>IF('RAW DATA'!$C325&lt;&gt;"",'RAW DATA'!$C325,"")</f>
        <v/>
      </c>
      <c r="C323" s="1" t="str">
        <f>IF('RAW DATA'!$D325&lt;&gt;"",'RAW DATA'!$D325,"")</f>
        <v/>
      </c>
      <c r="D323" s="1" t="str">
        <f>IF(AND($B322&lt;&gt;"", $B323=""), "TOTAL:", IF($D322="TOTAL:","VESSEL TARGET "&amp;'RAW DATA'!$E$2&amp;":",IF('RAW DATA'!$E323&lt;&gt;"",'RAW DATA'!$E323,"")))</f>
        <v/>
      </c>
      <c r="E323" s="4" t="str">
        <f>IF($D322="TOTAL:",FIXED(ROUND(((SUM($E$4:$E321)/'RAW DATA'!$E$2)*100),1),1)&amp;"%",IF($D323="TOTAL:",SUM($E$4:$E322),IF(SUMIF('RAW DATA'!M:M,'RAW DATA'!B323,'RAW DATA'!H:H)=0,"",SUMIF('RAW DATA'!M:M,'RAW DATA'!B323,'RAW DATA'!H:H))))</f>
        <v/>
      </c>
      <c r="F323" s="4" t="str">
        <f>IF($D322="TOTAL:",FIXED(ROUND(((SUM($F$4:$F321)/'RAW DATA'!$E$2)*100),1),1)&amp;"%",IF($D323="TOTAL:",SUM($F$4:$F322),IF(SUMIF('RAW DATA'!M:M,'RAW DATA'!B323,'RAW DATA'!I:I)=0,"",SUMIF('RAW DATA'!M:M,'RAW DATA'!B323,'RAW DATA'!I:I))))</f>
        <v/>
      </c>
      <c r="G323" s="24" t="str">
        <f t="shared" si="4"/>
        <v/>
      </c>
    </row>
    <row r="324" spans="2:7" x14ac:dyDescent="0.25">
      <c r="B324" s="1" t="str">
        <f>IF('RAW DATA'!$C326&lt;&gt;"",'RAW DATA'!$C326,"")</f>
        <v/>
      </c>
      <c r="C324" s="1" t="str">
        <f>IF('RAW DATA'!$D326&lt;&gt;"",'RAW DATA'!$D326,"")</f>
        <v/>
      </c>
      <c r="D324" s="1" t="str">
        <f>IF(AND($B323&lt;&gt;"", $B324=""), "TOTAL:", IF($D323="TOTAL:","VESSEL TARGET "&amp;'RAW DATA'!$E$2&amp;":",IF('RAW DATA'!$E324&lt;&gt;"",'RAW DATA'!$E324,"")))</f>
        <v/>
      </c>
      <c r="E324" s="4" t="str">
        <f>IF($D323="TOTAL:",FIXED(ROUND(((SUM($E$4:$E322)/'RAW DATA'!$E$2)*100),1),1)&amp;"%",IF($D324="TOTAL:",SUM($E$4:$E323),IF(SUMIF('RAW DATA'!M:M,'RAW DATA'!B324,'RAW DATA'!H:H)=0,"",SUMIF('RAW DATA'!M:M,'RAW DATA'!B324,'RAW DATA'!H:H))))</f>
        <v/>
      </c>
      <c r="F324" s="4" t="str">
        <f>IF($D323="TOTAL:",FIXED(ROUND(((SUM($F$4:$F322)/'RAW DATA'!$E$2)*100),1),1)&amp;"%",IF($D324="TOTAL:",SUM($F$4:$F323),IF(SUMIF('RAW DATA'!M:M,'RAW DATA'!B324,'RAW DATA'!I:I)=0,"",SUMIF('RAW DATA'!M:M,'RAW DATA'!B324,'RAW DATA'!I:I))))</f>
        <v/>
      </c>
      <c r="G324" s="24" t="str">
        <f t="shared" si="4"/>
        <v/>
      </c>
    </row>
    <row r="325" spans="2:7" x14ac:dyDescent="0.25">
      <c r="B325" s="1" t="str">
        <f>IF('RAW DATA'!$C327&lt;&gt;"",'RAW DATA'!$C327,"")</f>
        <v/>
      </c>
      <c r="C325" s="1" t="str">
        <f>IF('RAW DATA'!$D327&lt;&gt;"",'RAW DATA'!$D327,"")</f>
        <v/>
      </c>
      <c r="D325" s="1" t="str">
        <f>IF(AND($B324&lt;&gt;"", $B325=""), "TOTAL:", IF($D324="TOTAL:","VESSEL TARGET "&amp;'RAW DATA'!$E$2&amp;":",IF('RAW DATA'!$E325&lt;&gt;"",'RAW DATA'!$E325,"")))</f>
        <v/>
      </c>
      <c r="E325" s="4" t="str">
        <f>IF($D324="TOTAL:",FIXED(ROUND(((SUM($E$4:$E323)/'RAW DATA'!$E$2)*100),1),1)&amp;"%",IF($D325="TOTAL:",SUM($E$4:$E324),IF(SUMIF('RAW DATA'!M:M,'RAW DATA'!B325,'RAW DATA'!H:H)=0,"",SUMIF('RAW DATA'!M:M,'RAW DATA'!B325,'RAW DATA'!H:H))))</f>
        <v/>
      </c>
      <c r="F325" s="4" t="str">
        <f>IF($D324="TOTAL:",FIXED(ROUND(((SUM($F$4:$F323)/'RAW DATA'!$E$2)*100),1),1)&amp;"%",IF($D325="TOTAL:",SUM($F$4:$F324),IF(SUMIF('RAW DATA'!M:M,'RAW DATA'!B325,'RAW DATA'!I:I)=0,"",SUMIF('RAW DATA'!M:M,'RAW DATA'!B325,'RAW DATA'!I:I))))</f>
        <v/>
      </c>
      <c r="G325" s="24" t="str">
        <f t="shared" si="4"/>
        <v/>
      </c>
    </row>
    <row r="326" spans="2:7" x14ac:dyDescent="0.25">
      <c r="B326" s="1" t="str">
        <f>IF('RAW DATA'!$C328&lt;&gt;"",'RAW DATA'!$C328,"")</f>
        <v/>
      </c>
      <c r="C326" s="1" t="str">
        <f>IF('RAW DATA'!$D328&lt;&gt;"",'RAW DATA'!$D328,"")</f>
        <v/>
      </c>
      <c r="D326" s="1" t="str">
        <f>IF(AND($B325&lt;&gt;"", $B326=""), "TOTAL:", IF($D325="TOTAL:","VESSEL TARGET "&amp;'RAW DATA'!$E$2&amp;":",IF('RAW DATA'!$E326&lt;&gt;"",'RAW DATA'!$E326,"")))</f>
        <v/>
      </c>
      <c r="E326" s="4" t="str">
        <f>IF($D325="TOTAL:",FIXED(ROUND(((SUM($E$4:$E324)/'RAW DATA'!$E$2)*100),1),1)&amp;"%",IF($D326="TOTAL:",SUM($E$4:$E325),IF(SUMIF('RAW DATA'!M:M,'RAW DATA'!B326,'RAW DATA'!H:H)=0,"",SUMIF('RAW DATA'!M:M,'RAW DATA'!B326,'RAW DATA'!H:H))))</f>
        <v/>
      </c>
      <c r="F326" s="4" t="str">
        <f>IF($D325="TOTAL:",FIXED(ROUND(((SUM($F$4:$F324)/'RAW DATA'!$E$2)*100),1),1)&amp;"%",IF($D326="TOTAL:",SUM($F$4:$F325),IF(SUMIF('RAW DATA'!M:M,'RAW DATA'!B326,'RAW DATA'!I:I)=0,"",SUMIF('RAW DATA'!M:M,'RAW DATA'!B326,'RAW DATA'!I:I))))</f>
        <v/>
      </c>
      <c r="G326" s="24" t="str">
        <f t="shared" ref="G326:G389" si="5">IF(OR($B326="", $E326="",$F326=""),"",IF(AND($E326&gt;=2,$F326&gt;=2),1,""))</f>
        <v/>
      </c>
    </row>
    <row r="327" spans="2:7" x14ac:dyDescent="0.25">
      <c r="B327" s="1" t="str">
        <f>IF('RAW DATA'!$C329&lt;&gt;"",'RAW DATA'!$C329,"")</f>
        <v/>
      </c>
      <c r="C327" s="1" t="str">
        <f>IF('RAW DATA'!$D329&lt;&gt;"",'RAW DATA'!$D329,"")</f>
        <v/>
      </c>
      <c r="D327" s="1" t="str">
        <f>IF(AND($B326&lt;&gt;"", $B327=""), "TOTAL:", IF($D326="TOTAL:","VESSEL TARGET "&amp;'RAW DATA'!$E$2&amp;":",IF('RAW DATA'!$E327&lt;&gt;"",'RAW DATA'!$E327,"")))</f>
        <v/>
      </c>
      <c r="E327" s="4" t="str">
        <f>IF($D326="TOTAL:",FIXED(ROUND(((SUM($E$4:$E325)/'RAW DATA'!$E$2)*100),1),1)&amp;"%",IF($D327="TOTAL:",SUM($E$4:$E326),IF(SUMIF('RAW DATA'!M:M,'RAW DATA'!B327,'RAW DATA'!H:H)=0,"",SUMIF('RAW DATA'!M:M,'RAW DATA'!B327,'RAW DATA'!H:H))))</f>
        <v/>
      </c>
      <c r="F327" s="4" t="str">
        <f>IF($D326="TOTAL:",FIXED(ROUND(((SUM($F$4:$F325)/'RAW DATA'!$E$2)*100),1),1)&amp;"%",IF($D327="TOTAL:",SUM($F$4:$F326),IF(SUMIF('RAW DATA'!M:M,'RAW DATA'!B327,'RAW DATA'!I:I)=0,"",SUMIF('RAW DATA'!M:M,'RAW DATA'!B327,'RAW DATA'!I:I))))</f>
        <v/>
      </c>
      <c r="G327" s="24" t="str">
        <f t="shared" si="5"/>
        <v/>
      </c>
    </row>
    <row r="328" spans="2:7" x14ac:dyDescent="0.25">
      <c r="B328" s="1" t="str">
        <f>IF('RAW DATA'!$C330&lt;&gt;"",'RAW DATA'!$C330,"")</f>
        <v/>
      </c>
      <c r="C328" s="1" t="str">
        <f>IF('RAW DATA'!$D330&lt;&gt;"",'RAW DATA'!$D330,"")</f>
        <v/>
      </c>
      <c r="D328" s="1" t="str">
        <f>IF(AND($B327&lt;&gt;"", $B328=""), "TOTAL:", IF($D327="TOTAL:","VESSEL TARGET "&amp;'RAW DATA'!$E$2&amp;":",IF('RAW DATA'!$E328&lt;&gt;"",'RAW DATA'!$E328,"")))</f>
        <v/>
      </c>
      <c r="E328" s="4" t="str">
        <f>IF($D327="TOTAL:",FIXED(ROUND(((SUM($E$4:$E326)/'RAW DATA'!$E$2)*100),1),1)&amp;"%",IF($D328="TOTAL:",SUM($E$4:$E327),IF(SUMIF('RAW DATA'!M:M,'RAW DATA'!B328,'RAW DATA'!H:H)=0,"",SUMIF('RAW DATA'!M:M,'RAW DATA'!B328,'RAW DATA'!H:H))))</f>
        <v/>
      </c>
      <c r="F328" s="4" t="str">
        <f>IF($D327="TOTAL:",FIXED(ROUND(((SUM($F$4:$F326)/'RAW DATA'!$E$2)*100),1),1)&amp;"%",IF($D328="TOTAL:",SUM($F$4:$F327),IF(SUMIF('RAW DATA'!M:M,'RAW DATA'!B328,'RAW DATA'!I:I)=0,"",SUMIF('RAW DATA'!M:M,'RAW DATA'!B328,'RAW DATA'!I:I))))</f>
        <v/>
      </c>
      <c r="G328" s="24" t="str">
        <f t="shared" si="5"/>
        <v/>
      </c>
    </row>
    <row r="329" spans="2:7" x14ac:dyDescent="0.25">
      <c r="B329" s="1" t="str">
        <f>IF('RAW DATA'!$C331&lt;&gt;"",'RAW DATA'!$C331,"")</f>
        <v/>
      </c>
      <c r="C329" s="1" t="str">
        <f>IF('RAW DATA'!$D331&lt;&gt;"",'RAW DATA'!$D331,"")</f>
        <v/>
      </c>
      <c r="D329" s="1" t="str">
        <f>IF(AND($B328&lt;&gt;"", $B329=""), "TOTAL:", IF($D328="TOTAL:","VESSEL TARGET "&amp;'RAW DATA'!$E$2&amp;":",IF('RAW DATA'!$E329&lt;&gt;"",'RAW DATA'!$E329,"")))</f>
        <v/>
      </c>
      <c r="E329" s="4" t="str">
        <f>IF($D328="TOTAL:",FIXED(ROUND(((SUM($E$4:$E327)/'RAW DATA'!$E$2)*100),1),1)&amp;"%",IF($D329="TOTAL:",SUM($E$4:$E328),IF(SUMIF('RAW DATA'!M:M,'RAW DATA'!B329,'RAW DATA'!H:H)=0,"",SUMIF('RAW DATA'!M:M,'RAW DATA'!B329,'RAW DATA'!H:H))))</f>
        <v/>
      </c>
      <c r="F329" s="4" t="str">
        <f>IF($D328="TOTAL:",FIXED(ROUND(((SUM($F$4:$F327)/'RAW DATA'!$E$2)*100),1),1)&amp;"%",IF($D329="TOTAL:",SUM($F$4:$F328),IF(SUMIF('RAW DATA'!M:M,'RAW DATA'!B329,'RAW DATA'!I:I)=0,"",SUMIF('RAW DATA'!M:M,'RAW DATA'!B329,'RAW DATA'!I:I))))</f>
        <v/>
      </c>
      <c r="G329" s="24" t="str">
        <f t="shared" si="5"/>
        <v/>
      </c>
    </row>
    <row r="330" spans="2:7" x14ac:dyDescent="0.25">
      <c r="B330" s="1" t="str">
        <f>IF('RAW DATA'!$C332&lt;&gt;"",'RAW DATA'!$C332,"")</f>
        <v/>
      </c>
      <c r="C330" s="1" t="str">
        <f>IF('RAW DATA'!$D332&lt;&gt;"",'RAW DATA'!$D332,"")</f>
        <v/>
      </c>
      <c r="D330" s="1" t="str">
        <f>IF(AND($B329&lt;&gt;"", $B330=""), "TOTAL:", IF($D329="TOTAL:","VESSEL TARGET "&amp;'RAW DATA'!$E$2&amp;":",IF('RAW DATA'!$E330&lt;&gt;"",'RAW DATA'!$E330,"")))</f>
        <v/>
      </c>
      <c r="E330" s="4" t="str">
        <f>IF($D329="TOTAL:",FIXED(ROUND(((SUM($E$4:$E328)/'RAW DATA'!$E$2)*100),1),1)&amp;"%",IF($D330="TOTAL:",SUM($E$4:$E329),IF(SUMIF('RAW DATA'!M:M,'RAW DATA'!B330,'RAW DATA'!H:H)=0,"",SUMIF('RAW DATA'!M:M,'RAW DATA'!B330,'RAW DATA'!H:H))))</f>
        <v/>
      </c>
      <c r="F330" s="4" t="str">
        <f>IF($D329="TOTAL:",FIXED(ROUND(((SUM($F$4:$F328)/'RAW DATA'!$E$2)*100),1),1)&amp;"%",IF($D330="TOTAL:",SUM($F$4:$F329),IF(SUMIF('RAW DATA'!M:M,'RAW DATA'!B330,'RAW DATA'!I:I)=0,"",SUMIF('RAW DATA'!M:M,'RAW DATA'!B330,'RAW DATA'!I:I))))</f>
        <v/>
      </c>
      <c r="G330" s="24" t="str">
        <f t="shared" si="5"/>
        <v/>
      </c>
    </row>
    <row r="331" spans="2:7" x14ac:dyDescent="0.25">
      <c r="B331" s="1" t="str">
        <f>IF('RAW DATA'!$C333&lt;&gt;"",'RAW DATA'!$C333,"")</f>
        <v/>
      </c>
      <c r="C331" s="1" t="str">
        <f>IF('RAW DATA'!$D333&lt;&gt;"",'RAW DATA'!$D333,"")</f>
        <v/>
      </c>
      <c r="D331" s="1" t="str">
        <f>IF(AND($B330&lt;&gt;"", $B331=""), "TOTAL:", IF($D330="TOTAL:","VESSEL TARGET "&amp;'RAW DATA'!$E$2&amp;":",IF('RAW DATA'!$E331&lt;&gt;"",'RAW DATA'!$E331,"")))</f>
        <v/>
      </c>
      <c r="E331" s="4" t="str">
        <f>IF($D330="TOTAL:",FIXED(ROUND(((SUM($E$4:$E329)/'RAW DATA'!$E$2)*100),1),1)&amp;"%",IF($D331="TOTAL:",SUM($E$4:$E330),IF(SUMIF('RAW DATA'!M:M,'RAW DATA'!B331,'RAW DATA'!H:H)=0,"",SUMIF('RAW DATA'!M:M,'RAW DATA'!B331,'RAW DATA'!H:H))))</f>
        <v/>
      </c>
      <c r="F331" s="4" t="str">
        <f>IF($D330="TOTAL:",FIXED(ROUND(((SUM($F$4:$F329)/'RAW DATA'!$E$2)*100),1),1)&amp;"%",IF($D331="TOTAL:",SUM($F$4:$F330),IF(SUMIF('RAW DATA'!M:M,'RAW DATA'!B331,'RAW DATA'!I:I)=0,"",SUMIF('RAW DATA'!M:M,'RAW DATA'!B331,'RAW DATA'!I:I))))</f>
        <v/>
      </c>
      <c r="G331" s="24" t="str">
        <f t="shared" si="5"/>
        <v/>
      </c>
    </row>
    <row r="332" spans="2:7" x14ac:dyDescent="0.25">
      <c r="B332" s="1" t="str">
        <f>IF('RAW DATA'!$C334&lt;&gt;"",'RAW DATA'!$C334,"")</f>
        <v/>
      </c>
      <c r="C332" s="1" t="str">
        <f>IF('RAW DATA'!$D334&lt;&gt;"",'RAW DATA'!$D334,"")</f>
        <v/>
      </c>
      <c r="D332" s="1" t="str">
        <f>IF(AND($B331&lt;&gt;"", $B332=""), "TOTAL:", IF($D331="TOTAL:","VESSEL TARGET "&amp;'RAW DATA'!$E$2&amp;":",IF('RAW DATA'!$E332&lt;&gt;"",'RAW DATA'!$E332,"")))</f>
        <v/>
      </c>
      <c r="E332" s="4" t="str">
        <f>IF($D331="TOTAL:",FIXED(ROUND(((SUM($E$4:$E330)/'RAW DATA'!$E$2)*100),1),1)&amp;"%",IF($D332="TOTAL:",SUM($E$4:$E331),IF(SUMIF('RAW DATA'!M:M,'RAW DATA'!B332,'RAW DATA'!H:H)=0,"",SUMIF('RAW DATA'!M:M,'RAW DATA'!B332,'RAW DATA'!H:H))))</f>
        <v/>
      </c>
      <c r="F332" s="4" t="str">
        <f>IF($D331="TOTAL:",FIXED(ROUND(((SUM($F$4:$F330)/'RAW DATA'!$E$2)*100),1),1)&amp;"%",IF($D332="TOTAL:",SUM($F$4:$F331),IF(SUMIF('RAW DATA'!M:M,'RAW DATA'!B332,'RAW DATA'!I:I)=0,"",SUMIF('RAW DATA'!M:M,'RAW DATA'!B332,'RAW DATA'!I:I))))</f>
        <v/>
      </c>
      <c r="G332" s="24" t="str">
        <f t="shared" si="5"/>
        <v/>
      </c>
    </row>
    <row r="333" spans="2:7" x14ac:dyDescent="0.25">
      <c r="B333" s="1" t="str">
        <f>IF('RAW DATA'!$C335&lt;&gt;"",'RAW DATA'!$C335,"")</f>
        <v/>
      </c>
      <c r="C333" s="1" t="str">
        <f>IF('RAW DATA'!$D335&lt;&gt;"",'RAW DATA'!$D335,"")</f>
        <v/>
      </c>
      <c r="D333" s="1" t="str">
        <f>IF(AND($B332&lt;&gt;"", $B333=""), "TOTAL:", IF($D332="TOTAL:","VESSEL TARGET "&amp;'RAW DATA'!$E$2&amp;":",IF('RAW DATA'!$E333&lt;&gt;"",'RAW DATA'!$E333,"")))</f>
        <v/>
      </c>
      <c r="E333" s="4" t="str">
        <f>IF($D332="TOTAL:",FIXED(ROUND(((SUM($E$4:$E331)/'RAW DATA'!$E$2)*100),1),1)&amp;"%",IF($D333="TOTAL:",SUM($E$4:$E332),IF(SUMIF('RAW DATA'!M:M,'RAW DATA'!B333,'RAW DATA'!H:H)=0,"",SUMIF('RAW DATA'!M:M,'RAW DATA'!B333,'RAW DATA'!H:H))))</f>
        <v/>
      </c>
      <c r="F333" s="4" t="str">
        <f>IF($D332="TOTAL:",FIXED(ROUND(((SUM($F$4:$F331)/'RAW DATA'!$E$2)*100),1),1)&amp;"%",IF($D333="TOTAL:",SUM($F$4:$F332),IF(SUMIF('RAW DATA'!M:M,'RAW DATA'!B333,'RAW DATA'!I:I)=0,"",SUMIF('RAW DATA'!M:M,'RAW DATA'!B333,'RAW DATA'!I:I))))</f>
        <v/>
      </c>
      <c r="G333" s="24" t="str">
        <f t="shared" si="5"/>
        <v/>
      </c>
    </row>
    <row r="334" spans="2:7" x14ac:dyDescent="0.25">
      <c r="B334" s="1" t="str">
        <f>IF('RAW DATA'!$C336&lt;&gt;"",'RAW DATA'!$C336,"")</f>
        <v/>
      </c>
      <c r="C334" s="1" t="str">
        <f>IF('RAW DATA'!$D336&lt;&gt;"",'RAW DATA'!$D336,"")</f>
        <v/>
      </c>
      <c r="D334" s="1" t="str">
        <f>IF(AND($B333&lt;&gt;"", $B334=""), "TOTAL:", IF($D333="TOTAL:","VESSEL TARGET "&amp;'RAW DATA'!$E$2&amp;":",IF('RAW DATA'!$E334&lt;&gt;"",'RAW DATA'!$E334,"")))</f>
        <v/>
      </c>
      <c r="E334" s="4" t="str">
        <f>IF($D333="TOTAL:",FIXED(ROUND(((SUM($E$4:$E332)/'RAW DATA'!$E$2)*100),1),1)&amp;"%",IF($D334="TOTAL:",SUM($E$4:$E333),IF(SUMIF('RAW DATA'!M:M,'RAW DATA'!B334,'RAW DATA'!H:H)=0,"",SUMIF('RAW DATA'!M:M,'RAW DATA'!B334,'RAW DATA'!H:H))))</f>
        <v/>
      </c>
      <c r="F334" s="4" t="str">
        <f>IF($D333="TOTAL:",FIXED(ROUND(((SUM($F$4:$F332)/'RAW DATA'!$E$2)*100),1),1)&amp;"%",IF($D334="TOTAL:",SUM($F$4:$F333),IF(SUMIF('RAW DATA'!M:M,'RAW DATA'!B334,'RAW DATA'!I:I)=0,"",SUMIF('RAW DATA'!M:M,'RAW DATA'!B334,'RAW DATA'!I:I))))</f>
        <v/>
      </c>
      <c r="G334" s="24" t="str">
        <f t="shared" si="5"/>
        <v/>
      </c>
    </row>
    <row r="335" spans="2:7" x14ac:dyDescent="0.25">
      <c r="B335" s="1" t="str">
        <f>IF('RAW DATA'!$C337&lt;&gt;"",'RAW DATA'!$C337,"")</f>
        <v/>
      </c>
      <c r="C335" s="1" t="str">
        <f>IF('RAW DATA'!$D337&lt;&gt;"",'RAW DATA'!$D337,"")</f>
        <v/>
      </c>
      <c r="D335" s="1" t="str">
        <f>IF(AND($B334&lt;&gt;"", $B335=""), "TOTAL:", IF($D334="TOTAL:","VESSEL TARGET "&amp;'RAW DATA'!$E$2&amp;":",IF('RAW DATA'!$E335&lt;&gt;"",'RAW DATA'!$E335,"")))</f>
        <v/>
      </c>
      <c r="E335" s="4" t="str">
        <f>IF($D334="TOTAL:",FIXED(ROUND(((SUM($E$4:$E333)/'RAW DATA'!$E$2)*100),1),1)&amp;"%",IF($D335="TOTAL:",SUM($E$4:$E334),IF(SUMIF('RAW DATA'!M:M,'RAW DATA'!B335,'RAW DATA'!H:H)=0,"",SUMIF('RAW DATA'!M:M,'RAW DATA'!B335,'RAW DATA'!H:H))))</f>
        <v/>
      </c>
      <c r="F335" s="4" t="str">
        <f>IF($D334="TOTAL:",FIXED(ROUND(((SUM($F$4:$F333)/'RAW DATA'!$E$2)*100),1),1)&amp;"%",IF($D335="TOTAL:",SUM($F$4:$F334),IF(SUMIF('RAW DATA'!M:M,'RAW DATA'!B335,'RAW DATA'!I:I)=0,"",SUMIF('RAW DATA'!M:M,'RAW DATA'!B335,'RAW DATA'!I:I))))</f>
        <v/>
      </c>
      <c r="G335" s="24" t="str">
        <f t="shared" si="5"/>
        <v/>
      </c>
    </row>
    <row r="336" spans="2:7" x14ac:dyDescent="0.25">
      <c r="B336" s="1" t="str">
        <f>IF('RAW DATA'!$C338&lt;&gt;"",'RAW DATA'!$C338,"")</f>
        <v/>
      </c>
      <c r="C336" s="1" t="str">
        <f>IF('RAW DATA'!$D338&lt;&gt;"",'RAW DATA'!$D338,"")</f>
        <v/>
      </c>
      <c r="D336" s="1" t="str">
        <f>IF(AND($B335&lt;&gt;"", $B336=""), "TOTAL:", IF($D335="TOTAL:","VESSEL TARGET "&amp;'RAW DATA'!$E$2&amp;":",IF('RAW DATA'!$E336&lt;&gt;"",'RAW DATA'!$E336,"")))</f>
        <v/>
      </c>
      <c r="E336" s="4" t="str">
        <f>IF($D335="TOTAL:",FIXED(ROUND(((SUM($E$4:$E334)/'RAW DATA'!$E$2)*100),1),1)&amp;"%",IF($D336="TOTAL:",SUM($E$4:$E335),IF(SUMIF('RAW DATA'!M:M,'RAW DATA'!B336,'RAW DATA'!H:H)=0,"",SUMIF('RAW DATA'!M:M,'RAW DATA'!B336,'RAW DATA'!H:H))))</f>
        <v/>
      </c>
      <c r="F336" s="4" t="str">
        <f>IF($D335="TOTAL:",FIXED(ROUND(((SUM($F$4:$F334)/'RAW DATA'!$E$2)*100),1),1)&amp;"%",IF($D336="TOTAL:",SUM($F$4:$F335),IF(SUMIF('RAW DATA'!M:M,'RAW DATA'!B336,'RAW DATA'!I:I)=0,"",SUMIF('RAW DATA'!M:M,'RAW DATA'!B336,'RAW DATA'!I:I))))</f>
        <v/>
      </c>
      <c r="G336" s="24" t="str">
        <f t="shared" si="5"/>
        <v/>
      </c>
    </row>
    <row r="337" spans="2:7" x14ac:dyDescent="0.25">
      <c r="B337" s="1" t="str">
        <f>IF('RAW DATA'!$C339&lt;&gt;"",'RAW DATA'!$C339,"")</f>
        <v/>
      </c>
      <c r="C337" s="1" t="str">
        <f>IF('RAW DATA'!$D339&lt;&gt;"",'RAW DATA'!$D339,"")</f>
        <v/>
      </c>
      <c r="D337" s="1" t="str">
        <f>IF(AND($B336&lt;&gt;"", $B337=""), "TOTAL:", IF($D336="TOTAL:","VESSEL TARGET "&amp;'RAW DATA'!$E$2&amp;":",IF('RAW DATA'!$E337&lt;&gt;"",'RAW DATA'!$E337,"")))</f>
        <v/>
      </c>
      <c r="E337" s="4" t="str">
        <f>IF($D336="TOTAL:",FIXED(ROUND(((SUM($E$4:$E335)/'RAW DATA'!$E$2)*100),1),1)&amp;"%",IF($D337="TOTAL:",SUM($E$4:$E336),IF(SUMIF('RAW DATA'!M:M,'RAW DATA'!B337,'RAW DATA'!H:H)=0,"",SUMIF('RAW DATA'!M:M,'RAW DATA'!B337,'RAW DATA'!H:H))))</f>
        <v/>
      </c>
      <c r="F337" s="4" t="str">
        <f>IF($D336="TOTAL:",FIXED(ROUND(((SUM($F$4:$F335)/'RAW DATA'!$E$2)*100),1),1)&amp;"%",IF($D337="TOTAL:",SUM($F$4:$F336),IF(SUMIF('RAW DATA'!M:M,'RAW DATA'!B337,'RAW DATA'!I:I)=0,"",SUMIF('RAW DATA'!M:M,'RAW DATA'!B337,'RAW DATA'!I:I))))</f>
        <v/>
      </c>
      <c r="G337" s="24" t="str">
        <f t="shared" si="5"/>
        <v/>
      </c>
    </row>
    <row r="338" spans="2:7" x14ac:dyDescent="0.25">
      <c r="B338" s="1" t="str">
        <f>IF('RAW DATA'!$C340&lt;&gt;"",'RAW DATA'!$C340,"")</f>
        <v/>
      </c>
      <c r="C338" s="1" t="str">
        <f>IF('RAW DATA'!$D340&lt;&gt;"",'RAW DATA'!$D340,"")</f>
        <v/>
      </c>
      <c r="D338" s="1" t="str">
        <f>IF(AND($B337&lt;&gt;"", $B338=""), "TOTAL:", IF($D337="TOTAL:","VESSEL TARGET "&amp;'RAW DATA'!$E$2&amp;":",IF('RAW DATA'!$E338&lt;&gt;"",'RAW DATA'!$E338,"")))</f>
        <v/>
      </c>
      <c r="E338" s="4" t="str">
        <f>IF($D337="TOTAL:",FIXED(ROUND(((SUM($E$4:$E336)/'RAW DATA'!$E$2)*100),1),1)&amp;"%",IF($D338="TOTAL:",SUM($E$4:$E337),IF(SUMIF('RAW DATA'!M:M,'RAW DATA'!B338,'RAW DATA'!H:H)=0,"",SUMIF('RAW DATA'!M:M,'RAW DATA'!B338,'RAW DATA'!H:H))))</f>
        <v/>
      </c>
      <c r="F338" s="4" t="str">
        <f>IF($D337="TOTAL:",FIXED(ROUND(((SUM($F$4:$F336)/'RAW DATA'!$E$2)*100),1),1)&amp;"%",IF($D338="TOTAL:",SUM($F$4:$F337),IF(SUMIF('RAW DATA'!M:M,'RAW DATA'!B338,'RAW DATA'!I:I)=0,"",SUMIF('RAW DATA'!M:M,'RAW DATA'!B338,'RAW DATA'!I:I))))</f>
        <v/>
      </c>
      <c r="G338" s="24" t="str">
        <f t="shared" si="5"/>
        <v/>
      </c>
    </row>
    <row r="339" spans="2:7" x14ac:dyDescent="0.25">
      <c r="B339" s="1" t="str">
        <f>IF('RAW DATA'!$C341&lt;&gt;"",'RAW DATA'!$C341,"")</f>
        <v/>
      </c>
      <c r="C339" s="1" t="str">
        <f>IF('RAW DATA'!$D341&lt;&gt;"",'RAW DATA'!$D341,"")</f>
        <v/>
      </c>
      <c r="D339" s="1" t="str">
        <f>IF(AND($B338&lt;&gt;"", $B339=""), "TOTAL:", IF($D338="TOTAL:","VESSEL TARGET "&amp;'RAW DATA'!$E$2&amp;":",IF('RAW DATA'!$E339&lt;&gt;"",'RAW DATA'!$E339,"")))</f>
        <v/>
      </c>
      <c r="E339" s="4" t="str">
        <f>IF($D338="TOTAL:",FIXED(ROUND(((SUM($E$4:$E337)/'RAW DATA'!$E$2)*100),1),1)&amp;"%",IF($D339="TOTAL:",SUM($E$4:$E338),IF(SUMIF('RAW DATA'!M:M,'RAW DATA'!B339,'RAW DATA'!H:H)=0,"",SUMIF('RAW DATA'!M:M,'RAW DATA'!B339,'RAW DATA'!H:H))))</f>
        <v/>
      </c>
      <c r="F339" s="4" t="str">
        <f>IF($D338="TOTAL:",FIXED(ROUND(((SUM($F$4:$F337)/'RAW DATA'!$E$2)*100),1),1)&amp;"%",IF($D339="TOTAL:",SUM($F$4:$F338),IF(SUMIF('RAW DATA'!M:M,'RAW DATA'!B339,'RAW DATA'!I:I)=0,"",SUMIF('RAW DATA'!M:M,'RAW DATA'!B339,'RAW DATA'!I:I))))</f>
        <v/>
      </c>
      <c r="G339" s="24" t="str">
        <f t="shared" si="5"/>
        <v/>
      </c>
    </row>
    <row r="340" spans="2:7" x14ac:dyDescent="0.25">
      <c r="B340" s="1" t="str">
        <f>IF('RAW DATA'!$C342&lt;&gt;"",'RAW DATA'!$C342,"")</f>
        <v/>
      </c>
      <c r="C340" s="1" t="str">
        <f>IF('RAW DATA'!$D342&lt;&gt;"",'RAW DATA'!$D342,"")</f>
        <v/>
      </c>
      <c r="D340" s="1" t="str">
        <f>IF(AND($B339&lt;&gt;"", $B340=""), "TOTAL:", IF($D339="TOTAL:","VESSEL TARGET "&amp;'RAW DATA'!$E$2&amp;":",IF('RAW DATA'!$E340&lt;&gt;"",'RAW DATA'!$E340,"")))</f>
        <v/>
      </c>
      <c r="E340" s="4" t="str">
        <f>IF($D339="TOTAL:",FIXED(ROUND(((SUM($E$4:$E338)/'RAW DATA'!$E$2)*100),1),1)&amp;"%",IF($D340="TOTAL:",SUM($E$4:$E339),IF(SUMIF('RAW DATA'!M:M,'RAW DATA'!B340,'RAW DATA'!H:H)=0,"",SUMIF('RAW DATA'!M:M,'RAW DATA'!B340,'RAW DATA'!H:H))))</f>
        <v/>
      </c>
      <c r="F340" s="4" t="str">
        <f>IF($D339="TOTAL:",FIXED(ROUND(((SUM($F$4:$F338)/'RAW DATA'!$E$2)*100),1),1)&amp;"%",IF($D340="TOTAL:",SUM($F$4:$F339),IF(SUMIF('RAW DATA'!M:M,'RAW DATA'!B340,'RAW DATA'!I:I)=0,"",SUMIF('RAW DATA'!M:M,'RAW DATA'!B340,'RAW DATA'!I:I))))</f>
        <v/>
      </c>
      <c r="G340" s="24" t="str">
        <f t="shared" si="5"/>
        <v/>
      </c>
    </row>
    <row r="341" spans="2:7" x14ac:dyDescent="0.25">
      <c r="B341" s="1" t="str">
        <f>IF('RAW DATA'!$C343&lt;&gt;"",'RAW DATA'!$C343,"")</f>
        <v/>
      </c>
      <c r="C341" s="1" t="str">
        <f>IF('RAW DATA'!$D343&lt;&gt;"",'RAW DATA'!$D343,"")</f>
        <v/>
      </c>
      <c r="D341" s="1" t="str">
        <f>IF(AND($B340&lt;&gt;"", $B341=""), "TOTAL:", IF($D340="TOTAL:","VESSEL TARGET "&amp;'RAW DATA'!$E$2&amp;":",IF('RAW DATA'!$E341&lt;&gt;"",'RAW DATA'!$E341,"")))</f>
        <v/>
      </c>
      <c r="E341" s="4" t="str">
        <f>IF($D340="TOTAL:",FIXED(ROUND(((SUM($E$4:$E339)/'RAW DATA'!$E$2)*100),1),1)&amp;"%",IF($D341="TOTAL:",SUM($E$4:$E340),IF(SUMIF('RAW DATA'!M:M,'RAW DATA'!B341,'RAW DATA'!H:H)=0,"",SUMIF('RAW DATA'!M:M,'RAW DATA'!B341,'RAW DATA'!H:H))))</f>
        <v/>
      </c>
      <c r="F341" s="4" t="str">
        <f>IF($D340="TOTAL:",FIXED(ROUND(((SUM($F$4:$F339)/'RAW DATA'!$E$2)*100),1),1)&amp;"%",IF($D341="TOTAL:",SUM($F$4:$F340),IF(SUMIF('RAW DATA'!M:M,'RAW DATA'!B341,'RAW DATA'!I:I)=0,"",SUMIF('RAW DATA'!M:M,'RAW DATA'!B341,'RAW DATA'!I:I))))</f>
        <v/>
      </c>
      <c r="G341" s="24" t="str">
        <f t="shared" si="5"/>
        <v/>
      </c>
    </row>
    <row r="342" spans="2:7" x14ac:dyDescent="0.25">
      <c r="B342" s="1" t="str">
        <f>IF('RAW DATA'!$C344&lt;&gt;"",'RAW DATA'!$C344,"")</f>
        <v/>
      </c>
      <c r="C342" s="1" t="str">
        <f>IF('RAW DATA'!$D344&lt;&gt;"",'RAW DATA'!$D344,"")</f>
        <v/>
      </c>
      <c r="D342" s="1" t="str">
        <f>IF(AND($B341&lt;&gt;"", $B342=""), "TOTAL:", IF($D341="TOTAL:","VESSEL TARGET "&amp;'RAW DATA'!$E$2&amp;":",IF('RAW DATA'!$E342&lt;&gt;"",'RAW DATA'!$E342,"")))</f>
        <v/>
      </c>
      <c r="E342" s="4" t="str">
        <f>IF($D341="TOTAL:",FIXED(ROUND(((SUM($E$4:$E340)/'RAW DATA'!$E$2)*100),1),1)&amp;"%",IF($D342="TOTAL:",SUM($E$4:$E341),IF(SUMIF('RAW DATA'!M:M,'RAW DATA'!B342,'RAW DATA'!H:H)=0,"",SUMIF('RAW DATA'!M:M,'RAW DATA'!B342,'RAW DATA'!H:H))))</f>
        <v/>
      </c>
      <c r="F342" s="4" t="str">
        <f>IF($D341="TOTAL:",FIXED(ROUND(((SUM($F$4:$F340)/'RAW DATA'!$E$2)*100),1),1)&amp;"%",IF($D342="TOTAL:",SUM($F$4:$F341),IF(SUMIF('RAW DATA'!M:M,'RAW DATA'!B342,'RAW DATA'!I:I)=0,"",SUMIF('RAW DATA'!M:M,'RAW DATA'!B342,'RAW DATA'!I:I))))</f>
        <v/>
      </c>
      <c r="G342" s="24" t="str">
        <f t="shared" si="5"/>
        <v/>
      </c>
    </row>
    <row r="343" spans="2:7" x14ac:dyDescent="0.25">
      <c r="B343" s="1" t="str">
        <f>IF('RAW DATA'!$C345&lt;&gt;"",'RAW DATA'!$C345,"")</f>
        <v/>
      </c>
      <c r="C343" s="1" t="str">
        <f>IF('RAW DATA'!$D345&lt;&gt;"",'RAW DATA'!$D345,"")</f>
        <v/>
      </c>
      <c r="D343" s="1" t="str">
        <f>IF(AND($B342&lt;&gt;"", $B343=""), "TOTAL:", IF($D342="TOTAL:","VESSEL TARGET "&amp;'RAW DATA'!$E$2&amp;":",IF('RAW DATA'!$E343&lt;&gt;"",'RAW DATA'!$E343,"")))</f>
        <v/>
      </c>
      <c r="E343" s="4" t="str">
        <f>IF($D342="TOTAL:",FIXED(ROUND(((SUM($E$4:$E341)/'RAW DATA'!$E$2)*100),1),1)&amp;"%",IF($D343="TOTAL:",SUM($E$4:$E342),IF(SUMIF('RAW DATA'!M:M,'RAW DATA'!B343,'RAW DATA'!H:H)=0,"",SUMIF('RAW DATA'!M:M,'RAW DATA'!B343,'RAW DATA'!H:H))))</f>
        <v/>
      </c>
      <c r="F343" s="4" t="str">
        <f>IF($D342="TOTAL:",FIXED(ROUND(((SUM($F$4:$F341)/'RAW DATA'!$E$2)*100),1),1)&amp;"%",IF($D343="TOTAL:",SUM($F$4:$F342),IF(SUMIF('RAW DATA'!M:M,'RAW DATA'!B343,'RAW DATA'!I:I)=0,"",SUMIF('RAW DATA'!M:M,'RAW DATA'!B343,'RAW DATA'!I:I))))</f>
        <v/>
      </c>
      <c r="G343" s="24" t="str">
        <f t="shared" si="5"/>
        <v/>
      </c>
    </row>
    <row r="344" spans="2:7" x14ac:dyDescent="0.25">
      <c r="B344" s="1" t="str">
        <f>IF('RAW DATA'!$C346&lt;&gt;"",'RAW DATA'!$C346,"")</f>
        <v/>
      </c>
      <c r="C344" s="1" t="str">
        <f>IF('RAW DATA'!$D346&lt;&gt;"",'RAW DATA'!$D346,"")</f>
        <v/>
      </c>
      <c r="D344" s="1" t="str">
        <f>IF(AND($B343&lt;&gt;"", $B344=""), "TOTAL:", IF($D343="TOTAL:","VESSEL TARGET "&amp;'RAW DATA'!$E$2&amp;":",IF('RAW DATA'!$E344&lt;&gt;"",'RAW DATA'!$E344,"")))</f>
        <v/>
      </c>
      <c r="E344" s="4" t="str">
        <f>IF($D343="TOTAL:",FIXED(ROUND(((SUM($E$4:$E342)/'RAW DATA'!$E$2)*100),1),1)&amp;"%",IF($D344="TOTAL:",SUM($E$4:$E343),IF(SUMIF('RAW DATA'!M:M,'RAW DATA'!B344,'RAW DATA'!H:H)=0,"",SUMIF('RAW DATA'!M:M,'RAW DATA'!B344,'RAW DATA'!H:H))))</f>
        <v/>
      </c>
      <c r="F344" s="4" t="str">
        <f>IF($D343="TOTAL:",FIXED(ROUND(((SUM($F$4:$F342)/'RAW DATA'!$E$2)*100),1),1)&amp;"%",IF($D344="TOTAL:",SUM($F$4:$F343),IF(SUMIF('RAW DATA'!M:M,'RAW DATA'!B344,'RAW DATA'!I:I)=0,"",SUMIF('RAW DATA'!M:M,'RAW DATA'!B344,'RAW DATA'!I:I))))</f>
        <v/>
      </c>
      <c r="G344" s="24" t="str">
        <f t="shared" si="5"/>
        <v/>
      </c>
    </row>
    <row r="345" spans="2:7" x14ac:dyDescent="0.25">
      <c r="B345" s="1" t="str">
        <f>IF('RAW DATA'!$C347&lt;&gt;"",'RAW DATA'!$C347,"")</f>
        <v/>
      </c>
      <c r="C345" s="1" t="str">
        <f>IF('RAW DATA'!$D347&lt;&gt;"",'RAW DATA'!$D347,"")</f>
        <v/>
      </c>
      <c r="D345" s="1" t="str">
        <f>IF(AND($B344&lt;&gt;"", $B345=""), "TOTAL:", IF($D344="TOTAL:","VESSEL TARGET "&amp;'RAW DATA'!$E$2&amp;":",IF('RAW DATA'!$E345&lt;&gt;"",'RAW DATA'!$E345,"")))</f>
        <v/>
      </c>
      <c r="E345" s="4" t="str">
        <f>IF($D344="TOTAL:",FIXED(ROUND(((SUM($E$4:$E343)/'RAW DATA'!$E$2)*100),1),1)&amp;"%",IF($D345="TOTAL:",SUM($E$4:$E344),IF(SUMIF('RAW DATA'!M:M,'RAW DATA'!B345,'RAW DATA'!H:H)=0,"",SUMIF('RAW DATA'!M:M,'RAW DATA'!B345,'RAW DATA'!H:H))))</f>
        <v/>
      </c>
      <c r="F345" s="4" t="str">
        <f>IF($D344="TOTAL:",FIXED(ROUND(((SUM($F$4:$F343)/'RAW DATA'!$E$2)*100),1),1)&amp;"%",IF($D345="TOTAL:",SUM($F$4:$F344),IF(SUMIF('RAW DATA'!M:M,'RAW DATA'!B345,'RAW DATA'!I:I)=0,"",SUMIF('RAW DATA'!M:M,'RAW DATA'!B345,'RAW DATA'!I:I))))</f>
        <v/>
      </c>
      <c r="G345" s="24" t="str">
        <f t="shared" si="5"/>
        <v/>
      </c>
    </row>
    <row r="346" spans="2:7" x14ac:dyDescent="0.25">
      <c r="B346" s="1" t="str">
        <f>IF('RAW DATA'!$C348&lt;&gt;"",'RAW DATA'!$C348,"")</f>
        <v/>
      </c>
      <c r="C346" s="1" t="str">
        <f>IF('RAW DATA'!$D348&lt;&gt;"",'RAW DATA'!$D348,"")</f>
        <v/>
      </c>
      <c r="D346" s="1" t="str">
        <f>IF(AND($B345&lt;&gt;"", $B346=""), "TOTAL:", IF($D345="TOTAL:","VESSEL TARGET "&amp;'RAW DATA'!$E$2&amp;":",IF('RAW DATA'!$E346&lt;&gt;"",'RAW DATA'!$E346,"")))</f>
        <v/>
      </c>
      <c r="E346" s="4" t="str">
        <f>IF($D345="TOTAL:",FIXED(ROUND(((SUM($E$4:$E344)/'RAW DATA'!$E$2)*100),1),1)&amp;"%",IF($D346="TOTAL:",SUM($E$4:$E345),IF(SUMIF('RAW DATA'!M:M,'RAW DATA'!B346,'RAW DATA'!H:H)=0,"",SUMIF('RAW DATA'!M:M,'RAW DATA'!B346,'RAW DATA'!H:H))))</f>
        <v/>
      </c>
      <c r="F346" s="4" t="str">
        <f>IF($D345="TOTAL:",FIXED(ROUND(((SUM($F$4:$F344)/'RAW DATA'!$E$2)*100),1),1)&amp;"%",IF($D346="TOTAL:",SUM($F$4:$F345),IF(SUMIF('RAW DATA'!M:M,'RAW DATA'!B346,'RAW DATA'!I:I)=0,"",SUMIF('RAW DATA'!M:M,'RAW DATA'!B346,'RAW DATA'!I:I))))</f>
        <v/>
      </c>
      <c r="G346" s="24" t="str">
        <f t="shared" si="5"/>
        <v/>
      </c>
    </row>
    <row r="347" spans="2:7" x14ac:dyDescent="0.25">
      <c r="B347" s="1" t="str">
        <f>IF('RAW DATA'!$C349&lt;&gt;"",'RAW DATA'!$C349,"")</f>
        <v/>
      </c>
      <c r="C347" s="1" t="str">
        <f>IF('RAW DATA'!$D349&lt;&gt;"",'RAW DATA'!$D349,"")</f>
        <v/>
      </c>
      <c r="D347" s="1" t="str">
        <f>IF(AND($B346&lt;&gt;"", $B347=""), "TOTAL:", IF($D346="TOTAL:","VESSEL TARGET "&amp;'RAW DATA'!$E$2&amp;":",IF('RAW DATA'!$E347&lt;&gt;"",'RAW DATA'!$E347,"")))</f>
        <v/>
      </c>
      <c r="E347" s="4" t="str">
        <f>IF($D346="TOTAL:",FIXED(ROUND(((SUM($E$4:$E345)/'RAW DATA'!$E$2)*100),1),1)&amp;"%",IF($D347="TOTAL:",SUM($E$4:$E346),IF(SUMIF('RAW DATA'!M:M,'RAW DATA'!B347,'RAW DATA'!H:H)=0,"",SUMIF('RAW DATA'!M:M,'RAW DATA'!B347,'RAW DATA'!H:H))))</f>
        <v/>
      </c>
      <c r="F347" s="4" t="str">
        <f>IF($D346="TOTAL:",FIXED(ROUND(((SUM($F$4:$F345)/'RAW DATA'!$E$2)*100),1),1)&amp;"%",IF($D347="TOTAL:",SUM($F$4:$F346),IF(SUMIF('RAW DATA'!M:M,'RAW DATA'!B347,'RAW DATA'!I:I)=0,"",SUMIF('RAW DATA'!M:M,'RAW DATA'!B347,'RAW DATA'!I:I))))</f>
        <v/>
      </c>
      <c r="G347" s="24" t="str">
        <f t="shared" si="5"/>
        <v/>
      </c>
    </row>
    <row r="348" spans="2:7" x14ac:dyDescent="0.25">
      <c r="B348" s="1" t="str">
        <f>IF('RAW DATA'!$C350&lt;&gt;"",'RAW DATA'!$C350,"")</f>
        <v/>
      </c>
      <c r="C348" s="1" t="str">
        <f>IF('RAW DATA'!$D350&lt;&gt;"",'RAW DATA'!$D350,"")</f>
        <v/>
      </c>
      <c r="D348" s="1" t="str">
        <f>IF(AND($B347&lt;&gt;"", $B348=""), "TOTAL:", IF($D347="TOTAL:","VESSEL TARGET "&amp;'RAW DATA'!$E$2&amp;":",IF('RAW DATA'!$E348&lt;&gt;"",'RAW DATA'!$E348,"")))</f>
        <v/>
      </c>
      <c r="E348" s="4" t="str">
        <f>IF($D347="TOTAL:",FIXED(ROUND(((SUM($E$4:$E346)/'RAW DATA'!$E$2)*100),1),1)&amp;"%",IF($D348="TOTAL:",SUM($E$4:$E347),IF(SUMIF('RAW DATA'!M:M,'RAW DATA'!B348,'RAW DATA'!H:H)=0,"",SUMIF('RAW DATA'!M:M,'RAW DATA'!B348,'RAW DATA'!H:H))))</f>
        <v/>
      </c>
      <c r="F348" s="4" t="str">
        <f>IF($D347="TOTAL:",FIXED(ROUND(((SUM($F$4:$F346)/'RAW DATA'!$E$2)*100),1),1)&amp;"%",IF($D348="TOTAL:",SUM($F$4:$F347),IF(SUMIF('RAW DATA'!M:M,'RAW DATA'!B348,'RAW DATA'!I:I)=0,"",SUMIF('RAW DATA'!M:M,'RAW DATA'!B348,'RAW DATA'!I:I))))</f>
        <v/>
      </c>
      <c r="G348" s="24" t="str">
        <f t="shared" si="5"/>
        <v/>
      </c>
    </row>
    <row r="349" spans="2:7" x14ac:dyDescent="0.25">
      <c r="B349" s="1" t="str">
        <f>IF('RAW DATA'!$C351&lt;&gt;"",'RAW DATA'!$C351,"")</f>
        <v/>
      </c>
      <c r="C349" s="1" t="str">
        <f>IF('RAW DATA'!$D351&lt;&gt;"",'RAW DATA'!$D351,"")</f>
        <v/>
      </c>
      <c r="D349" s="1" t="str">
        <f>IF(AND($B348&lt;&gt;"", $B349=""), "TOTAL:", IF($D348="TOTAL:","VESSEL TARGET "&amp;'RAW DATA'!$E$2&amp;":",IF('RAW DATA'!$E349&lt;&gt;"",'RAW DATA'!$E349,"")))</f>
        <v/>
      </c>
      <c r="E349" s="4" t="str">
        <f>IF($D348="TOTAL:",FIXED(ROUND(((SUM($E$4:$E347)/'RAW DATA'!$E$2)*100),1),1)&amp;"%",IF($D349="TOTAL:",SUM($E$4:$E348),IF(SUMIF('RAW DATA'!M:M,'RAW DATA'!B349,'RAW DATA'!H:H)=0,"",SUMIF('RAW DATA'!M:M,'RAW DATA'!B349,'RAW DATA'!H:H))))</f>
        <v/>
      </c>
      <c r="F349" s="4" t="str">
        <f>IF($D348="TOTAL:",FIXED(ROUND(((SUM($F$4:$F347)/'RAW DATA'!$E$2)*100),1),1)&amp;"%",IF($D349="TOTAL:",SUM($F$4:$F348),IF(SUMIF('RAW DATA'!M:M,'RAW DATA'!B349,'RAW DATA'!I:I)=0,"",SUMIF('RAW DATA'!M:M,'RAW DATA'!B349,'RAW DATA'!I:I))))</f>
        <v/>
      </c>
      <c r="G349" s="24" t="str">
        <f t="shared" si="5"/>
        <v/>
      </c>
    </row>
    <row r="350" spans="2:7" x14ac:dyDescent="0.25">
      <c r="B350" s="1" t="str">
        <f>IF('RAW DATA'!$C352&lt;&gt;"",'RAW DATA'!$C352,"")</f>
        <v/>
      </c>
      <c r="C350" s="1" t="str">
        <f>IF('RAW DATA'!$D352&lt;&gt;"",'RAW DATA'!$D352,"")</f>
        <v/>
      </c>
      <c r="D350" s="1" t="str">
        <f>IF(AND($B349&lt;&gt;"", $B350=""), "TOTAL:", IF($D349="TOTAL:","VESSEL TARGET "&amp;'RAW DATA'!$E$2&amp;":",IF('RAW DATA'!$E350&lt;&gt;"",'RAW DATA'!$E350,"")))</f>
        <v/>
      </c>
      <c r="E350" s="4" t="str">
        <f>IF($D349="TOTAL:",FIXED(ROUND(((SUM($E$4:$E348)/'RAW DATA'!$E$2)*100),1),1)&amp;"%",IF($D350="TOTAL:",SUM($E$4:$E349),IF(SUMIF('RAW DATA'!M:M,'RAW DATA'!B350,'RAW DATA'!H:H)=0,"",SUMIF('RAW DATA'!M:M,'RAW DATA'!B350,'RAW DATA'!H:H))))</f>
        <v/>
      </c>
      <c r="F350" s="4" t="str">
        <f>IF($D349="TOTAL:",FIXED(ROUND(((SUM($F$4:$F348)/'RAW DATA'!$E$2)*100),1),1)&amp;"%",IF($D350="TOTAL:",SUM($F$4:$F349),IF(SUMIF('RAW DATA'!M:M,'RAW DATA'!B350,'RAW DATA'!I:I)=0,"",SUMIF('RAW DATA'!M:M,'RAW DATA'!B350,'RAW DATA'!I:I))))</f>
        <v/>
      </c>
      <c r="G350" s="24" t="str">
        <f t="shared" si="5"/>
        <v/>
      </c>
    </row>
    <row r="351" spans="2:7" x14ac:dyDescent="0.25">
      <c r="B351" s="1" t="str">
        <f>IF('RAW DATA'!$C353&lt;&gt;"",'RAW DATA'!$C353,"")</f>
        <v/>
      </c>
      <c r="C351" s="1" t="str">
        <f>IF('RAW DATA'!$D353&lt;&gt;"",'RAW DATA'!$D353,"")</f>
        <v/>
      </c>
      <c r="D351" s="1" t="str">
        <f>IF(AND($B350&lt;&gt;"", $B351=""), "TOTAL:", IF($D350="TOTAL:","VESSEL TARGET "&amp;'RAW DATA'!$E$2&amp;":",IF('RAW DATA'!$E351&lt;&gt;"",'RAW DATA'!$E351,"")))</f>
        <v/>
      </c>
      <c r="E351" s="4" t="str">
        <f>IF($D350="TOTAL:",FIXED(ROUND(((SUM($E$4:$E349)/'RAW DATA'!$E$2)*100),1),1)&amp;"%",IF($D351="TOTAL:",SUM($E$4:$E350),IF(SUMIF('RAW DATA'!M:M,'RAW DATA'!B351,'RAW DATA'!H:H)=0,"",SUMIF('RAW DATA'!M:M,'RAW DATA'!B351,'RAW DATA'!H:H))))</f>
        <v/>
      </c>
      <c r="F351" s="4" t="str">
        <f>IF($D350="TOTAL:",FIXED(ROUND(((SUM($F$4:$F349)/'RAW DATA'!$E$2)*100),1),1)&amp;"%",IF($D351="TOTAL:",SUM($F$4:$F350),IF(SUMIF('RAW DATA'!M:M,'RAW DATA'!B351,'RAW DATA'!I:I)=0,"",SUMIF('RAW DATA'!M:M,'RAW DATA'!B351,'RAW DATA'!I:I))))</f>
        <v/>
      </c>
      <c r="G351" s="24" t="str">
        <f t="shared" si="5"/>
        <v/>
      </c>
    </row>
    <row r="352" spans="2:7" x14ac:dyDescent="0.25">
      <c r="B352" s="1" t="str">
        <f>IF('RAW DATA'!$C354&lt;&gt;"",'RAW DATA'!$C354,"")</f>
        <v/>
      </c>
      <c r="C352" s="1" t="str">
        <f>IF('RAW DATA'!$D354&lt;&gt;"",'RAW DATA'!$D354,"")</f>
        <v/>
      </c>
      <c r="D352" s="1" t="str">
        <f>IF(AND($B351&lt;&gt;"", $B352=""), "TOTAL:", IF($D351="TOTAL:","VESSEL TARGET "&amp;'RAW DATA'!$E$2&amp;":",IF('RAW DATA'!$E352&lt;&gt;"",'RAW DATA'!$E352,"")))</f>
        <v/>
      </c>
      <c r="E352" s="4" t="str">
        <f>IF($D351="TOTAL:",FIXED(ROUND(((SUM($E$4:$E350)/'RAW DATA'!$E$2)*100),1),1)&amp;"%",IF($D352="TOTAL:",SUM($E$4:$E351),IF(SUMIF('RAW DATA'!M:M,'RAW DATA'!B352,'RAW DATA'!H:H)=0,"",SUMIF('RAW DATA'!M:M,'RAW DATA'!B352,'RAW DATA'!H:H))))</f>
        <v/>
      </c>
      <c r="F352" s="4" t="str">
        <f>IF($D351="TOTAL:",FIXED(ROUND(((SUM($F$4:$F350)/'RAW DATA'!$E$2)*100),1),1)&amp;"%",IF($D352="TOTAL:",SUM($F$4:$F351),IF(SUMIF('RAW DATA'!M:M,'RAW DATA'!B352,'RAW DATA'!I:I)=0,"",SUMIF('RAW DATA'!M:M,'RAW DATA'!B352,'RAW DATA'!I:I))))</f>
        <v/>
      </c>
      <c r="G352" s="24" t="str">
        <f t="shared" si="5"/>
        <v/>
      </c>
    </row>
    <row r="353" spans="2:7" x14ac:dyDescent="0.25">
      <c r="B353" s="1" t="str">
        <f>IF('RAW DATA'!$C355&lt;&gt;"",'RAW DATA'!$C355,"")</f>
        <v/>
      </c>
      <c r="C353" s="1" t="str">
        <f>IF('RAW DATA'!$D355&lt;&gt;"",'RAW DATA'!$D355,"")</f>
        <v/>
      </c>
      <c r="D353" s="1" t="str">
        <f>IF(AND($B352&lt;&gt;"", $B353=""), "TOTAL:", IF($D352="TOTAL:","VESSEL TARGET "&amp;'RAW DATA'!$E$2&amp;":",IF('RAW DATA'!$E353&lt;&gt;"",'RAW DATA'!$E353,"")))</f>
        <v/>
      </c>
      <c r="E353" s="4" t="str">
        <f>IF($D352="TOTAL:",FIXED(ROUND(((SUM($E$4:$E351)/'RAW DATA'!$E$2)*100),1),1)&amp;"%",IF($D353="TOTAL:",SUM($E$4:$E352),IF(SUMIF('RAW DATA'!M:M,'RAW DATA'!B353,'RAW DATA'!H:H)=0,"",SUMIF('RAW DATA'!M:M,'RAW DATA'!B353,'RAW DATA'!H:H))))</f>
        <v/>
      </c>
      <c r="F353" s="4" t="str">
        <f>IF($D352="TOTAL:",FIXED(ROUND(((SUM($F$4:$F351)/'RAW DATA'!$E$2)*100),1),1)&amp;"%",IF($D353="TOTAL:",SUM($F$4:$F352),IF(SUMIF('RAW DATA'!M:M,'RAW DATA'!B353,'RAW DATA'!I:I)=0,"",SUMIF('RAW DATA'!M:M,'RAW DATA'!B353,'RAW DATA'!I:I))))</f>
        <v/>
      </c>
      <c r="G353" s="24" t="str">
        <f t="shared" si="5"/>
        <v/>
      </c>
    </row>
    <row r="354" spans="2:7" x14ac:dyDescent="0.25">
      <c r="B354" s="1" t="str">
        <f>IF('RAW DATA'!$C356&lt;&gt;"",'RAW DATA'!$C356,"")</f>
        <v/>
      </c>
      <c r="C354" s="1" t="str">
        <f>IF('RAW DATA'!$D356&lt;&gt;"",'RAW DATA'!$D356,"")</f>
        <v/>
      </c>
      <c r="D354" s="1" t="str">
        <f>IF(AND($B353&lt;&gt;"", $B354=""), "TOTAL:", IF($D353="TOTAL:","VESSEL TARGET "&amp;'RAW DATA'!$E$2&amp;":",IF('RAW DATA'!$E354&lt;&gt;"",'RAW DATA'!$E354,"")))</f>
        <v/>
      </c>
      <c r="E354" s="4" t="str">
        <f>IF($D353="TOTAL:",FIXED(ROUND(((SUM($E$4:$E352)/'RAW DATA'!$E$2)*100),1),1)&amp;"%",IF($D354="TOTAL:",SUM($E$4:$E353),IF(SUMIF('RAW DATA'!M:M,'RAW DATA'!B354,'RAW DATA'!H:H)=0,"",SUMIF('RAW DATA'!M:M,'RAW DATA'!B354,'RAW DATA'!H:H))))</f>
        <v/>
      </c>
      <c r="F354" s="4" t="str">
        <f>IF($D353="TOTAL:",FIXED(ROUND(((SUM($F$4:$F352)/'RAW DATA'!$E$2)*100),1),1)&amp;"%",IF($D354="TOTAL:",SUM($F$4:$F353),IF(SUMIF('RAW DATA'!M:M,'RAW DATA'!B354,'RAW DATA'!I:I)=0,"",SUMIF('RAW DATA'!M:M,'RAW DATA'!B354,'RAW DATA'!I:I))))</f>
        <v/>
      </c>
      <c r="G354" s="24" t="str">
        <f t="shared" si="5"/>
        <v/>
      </c>
    </row>
    <row r="355" spans="2:7" x14ac:dyDescent="0.25">
      <c r="B355" s="1" t="str">
        <f>IF('RAW DATA'!$C357&lt;&gt;"",'RAW DATA'!$C357,"")</f>
        <v/>
      </c>
      <c r="C355" s="1" t="str">
        <f>IF('RAW DATA'!$D357&lt;&gt;"",'RAW DATA'!$D357,"")</f>
        <v/>
      </c>
      <c r="D355" s="1" t="str">
        <f>IF(AND($B354&lt;&gt;"", $B355=""), "TOTAL:", IF($D354="TOTAL:","VESSEL TARGET "&amp;'RAW DATA'!$E$2&amp;":",IF('RAW DATA'!$E355&lt;&gt;"",'RAW DATA'!$E355,"")))</f>
        <v/>
      </c>
      <c r="E355" s="4" t="str">
        <f>IF($D354="TOTAL:",FIXED(ROUND(((SUM($E$4:$E353)/'RAW DATA'!$E$2)*100),1),1)&amp;"%",IF($D355="TOTAL:",SUM($E$4:$E354),IF(SUMIF('RAW DATA'!M:M,'RAW DATA'!B355,'RAW DATA'!H:H)=0,"",SUMIF('RAW DATA'!M:M,'RAW DATA'!B355,'RAW DATA'!H:H))))</f>
        <v/>
      </c>
      <c r="F355" s="4" t="str">
        <f>IF($D354="TOTAL:",FIXED(ROUND(((SUM($F$4:$F353)/'RAW DATA'!$E$2)*100),1),1)&amp;"%",IF($D355="TOTAL:",SUM($F$4:$F354),IF(SUMIF('RAW DATA'!M:M,'RAW DATA'!B355,'RAW DATA'!I:I)=0,"",SUMIF('RAW DATA'!M:M,'RAW DATA'!B355,'RAW DATA'!I:I))))</f>
        <v/>
      </c>
      <c r="G355" s="24" t="str">
        <f t="shared" si="5"/>
        <v/>
      </c>
    </row>
    <row r="356" spans="2:7" x14ac:dyDescent="0.25">
      <c r="B356" s="1" t="str">
        <f>IF('RAW DATA'!$C358&lt;&gt;"",'RAW DATA'!$C358,"")</f>
        <v/>
      </c>
      <c r="C356" s="1" t="str">
        <f>IF('RAW DATA'!$D358&lt;&gt;"",'RAW DATA'!$D358,"")</f>
        <v/>
      </c>
      <c r="D356" s="1" t="str">
        <f>IF(AND($B355&lt;&gt;"", $B356=""), "TOTAL:", IF($D355="TOTAL:","VESSEL TARGET "&amp;'RAW DATA'!$E$2&amp;":",IF('RAW DATA'!$E356&lt;&gt;"",'RAW DATA'!$E356,"")))</f>
        <v/>
      </c>
      <c r="E356" s="4" t="str">
        <f>IF($D355="TOTAL:",FIXED(ROUND(((SUM($E$4:$E354)/'RAW DATA'!$E$2)*100),1),1)&amp;"%",IF($D356="TOTAL:",SUM($E$4:$E355),IF(SUMIF('RAW DATA'!M:M,'RAW DATA'!B356,'RAW DATA'!H:H)=0,"",SUMIF('RAW DATA'!M:M,'RAW DATA'!B356,'RAW DATA'!H:H))))</f>
        <v/>
      </c>
      <c r="F356" s="4" t="str">
        <f>IF($D355="TOTAL:",FIXED(ROUND(((SUM($F$4:$F354)/'RAW DATA'!$E$2)*100),1),1)&amp;"%",IF($D356="TOTAL:",SUM($F$4:$F355),IF(SUMIF('RAW DATA'!M:M,'RAW DATA'!B356,'RAW DATA'!I:I)=0,"",SUMIF('RAW DATA'!M:M,'RAW DATA'!B356,'RAW DATA'!I:I))))</f>
        <v/>
      </c>
      <c r="G356" s="24" t="str">
        <f t="shared" si="5"/>
        <v/>
      </c>
    </row>
    <row r="357" spans="2:7" x14ac:dyDescent="0.25">
      <c r="B357" s="1" t="str">
        <f>IF('RAW DATA'!$C359&lt;&gt;"",'RAW DATA'!$C359,"")</f>
        <v/>
      </c>
      <c r="C357" s="1" t="str">
        <f>IF('RAW DATA'!$D359&lt;&gt;"",'RAW DATA'!$D359,"")</f>
        <v/>
      </c>
      <c r="D357" s="1" t="str">
        <f>IF(AND($B356&lt;&gt;"", $B357=""), "TOTAL:", IF($D356="TOTAL:","VESSEL TARGET "&amp;'RAW DATA'!$E$2&amp;":",IF('RAW DATA'!$E357&lt;&gt;"",'RAW DATA'!$E357,"")))</f>
        <v/>
      </c>
      <c r="E357" s="4" t="str">
        <f>IF($D356="TOTAL:",FIXED(ROUND(((SUM($E$4:$E355)/'RAW DATA'!$E$2)*100),1),1)&amp;"%",IF($D357="TOTAL:",SUM($E$4:$E356),IF(SUMIF('RAW DATA'!M:M,'RAW DATA'!B357,'RAW DATA'!H:H)=0,"",SUMIF('RAW DATA'!M:M,'RAW DATA'!B357,'RAW DATA'!H:H))))</f>
        <v/>
      </c>
      <c r="F357" s="4" t="str">
        <f>IF($D356="TOTAL:",FIXED(ROUND(((SUM($F$4:$F355)/'RAW DATA'!$E$2)*100),1),1)&amp;"%",IF($D357="TOTAL:",SUM($F$4:$F356),IF(SUMIF('RAW DATA'!M:M,'RAW DATA'!B357,'RAW DATA'!I:I)=0,"",SUMIF('RAW DATA'!M:M,'RAW DATA'!B357,'RAW DATA'!I:I))))</f>
        <v/>
      </c>
      <c r="G357" s="24" t="str">
        <f t="shared" si="5"/>
        <v/>
      </c>
    </row>
    <row r="358" spans="2:7" x14ac:dyDescent="0.25">
      <c r="B358" s="1" t="str">
        <f>IF('RAW DATA'!$C360&lt;&gt;"",'RAW DATA'!$C360,"")</f>
        <v/>
      </c>
      <c r="C358" s="1" t="str">
        <f>IF('RAW DATA'!$D360&lt;&gt;"",'RAW DATA'!$D360,"")</f>
        <v/>
      </c>
      <c r="D358" s="1" t="str">
        <f>IF(AND($B357&lt;&gt;"", $B358=""), "TOTAL:", IF($D357="TOTAL:","VESSEL TARGET "&amp;'RAW DATA'!$E$2&amp;":",IF('RAW DATA'!$E358&lt;&gt;"",'RAW DATA'!$E358,"")))</f>
        <v/>
      </c>
      <c r="E358" s="4" t="str">
        <f>IF($D357="TOTAL:",FIXED(ROUND(((SUM($E$4:$E356)/'RAW DATA'!$E$2)*100),1),1)&amp;"%",IF($D358="TOTAL:",SUM($E$4:$E357),IF(SUMIF('RAW DATA'!M:M,'RAW DATA'!B358,'RAW DATA'!H:H)=0,"",SUMIF('RAW DATA'!M:M,'RAW DATA'!B358,'RAW DATA'!H:H))))</f>
        <v/>
      </c>
      <c r="F358" s="4" t="str">
        <f>IF($D357="TOTAL:",FIXED(ROUND(((SUM($F$4:$F356)/'RAW DATA'!$E$2)*100),1),1)&amp;"%",IF($D358="TOTAL:",SUM($F$4:$F357),IF(SUMIF('RAW DATA'!M:M,'RAW DATA'!B358,'RAW DATA'!I:I)=0,"",SUMIF('RAW DATA'!M:M,'RAW DATA'!B358,'RAW DATA'!I:I))))</f>
        <v/>
      </c>
      <c r="G358" s="24" t="str">
        <f t="shared" si="5"/>
        <v/>
      </c>
    </row>
    <row r="359" spans="2:7" x14ac:dyDescent="0.25">
      <c r="B359" s="1" t="str">
        <f>IF('RAW DATA'!$C361&lt;&gt;"",'RAW DATA'!$C361,"")</f>
        <v/>
      </c>
      <c r="C359" s="1" t="str">
        <f>IF('RAW DATA'!$D361&lt;&gt;"",'RAW DATA'!$D361,"")</f>
        <v/>
      </c>
      <c r="D359" s="1" t="str">
        <f>IF(AND($B358&lt;&gt;"", $B359=""), "TOTAL:", IF($D358="TOTAL:","VESSEL TARGET "&amp;'RAW DATA'!$E$2&amp;":",IF('RAW DATA'!$E359&lt;&gt;"",'RAW DATA'!$E359,"")))</f>
        <v/>
      </c>
      <c r="E359" s="4" t="str">
        <f>IF($D358="TOTAL:",FIXED(ROUND(((SUM($E$4:$E357)/'RAW DATA'!$E$2)*100),1),1)&amp;"%",IF($D359="TOTAL:",SUM($E$4:$E358),IF(SUMIF('RAW DATA'!M:M,'RAW DATA'!B359,'RAW DATA'!H:H)=0,"",SUMIF('RAW DATA'!M:M,'RAW DATA'!B359,'RAW DATA'!H:H))))</f>
        <v/>
      </c>
      <c r="F359" s="4" t="str">
        <f>IF($D358="TOTAL:",FIXED(ROUND(((SUM($F$4:$F357)/'RAW DATA'!$E$2)*100),1),1)&amp;"%",IF($D359="TOTAL:",SUM($F$4:$F358),IF(SUMIF('RAW DATA'!M:M,'RAW DATA'!B359,'RAW DATA'!I:I)=0,"",SUMIF('RAW DATA'!M:M,'RAW DATA'!B359,'RAW DATA'!I:I))))</f>
        <v/>
      </c>
      <c r="G359" s="24" t="str">
        <f t="shared" si="5"/>
        <v/>
      </c>
    </row>
    <row r="360" spans="2:7" x14ac:dyDescent="0.25">
      <c r="B360" s="1" t="str">
        <f>IF('RAW DATA'!$C362&lt;&gt;"",'RAW DATA'!$C362,"")</f>
        <v/>
      </c>
      <c r="C360" s="1" t="str">
        <f>IF('RAW DATA'!$D362&lt;&gt;"",'RAW DATA'!$D362,"")</f>
        <v/>
      </c>
      <c r="D360" s="1" t="str">
        <f>IF(AND($B359&lt;&gt;"", $B360=""), "TOTAL:", IF($D359="TOTAL:","VESSEL TARGET "&amp;'RAW DATA'!$E$2&amp;":",IF('RAW DATA'!$E360&lt;&gt;"",'RAW DATA'!$E360,"")))</f>
        <v/>
      </c>
      <c r="E360" s="4" t="str">
        <f>IF($D359="TOTAL:",FIXED(ROUND(((SUM($E$4:$E358)/'RAW DATA'!$E$2)*100),1),1)&amp;"%",IF($D360="TOTAL:",SUM($E$4:$E359),IF(SUMIF('RAW DATA'!M:M,'RAW DATA'!B360,'RAW DATA'!H:H)=0,"",SUMIF('RAW DATA'!M:M,'RAW DATA'!B360,'RAW DATA'!H:H))))</f>
        <v/>
      </c>
      <c r="F360" s="4" t="str">
        <f>IF($D359="TOTAL:",FIXED(ROUND(((SUM($F$4:$F358)/'RAW DATA'!$E$2)*100),1),1)&amp;"%",IF($D360="TOTAL:",SUM($F$4:$F359),IF(SUMIF('RAW DATA'!M:M,'RAW DATA'!B360,'RAW DATA'!I:I)=0,"",SUMIF('RAW DATA'!M:M,'RAW DATA'!B360,'RAW DATA'!I:I))))</f>
        <v/>
      </c>
      <c r="G360" s="24" t="str">
        <f t="shared" si="5"/>
        <v/>
      </c>
    </row>
    <row r="361" spans="2:7" x14ac:dyDescent="0.25">
      <c r="B361" s="1" t="str">
        <f>IF('RAW DATA'!$C363&lt;&gt;"",'RAW DATA'!$C363,"")</f>
        <v/>
      </c>
      <c r="C361" s="1" t="str">
        <f>IF('RAW DATA'!$D363&lt;&gt;"",'RAW DATA'!$D363,"")</f>
        <v/>
      </c>
      <c r="D361" s="1" t="str">
        <f>IF(AND($B360&lt;&gt;"", $B361=""), "TOTAL:", IF($D360="TOTAL:","VESSEL TARGET "&amp;'RAW DATA'!$E$2&amp;":",IF('RAW DATA'!$E361&lt;&gt;"",'RAW DATA'!$E361,"")))</f>
        <v/>
      </c>
      <c r="E361" s="4" t="str">
        <f>IF($D360="TOTAL:",FIXED(ROUND(((SUM($E$4:$E359)/'RAW DATA'!$E$2)*100),1),1)&amp;"%",IF($D361="TOTAL:",SUM($E$4:$E360),IF(SUMIF('RAW DATA'!M:M,'RAW DATA'!B361,'RAW DATA'!H:H)=0,"",SUMIF('RAW DATA'!M:M,'RAW DATA'!B361,'RAW DATA'!H:H))))</f>
        <v/>
      </c>
      <c r="F361" s="4" t="str">
        <f>IF($D360="TOTAL:",FIXED(ROUND(((SUM($F$4:$F359)/'RAW DATA'!$E$2)*100),1),1)&amp;"%",IF($D361="TOTAL:",SUM($F$4:$F360),IF(SUMIF('RAW DATA'!M:M,'RAW DATA'!B361,'RAW DATA'!I:I)=0,"",SUMIF('RAW DATA'!M:M,'RAW DATA'!B361,'RAW DATA'!I:I))))</f>
        <v/>
      </c>
      <c r="G361" s="24" t="str">
        <f t="shared" si="5"/>
        <v/>
      </c>
    </row>
    <row r="362" spans="2:7" x14ac:dyDescent="0.25">
      <c r="B362" s="1" t="str">
        <f>IF('RAW DATA'!$C364&lt;&gt;"",'RAW DATA'!$C364,"")</f>
        <v/>
      </c>
      <c r="C362" s="1" t="str">
        <f>IF('RAW DATA'!$D364&lt;&gt;"",'RAW DATA'!$D364,"")</f>
        <v/>
      </c>
      <c r="D362" s="1" t="str">
        <f>IF(AND($B361&lt;&gt;"", $B362=""), "TOTAL:", IF($D361="TOTAL:","VESSEL TARGET "&amp;'RAW DATA'!$E$2&amp;":",IF('RAW DATA'!$E362&lt;&gt;"",'RAW DATA'!$E362,"")))</f>
        <v/>
      </c>
      <c r="E362" s="4" t="str">
        <f>IF($D361="TOTAL:",FIXED(ROUND(((SUM($E$4:$E360)/'RAW DATA'!$E$2)*100),1),1)&amp;"%",IF($D362="TOTAL:",SUM($E$4:$E361),IF(SUMIF('RAW DATA'!M:M,'RAW DATA'!B362,'RAW DATA'!H:H)=0,"",SUMIF('RAW DATA'!M:M,'RAW DATA'!B362,'RAW DATA'!H:H))))</f>
        <v/>
      </c>
      <c r="F362" s="4" t="str">
        <f>IF($D361="TOTAL:",FIXED(ROUND(((SUM($F$4:$F360)/'RAW DATA'!$E$2)*100),1),1)&amp;"%",IF($D362="TOTAL:",SUM($F$4:$F361),IF(SUMIF('RAW DATA'!M:M,'RAW DATA'!B362,'RAW DATA'!I:I)=0,"",SUMIF('RAW DATA'!M:M,'RAW DATA'!B362,'RAW DATA'!I:I))))</f>
        <v/>
      </c>
      <c r="G362" s="24" t="str">
        <f t="shared" si="5"/>
        <v/>
      </c>
    </row>
    <row r="363" spans="2:7" x14ac:dyDescent="0.25">
      <c r="B363" s="1" t="str">
        <f>IF('RAW DATA'!$C365&lt;&gt;"",'RAW DATA'!$C365,"")</f>
        <v/>
      </c>
      <c r="C363" s="1" t="str">
        <f>IF('RAW DATA'!$D365&lt;&gt;"",'RAW DATA'!$D365,"")</f>
        <v/>
      </c>
      <c r="D363" s="1" t="str">
        <f>IF(AND($B362&lt;&gt;"", $B363=""), "TOTAL:", IF($D362="TOTAL:","VESSEL TARGET "&amp;'RAW DATA'!$E$2&amp;":",IF('RAW DATA'!$E363&lt;&gt;"",'RAW DATA'!$E363,"")))</f>
        <v/>
      </c>
      <c r="E363" s="4" t="str">
        <f>IF($D362="TOTAL:",FIXED(ROUND(((SUM($E$4:$E361)/'RAW DATA'!$E$2)*100),1),1)&amp;"%",IF($D363="TOTAL:",SUM($E$4:$E362),IF(SUMIF('RAW DATA'!M:M,'RAW DATA'!B363,'RAW DATA'!H:H)=0,"",SUMIF('RAW DATA'!M:M,'RAW DATA'!B363,'RAW DATA'!H:H))))</f>
        <v/>
      </c>
      <c r="F363" s="4" t="str">
        <f>IF($D362="TOTAL:",FIXED(ROUND(((SUM($F$4:$F361)/'RAW DATA'!$E$2)*100),1),1)&amp;"%",IF($D363="TOTAL:",SUM($F$4:$F362),IF(SUMIF('RAW DATA'!M:M,'RAW DATA'!B363,'RAW DATA'!I:I)=0,"",SUMIF('RAW DATA'!M:M,'RAW DATA'!B363,'RAW DATA'!I:I))))</f>
        <v/>
      </c>
      <c r="G363" s="24" t="str">
        <f t="shared" si="5"/>
        <v/>
      </c>
    </row>
    <row r="364" spans="2:7" x14ac:dyDescent="0.25">
      <c r="B364" s="1" t="str">
        <f>IF('RAW DATA'!$C366&lt;&gt;"",'RAW DATA'!$C366,"")</f>
        <v/>
      </c>
      <c r="C364" s="1" t="str">
        <f>IF('RAW DATA'!$D366&lt;&gt;"",'RAW DATA'!$D366,"")</f>
        <v/>
      </c>
      <c r="D364" s="1" t="str">
        <f>IF(AND($B363&lt;&gt;"", $B364=""), "TOTAL:", IF($D363="TOTAL:","VESSEL TARGET "&amp;'RAW DATA'!$E$2&amp;":",IF('RAW DATA'!$E364&lt;&gt;"",'RAW DATA'!$E364,"")))</f>
        <v/>
      </c>
      <c r="E364" s="4" t="str">
        <f>IF($D363="TOTAL:",FIXED(ROUND(((SUM($E$4:$E362)/'RAW DATA'!$E$2)*100),1),1)&amp;"%",IF($D364="TOTAL:",SUM($E$4:$E363),IF(SUMIF('RAW DATA'!M:M,'RAW DATA'!B364,'RAW DATA'!H:H)=0,"",SUMIF('RAW DATA'!M:M,'RAW DATA'!B364,'RAW DATA'!H:H))))</f>
        <v/>
      </c>
      <c r="F364" s="4" t="str">
        <f>IF($D363="TOTAL:",FIXED(ROUND(((SUM($F$4:$F362)/'RAW DATA'!$E$2)*100),1),1)&amp;"%",IF($D364="TOTAL:",SUM($F$4:$F363),IF(SUMIF('RAW DATA'!M:M,'RAW DATA'!B364,'RAW DATA'!I:I)=0,"",SUMIF('RAW DATA'!M:M,'RAW DATA'!B364,'RAW DATA'!I:I))))</f>
        <v/>
      </c>
      <c r="G364" s="24" t="str">
        <f t="shared" si="5"/>
        <v/>
      </c>
    </row>
    <row r="365" spans="2:7" x14ac:dyDescent="0.25">
      <c r="B365" s="1" t="str">
        <f>IF('RAW DATA'!$C367&lt;&gt;"",'RAW DATA'!$C367,"")</f>
        <v/>
      </c>
      <c r="C365" s="1" t="str">
        <f>IF('RAW DATA'!$D367&lt;&gt;"",'RAW DATA'!$D367,"")</f>
        <v/>
      </c>
      <c r="D365" s="1" t="str">
        <f>IF(AND($B364&lt;&gt;"", $B365=""), "TOTAL:", IF($D364="TOTAL:","VESSEL TARGET "&amp;'RAW DATA'!$E$2&amp;":",IF('RAW DATA'!$E365&lt;&gt;"",'RAW DATA'!$E365,"")))</f>
        <v/>
      </c>
      <c r="E365" s="4" t="str">
        <f>IF($D364="TOTAL:",FIXED(ROUND(((SUM($E$4:$E363)/'RAW DATA'!$E$2)*100),1),1)&amp;"%",IF($D365="TOTAL:",SUM($E$4:$E364),IF(SUMIF('RAW DATA'!M:M,'RAW DATA'!B365,'RAW DATA'!H:H)=0,"",SUMIF('RAW DATA'!M:M,'RAW DATA'!B365,'RAW DATA'!H:H))))</f>
        <v/>
      </c>
      <c r="F365" s="4" t="str">
        <f>IF($D364="TOTAL:",FIXED(ROUND(((SUM($F$4:$F363)/'RAW DATA'!$E$2)*100),1),1)&amp;"%",IF($D365="TOTAL:",SUM($F$4:$F364),IF(SUMIF('RAW DATA'!M:M,'RAW DATA'!B365,'RAW DATA'!I:I)=0,"",SUMIF('RAW DATA'!M:M,'RAW DATA'!B365,'RAW DATA'!I:I))))</f>
        <v/>
      </c>
      <c r="G365" s="24" t="str">
        <f t="shared" si="5"/>
        <v/>
      </c>
    </row>
    <row r="366" spans="2:7" x14ac:dyDescent="0.25">
      <c r="B366" s="1" t="str">
        <f>IF('RAW DATA'!$C368&lt;&gt;"",'RAW DATA'!$C368,"")</f>
        <v/>
      </c>
      <c r="C366" s="1" t="str">
        <f>IF('RAW DATA'!$D368&lt;&gt;"",'RAW DATA'!$D368,"")</f>
        <v/>
      </c>
      <c r="D366" s="1" t="str">
        <f>IF(AND($B365&lt;&gt;"", $B366=""), "TOTAL:", IF($D365="TOTAL:","VESSEL TARGET "&amp;'RAW DATA'!$E$2&amp;":",IF('RAW DATA'!$E366&lt;&gt;"",'RAW DATA'!$E366,"")))</f>
        <v/>
      </c>
      <c r="E366" s="4" t="str">
        <f>IF($D365="TOTAL:",FIXED(ROUND(((SUM($E$4:$E364)/'RAW DATA'!$E$2)*100),1),1)&amp;"%",IF($D366="TOTAL:",SUM($E$4:$E365),IF(SUMIF('RAW DATA'!M:M,'RAW DATA'!B366,'RAW DATA'!H:H)=0,"",SUMIF('RAW DATA'!M:M,'RAW DATA'!B366,'RAW DATA'!H:H))))</f>
        <v/>
      </c>
      <c r="F366" s="4" t="str">
        <f>IF($D365="TOTAL:",FIXED(ROUND(((SUM($F$4:$F364)/'RAW DATA'!$E$2)*100),1),1)&amp;"%",IF($D366="TOTAL:",SUM($F$4:$F365),IF(SUMIF('RAW DATA'!M:M,'RAW DATA'!B366,'RAW DATA'!I:I)=0,"",SUMIF('RAW DATA'!M:M,'RAW DATA'!B366,'RAW DATA'!I:I))))</f>
        <v/>
      </c>
      <c r="G366" s="24" t="str">
        <f t="shared" si="5"/>
        <v/>
      </c>
    </row>
    <row r="367" spans="2:7" x14ac:dyDescent="0.25">
      <c r="B367" s="1" t="str">
        <f>IF('RAW DATA'!$C369&lt;&gt;"",'RAW DATA'!$C369,"")</f>
        <v/>
      </c>
      <c r="C367" s="1" t="str">
        <f>IF('RAW DATA'!$D369&lt;&gt;"",'RAW DATA'!$D369,"")</f>
        <v/>
      </c>
      <c r="D367" s="1" t="str">
        <f>IF(AND($B366&lt;&gt;"", $B367=""), "TOTAL:", IF($D366="TOTAL:","VESSEL TARGET "&amp;'RAW DATA'!$E$2&amp;":",IF('RAW DATA'!$E367&lt;&gt;"",'RAW DATA'!$E367,"")))</f>
        <v/>
      </c>
      <c r="E367" s="4" t="str">
        <f>IF($D366="TOTAL:",FIXED(ROUND(((SUM($E$4:$E365)/'RAW DATA'!$E$2)*100),1),1)&amp;"%",IF($D367="TOTAL:",SUM($E$4:$E366),IF(SUMIF('RAW DATA'!M:M,'RAW DATA'!B367,'RAW DATA'!H:H)=0,"",SUMIF('RAW DATA'!M:M,'RAW DATA'!B367,'RAW DATA'!H:H))))</f>
        <v/>
      </c>
      <c r="F367" s="4" t="str">
        <f>IF($D366="TOTAL:",FIXED(ROUND(((SUM($F$4:$F365)/'RAW DATA'!$E$2)*100),1),1)&amp;"%",IF($D367="TOTAL:",SUM($F$4:$F366),IF(SUMIF('RAW DATA'!M:M,'RAW DATA'!B367,'RAW DATA'!I:I)=0,"",SUMIF('RAW DATA'!M:M,'RAW DATA'!B367,'RAW DATA'!I:I))))</f>
        <v/>
      </c>
      <c r="G367" s="24" t="str">
        <f t="shared" si="5"/>
        <v/>
      </c>
    </row>
    <row r="368" spans="2:7" x14ac:dyDescent="0.25">
      <c r="B368" s="1" t="str">
        <f>IF('RAW DATA'!$C370&lt;&gt;"",'RAW DATA'!$C370,"")</f>
        <v/>
      </c>
      <c r="C368" s="1" t="str">
        <f>IF('RAW DATA'!$D370&lt;&gt;"",'RAW DATA'!$D370,"")</f>
        <v/>
      </c>
      <c r="D368" s="1" t="str">
        <f>IF(AND($B367&lt;&gt;"", $B368=""), "TOTAL:", IF($D367="TOTAL:","VESSEL TARGET "&amp;'RAW DATA'!$E$2&amp;":",IF('RAW DATA'!$E368&lt;&gt;"",'RAW DATA'!$E368,"")))</f>
        <v/>
      </c>
      <c r="E368" s="4" t="str">
        <f>IF($D367="TOTAL:",FIXED(ROUND(((SUM($E$4:$E366)/'RAW DATA'!$E$2)*100),1),1)&amp;"%",IF($D368="TOTAL:",SUM($E$4:$E367),IF(SUMIF('RAW DATA'!M:M,'RAW DATA'!B368,'RAW DATA'!H:H)=0,"",SUMIF('RAW DATA'!M:M,'RAW DATA'!B368,'RAW DATA'!H:H))))</f>
        <v/>
      </c>
      <c r="F368" s="4" t="str">
        <f>IF($D367="TOTAL:",FIXED(ROUND(((SUM($F$4:$F366)/'RAW DATA'!$E$2)*100),1),1)&amp;"%",IF($D368="TOTAL:",SUM($F$4:$F367),IF(SUMIF('RAW DATA'!M:M,'RAW DATA'!B368,'RAW DATA'!I:I)=0,"",SUMIF('RAW DATA'!M:M,'RAW DATA'!B368,'RAW DATA'!I:I))))</f>
        <v/>
      </c>
      <c r="G368" s="24" t="str">
        <f t="shared" si="5"/>
        <v/>
      </c>
    </row>
    <row r="369" spans="2:7" x14ac:dyDescent="0.25">
      <c r="B369" s="1" t="str">
        <f>IF('RAW DATA'!$C371&lt;&gt;"",'RAW DATA'!$C371,"")</f>
        <v/>
      </c>
      <c r="C369" s="1" t="str">
        <f>IF('RAW DATA'!$D371&lt;&gt;"",'RAW DATA'!$D371,"")</f>
        <v/>
      </c>
      <c r="D369" s="1" t="str">
        <f>IF(AND($B368&lt;&gt;"", $B369=""), "TOTAL:", IF($D368="TOTAL:","VESSEL TARGET "&amp;'RAW DATA'!$E$2&amp;":",IF('RAW DATA'!$E369&lt;&gt;"",'RAW DATA'!$E369,"")))</f>
        <v/>
      </c>
      <c r="E369" s="4" t="str">
        <f>IF($D368="TOTAL:",FIXED(ROUND(((SUM($E$4:$E367)/'RAW DATA'!$E$2)*100),1),1)&amp;"%",IF($D369="TOTAL:",SUM($E$4:$E368),IF(SUMIF('RAW DATA'!M:M,'RAW DATA'!B369,'RAW DATA'!H:H)=0,"",SUMIF('RAW DATA'!M:M,'RAW DATA'!B369,'RAW DATA'!H:H))))</f>
        <v/>
      </c>
      <c r="F369" s="4" t="str">
        <f>IF($D368="TOTAL:",FIXED(ROUND(((SUM($F$4:$F367)/'RAW DATA'!$E$2)*100),1),1)&amp;"%",IF($D369="TOTAL:",SUM($F$4:$F368),IF(SUMIF('RAW DATA'!M:M,'RAW DATA'!B369,'RAW DATA'!I:I)=0,"",SUMIF('RAW DATA'!M:M,'RAW DATA'!B369,'RAW DATA'!I:I))))</f>
        <v/>
      </c>
      <c r="G369" s="24" t="str">
        <f t="shared" si="5"/>
        <v/>
      </c>
    </row>
    <row r="370" spans="2:7" x14ac:dyDescent="0.25">
      <c r="B370" s="1" t="str">
        <f>IF('RAW DATA'!$C372&lt;&gt;"",'RAW DATA'!$C372,"")</f>
        <v/>
      </c>
      <c r="C370" s="1" t="str">
        <f>IF('RAW DATA'!$D372&lt;&gt;"",'RAW DATA'!$D372,"")</f>
        <v/>
      </c>
      <c r="D370" s="1" t="str">
        <f>IF(AND($B369&lt;&gt;"", $B370=""), "TOTAL:", IF($D369="TOTAL:","VESSEL TARGET "&amp;'RAW DATA'!$E$2&amp;":",IF('RAW DATA'!$E370&lt;&gt;"",'RAW DATA'!$E370,"")))</f>
        <v/>
      </c>
      <c r="E370" s="4" t="str">
        <f>IF($D369="TOTAL:",FIXED(ROUND(((SUM($E$4:$E368)/'RAW DATA'!$E$2)*100),1),1)&amp;"%",IF($D370="TOTAL:",SUM($E$4:$E369),IF(SUMIF('RAW DATA'!M:M,'RAW DATA'!B370,'RAW DATA'!H:H)=0,"",SUMIF('RAW DATA'!M:M,'RAW DATA'!B370,'RAW DATA'!H:H))))</f>
        <v/>
      </c>
      <c r="F370" s="4" t="str">
        <f>IF($D369="TOTAL:",FIXED(ROUND(((SUM($F$4:$F368)/'RAW DATA'!$E$2)*100),1),1)&amp;"%",IF($D370="TOTAL:",SUM($F$4:$F369),IF(SUMIF('RAW DATA'!M:M,'RAW DATA'!B370,'RAW DATA'!I:I)=0,"",SUMIF('RAW DATA'!M:M,'RAW DATA'!B370,'RAW DATA'!I:I))))</f>
        <v/>
      </c>
      <c r="G370" s="24" t="str">
        <f t="shared" si="5"/>
        <v/>
      </c>
    </row>
    <row r="371" spans="2:7" x14ac:dyDescent="0.25">
      <c r="B371" s="1" t="str">
        <f>IF('RAW DATA'!$C373&lt;&gt;"",'RAW DATA'!$C373,"")</f>
        <v/>
      </c>
      <c r="C371" s="1" t="str">
        <f>IF('RAW DATA'!$D373&lt;&gt;"",'RAW DATA'!$D373,"")</f>
        <v/>
      </c>
      <c r="D371" s="1" t="str">
        <f>IF(AND($B370&lt;&gt;"", $B371=""), "TOTAL:", IF($D370="TOTAL:","VESSEL TARGET "&amp;'RAW DATA'!$E$2&amp;":",IF('RAW DATA'!$E371&lt;&gt;"",'RAW DATA'!$E371,"")))</f>
        <v/>
      </c>
      <c r="E371" s="4" t="str">
        <f>IF($D370="TOTAL:",FIXED(ROUND(((SUM($E$4:$E369)/'RAW DATA'!$E$2)*100),1),1)&amp;"%",IF($D371="TOTAL:",SUM($E$4:$E370),IF(SUMIF('RAW DATA'!M:M,'RAW DATA'!B371,'RAW DATA'!H:H)=0,"",SUMIF('RAW DATA'!M:M,'RAW DATA'!B371,'RAW DATA'!H:H))))</f>
        <v/>
      </c>
      <c r="F371" s="4" t="str">
        <f>IF($D370="TOTAL:",FIXED(ROUND(((SUM($F$4:$F369)/'RAW DATA'!$E$2)*100),1),1)&amp;"%",IF($D371="TOTAL:",SUM($F$4:$F370),IF(SUMIF('RAW DATA'!M:M,'RAW DATA'!B371,'RAW DATA'!I:I)=0,"",SUMIF('RAW DATA'!M:M,'RAW DATA'!B371,'RAW DATA'!I:I))))</f>
        <v/>
      </c>
      <c r="G371" s="24" t="str">
        <f t="shared" si="5"/>
        <v/>
      </c>
    </row>
    <row r="372" spans="2:7" x14ac:dyDescent="0.25">
      <c r="B372" s="1" t="str">
        <f>IF('RAW DATA'!$C374&lt;&gt;"",'RAW DATA'!$C374,"")</f>
        <v/>
      </c>
      <c r="C372" s="1" t="str">
        <f>IF('RAW DATA'!$D374&lt;&gt;"",'RAW DATA'!$D374,"")</f>
        <v/>
      </c>
      <c r="D372" s="1" t="str">
        <f>IF(AND($B371&lt;&gt;"", $B372=""), "TOTAL:", IF($D371="TOTAL:","VESSEL TARGET "&amp;'RAW DATA'!$E$2&amp;":",IF('RAW DATA'!$E372&lt;&gt;"",'RAW DATA'!$E372,"")))</f>
        <v/>
      </c>
      <c r="E372" s="4" t="str">
        <f>IF($D371="TOTAL:",FIXED(ROUND(((SUM($E$4:$E370)/'RAW DATA'!$E$2)*100),1),1)&amp;"%",IF($D372="TOTAL:",SUM($E$4:$E371),IF(SUMIF('RAW DATA'!M:M,'RAW DATA'!B372,'RAW DATA'!H:H)=0,"",SUMIF('RAW DATA'!M:M,'RAW DATA'!B372,'RAW DATA'!H:H))))</f>
        <v/>
      </c>
      <c r="F372" s="4" t="str">
        <f>IF($D371="TOTAL:",FIXED(ROUND(((SUM($F$4:$F370)/'RAW DATA'!$E$2)*100),1),1)&amp;"%",IF($D372="TOTAL:",SUM($F$4:$F371),IF(SUMIF('RAW DATA'!M:M,'RAW DATA'!B372,'RAW DATA'!I:I)=0,"",SUMIF('RAW DATA'!M:M,'RAW DATA'!B372,'RAW DATA'!I:I))))</f>
        <v/>
      </c>
      <c r="G372" s="24" t="str">
        <f t="shared" si="5"/>
        <v/>
      </c>
    </row>
    <row r="373" spans="2:7" x14ac:dyDescent="0.25">
      <c r="B373" s="1" t="str">
        <f>IF('RAW DATA'!$C375&lt;&gt;"",'RAW DATA'!$C375,"")</f>
        <v/>
      </c>
      <c r="C373" s="1" t="str">
        <f>IF('RAW DATA'!$D375&lt;&gt;"",'RAW DATA'!$D375,"")</f>
        <v/>
      </c>
      <c r="D373" s="1" t="str">
        <f>IF(AND($B372&lt;&gt;"", $B373=""), "TOTAL:", IF($D372="TOTAL:","VESSEL TARGET "&amp;'RAW DATA'!$E$2&amp;":",IF('RAW DATA'!$E373&lt;&gt;"",'RAW DATA'!$E373,"")))</f>
        <v/>
      </c>
      <c r="E373" s="4" t="str">
        <f>IF($D372="TOTAL:",FIXED(ROUND(((SUM($E$4:$E371)/'RAW DATA'!$E$2)*100),1),1)&amp;"%",IF($D373="TOTAL:",SUM($E$4:$E372),IF(SUMIF('RAW DATA'!M:M,'RAW DATA'!B373,'RAW DATA'!H:H)=0,"",SUMIF('RAW DATA'!M:M,'RAW DATA'!B373,'RAW DATA'!H:H))))</f>
        <v/>
      </c>
      <c r="F373" s="4" t="str">
        <f>IF($D372="TOTAL:",FIXED(ROUND(((SUM($F$4:$F371)/'RAW DATA'!$E$2)*100),1),1)&amp;"%",IF($D373="TOTAL:",SUM($F$4:$F372),IF(SUMIF('RAW DATA'!M:M,'RAW DATA'!B373,'RAW DATA'!I:I)=0,"",SUMIF('RAW DATA'!M:M,'RAW DATA'!B373,'RAW DATA'!I:I))))</f>
        <v/>
      </c>
      <c r="G373" s="24" t="str">
        <f t="shared" si="5"/>
        <v/>
      </c>
    </row>
    <row r="374" spans="2:7" x14ac:dyDescent="0.25">
      <c r="B374" s="1" t="str">
        <f>IF('RAW DATA'!$C376&lt;&gt;"",'RAW DATA'!$C376,"")</f>
        <v/>
      </c>
      <c r="C374" s="1" t="str">
        <f>IF('RAW DATA'!$D376&lt;&gt;"",'RAW DATA'!$D376,"")</f>
        <v/>
      </c>
      <c r="D374" s="1" t="str">
        <f>IF(AND($B373&lt;&gt;"", $B374=""), "TOTAL:", IF($D373="TOTAL:","VESSEL TARGET "&amp;'RAW DATA'!$E$2&amp;":",IF('RAW DATA'!$E374&lt;&gt;"",'RAW DATA'!$E374,"")))</f>
        <v/>
      </c>
      <c r="E374" s="4" t="str">
        <f>IF($D373="TOTAL:",FIXED(ROUND(((SUM($E$4:$E372)/'RAW DATA'!$E$2)*100),1),1)&amp;"%",IF($D374="TOTAL:",SUM($E$4:$E373),IF(SUMIF('RAW DATA'!M:M,'RAW DATA'!B374,'RAW DATA'!H:H)=0,"",SUMIF('RAW DATA'!M:M,'RAW DATA'!B374,'RAW DATA'!H:H))))</f>
        <v/>
      </c>
      <c r="F374" s="4" t="str">
        <f>IF($D373="TOTAL:",FIXED(ROUND(((SUM($F$4:$F372)/'RAW DATA'!$E$2)*100),1),1)&amp;"%",IF($D374="TOTAL:",SUM($F$4:$F373),IF(SUMIF('RAW DATA'!M:M,'RAW DATA'!B374,'RAW DATA'!I:I)=0,"",SUMIF('RAW DATA'!M:M,'RAW DATA'!B374,'RAW DATA'!I:I))))</f>
        <v/>
      </c>
      <c r="G374" s="24" t="str">
        <f t="shared" si="5"/>
        <v/>
      </c>
    </row>
    <row r="375" spans="2:7" x14ac:dyDescent="0.25">
      <c r="B375" s="1" t="str">
        <f>IF('RAW DATA'!$C377&lt;&gt;"",'RAW DATA'!$C377,"")</f>
        <v/>
      </c>
      <c r="C375" s="1" t="str">
        <f>IF('RAW DATA'!$D377&lt;&gt;"",'RAW DATA'!$D377,"")</f>
        <v/>
      </c>
      <c r="D375" s="1" t="str">
        <f>IF(AND($B374&lt;&gt;"", $B375=""), "TOTAL:", IF($D374="TOTAL:","VESSEL TARGET "&amp;'RAW DATA'!$E$2&amp;":",IF('RAW DATA'!$E375&lt;&gt;"",'RAW DATA'!$E375,"")))</f>
        <v/>
      </c>
      <c r="E375" s="4" t="str">
        <f>IF($D374="TOTAL:",FIXED(ROUND(((SUM($E$4:$E373)/'RAW DATA'!$E$2)*100),1),1)&amp;"%",IF($D375="TOTAL:",SUM($E$4:$E374),IF(SUMIF('RAW DATA'!M:M,'RAW DATA'!B375,'RAW DATA'!H:H)=0,"",SUMIF('RAW DATA'!M:M,'RAW DATA'!B375,'RAW DATA'!H:H))))</f>
        <v/>
      </c>
      <c r="F375" s="4" t="str">
        <f>IF($D374="TOTAL:",FIXED(ROUND(((SUM($F$4:$F373)/'RAW DATA'!$E$2)*100),1),1)&amp;"%",IF($D375="TOTAL:",SUM($F$4:$F374),IF(SUMIF('RAW DATA'!M:M,'RAW DATA'!B375,'RAW DATA'!I:I)=0,"",SUMIF('RAW DATA'!M:M,'RAW DATA'!B375,'RAW DATA'!I:I))))</f>
        <v/>
      </c>
      <c r="G375" s="24" t="str">
        <f t="shared" si="5"/>
        <v/>
      </c>
    </row>
    <row r="376" spans="2:7" x14ac:dyDescent="0.25">
      <c r="B376" s="1" t="str">
        <f>IF('RAW DATA'!$C378&lt;&gt;"",'RAW DATA'!$C378,"")</f>
        <v/>
      </c>
      <c r="C376" s="1" t="str">
        <f>IF('RAW DATA'!$D378&lt;&gt;"",'RAW DATA'!$D378,"")</f>
        <v/>
      </c>
      <c r="D376" s="1" t="str">
        <f>IF(AND($B375&lt;&gt;"", $B376=""), "TOTAL:", IF($D375="TOTAL:","VESSEL TARGET "&amp;'RAW DATA'!$E$2&amp;":",IF('RAW DATA'!$E376&lt;&gt;"",'RAW DATA'!$E376,"")))</f>
        <v/>
      </c>
      <c r="E376" s="4" t="str">
        <f>IF($D375="TOTAL:",FIXED(ROUND(((SUM($E$4:$E374)/'RAW DATA'!$E$2)*100),1),1)&amp;"%",IF($D376="TOTAL:",SUM($E$4:$E375),IF(SUMIF('RAW DATA'!M:M,'RAW DATA'!B376,'RAW DATA'!H:H)=0,"",SUMIF('RAW DATA'!M:M,'RAW DATA'!B376,'RAW DATA'!H:H))))</f>
        <v/>
      </c>
      <c r="F376" s="4" t="str">
        <f>IF($D375="TOTAL:",FIXED(ROUND(((SUM($F$4:$F374)/'RAW DATA'!$E$2)*100),1),1)&amp;"%",IF($D376="TOTAL:",SUM($F$4:$F375),IF(SUMIF('RAW DATA'!M:M,'RAW DATA'!B376,'RAW DATA'!I:I)=0,"",SUMIF('RAW DATA'!M:M,'RAW DATA'!B376,'RAW DATA'!I:I))))</f>
        <v/>
      </c>
      <c r="G376" s="24" t="str">
        <f t="shared" si="5"/>
        <v/>
      </c>
    </row>
    <row r="377" spans="2:7" x14ac:dyDescent="0.25">
      <c r="B377" s="1" t="str">
        <f>IF('RAW DATA'!$C379&lt;&gt;"",'RAW DATA'!$C379,"")</f>
        <v/>
      </c>
      <c r="C377" s="1" t="str">
        <f>IF('RAW DATA'!$D379&lt;&gt;"",'RAW DATA'!$D379,"")</f>
        <v/>
      </c>
      <c r="D377" s="1" t="str">
        <f>IF(AND($B376&lt;&gt;"", $B377=""), "TOTAL:", IF($D376="TOTAL:","VESSEL TARGET "&amp;'RAW DATA'!$E$2&amp;":",IF('RAW DATA'!$E377&lt;&gt;"",'RAW DATA'!$E377,"")))</f>
        <v/>
      </c>
      <c r="E377" s="4" t="str">
        <f>IF($D376="TOTAL:",FIXED(ROUND(((SUM($E$4:$E375)/'RAW DATA'!$E$2)*100),1),1)&amp;"%",IF($D377="TOTAL:",SUM($E$4:$E376),IF(SUMIF('RAW DATA'!M:M,'RAW DATA'!B377,'RAW DATA'!H:H)=0,"",SUMIF('RAW DATA'!M:M,'RAW DATA'!B377,'RAW DATA'!H:H))))</f>
        <v/>
      </c>
      <c r="F377" s="4" t="str">
        <f>IF($D376="TOTAL:",FIXED(ROUND(((SUM($F$4:$F375)/'RAW DATA'!$E$2)*100),1),1)&amp;"%",IF($D377="TOTAL:",SUM($F$4:$F376),IF(SUMIF('RAW DATA'!M:M,'RAW DATA'!B377,'RAW DATA'!I:I)=0,"",SUMIF('RAW DATA'!M:M,'RAW DATA'!B377,'RAW DATA'!I:I))))</f>
        <v/>
      </c>
      <c r="G377" s="24" t="str">
        <f t="shared" si="5"/>
        <v/>
      </c>
    </row>
    <row r="378" spans="2:7" x14ac:dyDescent="0.25">
      <c r="B378" s="1" t="str">
        <f>IF('RAW DATA'!$C380&lt;&gt;"",'RAW DATA'!$C380,"")</f>
        <v/>
      </c>
      <c r="C378" s="1" t="str">
        <f>IF('RAW DATA'!$D380&lt;&gt;"",'RAW DATA'!$D380,"")</f>
        <v/>
      </c>
      <c r="D378" s="1" t="str">
        <f>IF(AND($B377&lt;&gt;"", $B378=""), "TOTAL:", IF($D377="TOTAL:","VESSEL TARGET "&amp;'RAW DATA'!$E$2&amp;":",IF('RAW DATA'!$E378&lt;&gt;"",'RAW DATA'!$E378,"")))</f>
        <v/>
      </c>
      <c r="E378" s="4" t="str">
        <f>IF($D377="TOTAL:",FIXED(ROUND(((SUM($E$4:$E376)/'RAW DATA'!$E$2)*100),1),1)&amp;"%",IF($D378="TOTAL:",SUM($E$4:$E377),IF(SUMIF('RAW DATA'!M:M,'RAW DATA'!B378,'RAW DATA'!H:H)=0,"",SUMIF('RAW DATA'!M:M,'RAW DATA'!B378,'RAW DATA'!H:H))))</f>
        <v/>
      </c>
      <c r="F378" s="4" t="str">
        <f>IF($D377="TOTAL:",FIXED(ROUND(((SUM($F$4:$F376)/'RAW DATA'!$E$2)*100),1),1)&amp;"%",IF($D378="TOTAL:",SUM($F$4:$F377),IF(SUMIF('RAW DATA'!M:M,'RAW DATA'!B378,'RAW DATA'!I:I)=0,"",SUMIF('RAW DATA'!M:M,'RAW DATA'!B378,'RAW DATA'!I:I))))</f>
        <v/>
      </c>
      <c r="G378" s="24" t="str">
        <f t="shared" si="5"/>
        <v/>
      </c>
    </row>
    <row r="379" spans="2:7" x14ac:dyDescent="0.25">
      <c r="B379" s="1" t="str">
        <f>IF('RAW DATA'!$C381&lt;&gt;"",'RAW DATA'!$C381,"")</f>
        <v/>
      </c>
      <c r="C379" s="1" t="str">
        <f>IF('RAW DATA'!$D381&lt;&gt;"",'RAW DATA'!$D381,"")</f>
        <v/>
      </c>
      <c r="D379" s="1" t="str">
        <f>IF(AND($B378&lt;&gt;"", $B379=""), "TOTAL:", IF($D378="TOTAL:","VESSEL TARGET "&amp;'RAW DATA'!$E$2&amp;":",IF('RAW DATA'!$E379&lt;&gt;"",'RAW DATA'!$E379,"")))</f>
        <v/>
      </c>
      <c r="E379" s="4" t="str">
        <f>IF($D378="TOTAL:",FIXED(ROUND(((SUM($E$4:$E377)/'RAW DATA'!$E$2)*100),1),1)&amp;"%",IF($D379="TOTAL:",SUM($E$4:$E378),IF(SUMIF('RAW DATA'!M:M,'RAW DATA'!B379,'RAW DATA'!H:H)=0,"",SUMIF('RAW DATA'!M:M,'RAW DATA'!B379,'RAW DATA'!H:H))))</f>
        <v/>
      </c>
      <c r="F379" s="4" t="str">
        <f>IF($D378="TOTAL:",FIXED(ROUND(((SUM($F$4:$F377)/'RAW DATA'!$E$2)*100),1),1)&amp;"%",IF($D379="TOTAL:",SUM($F$4:$F378),IF(SUMIF('RAW DATA'!M:M,'RAW DATA'!B379,'RAW DATA'!I:I)=0,"",SUMIF('RAW DATA'!M:M,'RAW DATA'!B379,'RAW DATA'!I:I))))</f>
        <v/>
      </c>
      <c r="G379" s="24" t="str">
        <f t="shared" si="5"/>
        <v/>
      </c>
    </row>
    <row r="380" spans="2:7" x14ac:dyDescent="0.25">
      <c r="B380" s="1" t="str">
        <f>IF('RAW DATA'!$C382&lt;&gt;"",'RAW DATA'!$C382,"")</f>
        <v/>
      </c>
      <c r="C380" s="1" t="str">
        <f>IF('RAW DATA'!$D382&lt;&gt;"",'RAW DATA'!$D382,"")</f>
        <v/>
      </c>
      <c r="D380" s="1" t="str">
        <f>IF(AND($B379&lt;&gt;"", $B380=""), "TOTAL:", IF($D379="TOTAL:","VESSEL TARGET "&amp;'RAW DATA'!$E$2&amp;":",IF('RAW DATA'!$E380&lt;&gt;"",'RAW DATA'!$E380,"")))</f>
        <v/>
      </c>
      <c r="E380" s="4" t="str">
        <f>IF($D379="TOTAL:",FIXED(ROUND(((SUM($E$4:$E378)/'RAW DATA'!$E$2)*100),1),1)&amp;"%",IF($D380="TOTAL:",SUM($E$4:$E379),IF(SUMIF('RAW DATA'!M:M,'RAW DATA'!B380,'RAW DATA'!H:H)=0,"",SUMIF('RAW DATA'!M:M,'RAW DATA'!B380,'RAW DATA'!H:H))))</f>
        <v/>
      </c>
      <c r="F380" s="4" t="str">
        <f>IF($D379="TOTAL:",FIXED(ROUND(((SUM($F$4:$F378)/'RAW DATA'!$E$2)*100),1),1)&amp;"%",IF($D380="TOTAL:",SUM($F$4:$F379),IF(SUMIF('RAW DATA'!M:M,'RAW DATA'!B380,'RAW DATA'!I:I)=0,"",SUMIF('RAW DATA'!M:M,'RAW DATA'!B380,'RAW DATA'!I:I))))</f>
        <v/>
      </c>
      <c r="G380" s="24" t="str">
        <f t="shared" si="5"/>
        <v/>
      </c>
    </row>
    <row r="381" spans="2:7" x14ac:dyDescent="0.25">
      <c r="B381" s="1" t="str">
        <f>IF('RAW DATA'!$C383&lt;&gt;"",'RAW DATA'!$C383,"")</f>
        <v/>
      </c>
      <c r="C381" s="1" t="str">
        <f>IF('RAW DATA'!$D383&lt;&gt;"",'RAW DATA'!$D383,"")</f>
        <v/>
      </c>
      <c r="D381" s="1" t="str">
        <f>IF(AND($B380&lt;&gt;"", $B381=""), "TOTAL:", IF($D380="TOTAL:","VESSEL TARGET "&amp;'RAW DATA'!$E$2&amp;":",IF('RAW DATA'!$E381&lt;&gt;"",'RAW DATA'!$E381,"")))</f>
        <v/>
      </c>
      <c r="E381" s="4" t="str">
        <f>IF($D380="TOTAL:",FIXED(ROUND(((SUM($E$4:$E379)/'RAW DATA'!$E$2)*100),1),1)&amp;"%",IF($D381="TOTAL:",SUM($E$4:$E380),IF(SUMIF('RAW DATA'!M:M,'RAW DATA'!B381,'RAW DATA'!H:H)=0,"",SUMIF('RAW DATA'!M:M,'RAW DATA'!B381,'RAW DATA'!H:H))))</f>
        <v/>
      </c>
      <c r="F381" s="4" t="str">
        <f>IF($D380="TOTAL:",FIXED(ROUND(((SUM($F$4:$F379)/'RAW DATA'!$E$2)*100),1),1)&amp;"%",IF($D381="TOTAL:",SUM($F$4:$F380),IF(SUMIF('RAW DATA'!M:M,'RAW DATA'!B381,'RAW DATA'!I:I)=0,"",SUMIF('RAW DATA'!M:M,'RAW DATA'!B381,'RAW DATA'!I:I))))</f>
        <v/>
      </c>
      <c r="G381" s="24" t="str">
        <f t="shared" si="5"/>
        <v/>
      </c>
    </row>
    <row r="382" spans="2:7" x14ac:dyDescent="0.25">
      <c r="B382" s="1" t="str">
        <f>IF('RAW DATA'!$C384&lt;&gt;"",'RAW DATA'!$C384,"")</f>
        <v/>
      </c>
      <c r="C382" s="1" t="str">
        <f>IF('RAW DATA'!$D384&lt;&gt;"",'RAW DATA'!$D384,"")</f>
        <v/>
      </c>
      <c r="D382" s="1" t="str">
        <f>IF(AND($B381&lt;&gt;"", $B382=""), "TOTAL:", IF($D381="TOTAL:","VESSEL TARGET "&amp;'RAW DATA'!$E$2&amp;":",IF('RAW DATA'!$E382&lt;&gt;"",'RAW DATA'!$E382,"")))</f>
        <v/>
      </c>
      <c r="E382" s="4" t="str">
        <f>IF($D381="TOTAL:",FIXED(ROUND(((SUM($E$4:$E380)/'RAW DATA'!$E$2)*100),1),1)&amp;"%",IF($D382="TOTAL:",SUM($E$4:$E381),IF(SUMIF('RAW DATA'!M:M,'RAW DATA'!B382,'RAW DATA'!H:H)=0,"",SUMIF('RAW DATA'!M:M,'RAW DATA'!B382,'RAW DATA'!H:H))))</f>
        <v/>
      </c>
      <c r="F382" s="4" t="str">
        <f>IF($D381="TOTAL:",FIXED(ROUND(((SUM($F$4:$F380)/'RAW DATA'!$E$2)*100),1),1)&amp;"%",IF($D382="TOTAL:",SUM($F$4:$F381),IF(SUMIF('RAW DATA'!M:M,'RAW DATA'!B382,'RAW DATA'!I:I)=0,"",SUMIF('RAW DATA'!M:M,'RAW DATA'!B382,'RAW DATA'!I:I))))</f>
        <v/>
      </c>
      <c r="G382" s="24" t="str">
        <f t="shared" si="5"/>
        <v/>
      </c>
    </row>
    <row r="383" spans="2:7" x14ac:dyDescent="0.25">
      <c r="B383" s="1" t="str">
        <f>IF('RAW DATA'!$C385&lt;&gt;"",'RAW DATA'!$C385,"")</f>
        <v/>
      </c>
      <c r="C383" s="1" t="str">
        <f>IF('RAW DATA'!$D385&lt;&gt;"",'RAW DATA'!$D385,"")</f>
        <v/>
      </c>
      <c r="D383" s="1" t="str">
        <f>IF(AND($B382&lt;&gt;"", $B383=""), "TOTAL:", IF($D382="TOTAL:","VESSEL TARGET "&amp;'RAW DATA'!$E$2&amp;":",IF('RAW DATA'!$E383&lt;&gt;"",'RAW DATA'!$E383,"")))</f>
        <v/>
      </c>
      <c r="E383" s="4" t="str">
        <f>IF($D382="TOTAL:",FIXED(ROUND(((SUM($E$4:$E381)/'RAW DATA'!$E$2)*100),1),1)&amp;"%",IF($D383="TOTAL:",SUM($E$4:$E382),IF(SUMIF('RAW DATA'!M:M,'RAW DATA'!B383,'RAW DATA'!H:H)=0,"",SUMIF('RAW DATA'!M:M,'RAW DATA'!B383,'RAW DATA'!H:H))))</f>
        <v/>
      </c>
      <c r="F383" s="4" t="str">
        <f>IF($D382="TOTAL:",FIXED(ROUND(((SUM($F$4:$F381)/'RAW DATA'!$E$2)*100),1),1)&amp;"%",IF($D383="TOTAL:",SUM($F$4:$F382),IF(SUMIF('RAW DATA'!M:M,'RAW DATA'!B383,'RAW DATA'!I:I)=0,"",SUMIF('RAW DATA'!M:M,'RAW DATA'!B383,'RAW DATA'!I:I))))</f>
        <v/>
      </c>
      <c r="G383" s="24" t="str">
        <f t="shared" si="5"/>
        <v/>
      </c>
    </row>
    <row r="384" spans="2:7" x14ac:dyDescent="0.25">
      <c r="B384" s="1" t="str">
        <f>IF('RAW DATA'!$C386&lt;&gt;"",'RAW DATA'!$C386,"")</f>
        <v/>
      </c>
      <c r="C384" s="1" t="str">
        <f>IF('RAW DATA'!$D386&lt;&gt;"",'RAW DATA'!$D386,"")</f>
        <v/>
      </c>
      <c r="D384" s="1" t="str">
        <f>IF(AND($B383&lt;&gt;"", $B384=""), "TOTAL:", IF($D383="TOTAL:","VESSEL TARGET "&amp;'RAW DATA'!$E$2&amp;":",IF('RAW DATA'!$E384&lt;&gt;"",'RAW DATA'!$E384,"")))</f>
        <v/>
      </c>
      <c r="E384" s="4" t="str">
        <f>IF($D383="TOTAL:",FIXED(ROUND(((SUM($E$4:$E382)/'RAW DATA'!$E$2)*100),1),1)&amp;"%",IF($D384="TOTAL:",SUM($E$4:$E383),IF(SUMIF('RAW DATA'!M:M,'RAW DATA'!B384,'RAW DATA'!H:H)=0,"",SUMIF('RAW DATA'!M:M,'RAW DATA'!B384,'RAW DATA'!H:H))))</f>
        <v/>
      </c>
      <c r="F384" s="4" t="str">
        <f>IF($D383="TOTAL:",FIXED(ROUND(((SUM($F$4:$F382)/'RAW DATA'!$E$2)*100),1),1)&amp;"%",IF($D384="TOTAL:",SUM($F$4:$F383),IF(SUMIF('RAW DATA'!M:M,'RAW DATA'!B384,'RAW DATA'!I:I)=0,"",SUMIF('RAW DATA'!M:M,'RAW DATA'!B384,'RAW DATA'!I:I))))</f>
        <v/>
      </c>
      <c r="G384" s="24" t="str">
        <f t="shared" si="5"/>
        <v/>
      </c>
    </row>
    <row r="385" spans="2:7" x14ac:dyDescent="0.25">
      <c r="B385" s="1" t="str">
        <f>IF('RAW DATA'!$C387&lt;&gt;"",'RAW DATA'!$C387,"")</f>
        <v/>
      </c>
      <c r="C385" s="1" t="str">
        <f>IF('RAW DATA'!$D387&lt;&gt;"",'RAW DATA'!$D387,"")</f>
        <v/>
      </c>
      <c r="D385" s="1" t="str">
        <f>IF(AND($B384&lt;&gt;"", $B385=""), "TOTAL:", IF($D384="TOTAL:","VESSEL TARGET "&amp;'RAW DATA'!$E$2&amp;":",IF('RAW DATA'!$E385&lt;&gt;"",'RAW DATA'!$E385,"")))</f>
        <v/>
      </c>
      <c r="E385" s="4" t="str">
        <f>IF($D384="TOTAL:",FIXED(ROUND(((SUM($E$4:$E383)/'RAW DATA'!$E$2)*100),1),1)&amp;"%",IF($D385="TOTAL:",SUM($E$4:$E384),IF(SUMIF('RAW DATA'!M:M,'RAW DATA'!B385,'RAW DATA'!H:H)=0,"",SUMIF('RAW DATA'!M:M,'RAW DATA'!B385,'RAW DATA'!H:H))))</f>
        <v/>
      </c>
      <c r="F385" s="4" t="str">
        <f>IF($D384="TOTAL:",FIXED(ROUND(((SUM($F$4:$F383)/'RAW DATA'!$E$2)*100),1),1)&amp;"%",IF($D385="TOTAL:",SUM($F$4:$F384),IF(SUMIF('RAW DATA'!M:M,'RAW DATA'!B385,'RAW DATA'!I:I)=0,"",SUMIF('RAW DATA'!M:M,'RAW DATA'!B385,'RAW DATA'!I:I))))</f>
        <v/>
      </c>
      <c r="G385" s="24" t="str">
        <f t="shared" si="5"/>
        <v/>
      </c>
    </row>
    <row r="386" spans="2:7" x14ac:dyDescent="0.25">
      <c r="B386" s="1" t="str">
        <f>IF('RAW DATA'!$C388&lt;&gt;"",'RAW DATA'!$C388,"")</f>
        <v/>
      </c>
      <c r="C386" s="1" t="str">
        <f>IF('RAW DATA'!$D388&lt;&gt;"",'RAW DATA'!$D388,"")</f>
        <v/>
      </c>
      <c r="D386" s="1" t="str">
        <f>IF(AND($B385&lt;&gt;"", $B386=""), "TOTAL:", IF($D385="TOTAL:","VESSEL TARGET "&amp;'RAW DATA'!$E$2&amp;":",IF('RAW DATA'!$E386&lt;&gt;"",'RAW DATA'!$E386,"")))</f>
        <v/>
      </c>
      <c r="E386" s="4" t="str">
        <f>IF($D385="TOTAL:",FIXED(ROUND(((SUM($E$4:$E384)/'RAW DATA'!$E$2)*100),1),1)&amp;"%",IF($D386="TOTAL:",SUM($E$4:$E385),IF(SUMIF('RAW DATA'!M:M,'RAW DATA'!B386,'RAW DATA'!H:H)=0,"",SUMIF('RAW DATA'!M:M,'RAW DATA'!B386,'RAW DATA'!H:H))))</f>
        <v/>
      </c>
      <c r="F386" s="4" t="str">
        <f>IF($D385="TOTAL:",FIXED(ROUND(((SUM($F$4:$F384)/'RAW DATA'!$E$2)*100),1),1)&amp;"%",IF($D386="TOTAL:",SUM($F$4:$F385),IF(SUMIF('RAW DATA'!M:M,'RAW DATA'!B386,'RAW DATA'!I:I)=0,"",SUMIF('RAW DATA'!M:M,'RAW DATA'!B386,'RAW DATA'!I:I))))</f>
        <v/>
      </c>
      <c r="G386" s="24" t="str">
        <f t="shared" si="5"/>
        <v/>
      </c>
    </row>
    <row r="387" spans="2:7" x14ac:dyDescent="0.25">
      <c r="B387" s="1" t="str">
        <f>IF('RAW DATA'!$C389&lt;&gt;"",'RAW DATA'!$C389,"")</f>
        <v/>
      </c>
      <c r="C387" s="1" t="str">
        <f>IF('RAW DATA'!$D389&lt;&gt;"",'RAW DATA'!$D389,"")</f>
        <v/>
      </c>
      <c r="D387" s="1" t="str">
        <f>IF(AND($B386&lt;&gt;"", $B387=""), "TOTAL:", IF($D386="TOTAL:","VESSEL TARGET "&amp;'RAW DATA'!$E$2&amp;":",IF('RAW DATA'!$E387&lt;&gt;"",'RAW DATA'!$E387,"")))</f>
        <v/>
      </c>
      <c r="E387" s="4" t="str">
        <f>IF($D386="TOTAL:",FIXED(ROUND(((SUM($E$4:$E385)/'RAW DATA'!$E$2)*100),1),1)&amp;"%",IF($D387="TOTAL:",SUM($E$4:$E386),IF(SUMIF('RAW DATA'!M:M,'RAW DATA'!B387,'RAW DATA'!H:H)=0,"",SUMIF('RAW DATA'!M:M,'RAW DATA'!B387,'RAW DATA'!H:H))))</f>
        <v/>
      </c>
      <c r="F387" s="4" t="str">
        <f>IF($D386="TOTAL:",FIXED(ROUND(((SUM($F$4:$F385)/'RAW DATA'!$E$2)*100),1),1)&amp;"%",IF($D387="TOTAL:",SUM($F$4:$F386),IF(SUMIF('RAW DATA'!M:M,'RAW DATA'!B387,'RAW DATA'!I:I)=0,"",SUMIF('RAW DATA'!M:M,'RAW DATA'!B387,'RAW DATA'!I:I))))</f>
        <v/>
      </c>
      <c r="G387" s="24" t="str">
        <f t="shared" si="5"/>
        <v/>
      </c>
    </row>
    <row r="388" spans="2:7" x14ac:dyDescent="0.25">
      <c r="B388" s="1" t="str">
        <f>IF('RAW DATA'!$C390&lt;&gt;"",'RAW DATA'!$C390,"")</f>
        <v/>
      </c>
      <c r="C388" s="1" t="str">
        <f>IF('RAW DATA'!$D390&lt;&gt;"",'RAW DATA'!$D390,"")</f>
        <v/>
      </c>
      <c r="D388" s="1" t="str">
        <f>IF(AND($B387&lt;&gt;"", $B388=""), "TOTAL:", IF($D387="TOTAL:","VESSEL TARGET "&amp;'RAW DATA'!$E$2&amp;":",IF('RAW DATA'!$E388&lt;&gt;"",'RAW DATA'!$E388,"")))</f>
        <v/>
      </c>
      <c r="E388" s="4" t="str">
        <f>IF($D387="TOTAL:",FIXED(ROUND(((SUM($E$4:$E386)/'RAW DATA'!$E$2)*100),1),1)&amp;"%",IF($D388="TOTAL:",SUM($E$4:$E387),IF(SUMIF('RAW DATA'!M:M,'RAW DATA'!B388,'RAW DATA'!H:H)=0,"",SUMIF('RAW DATA'!M:M,'RAW DATA'!B388,'RAW DATA'!H:H))))</f>
        <v/>
      </c>
      <c r="F388" s="4" t="str">
        <f>IF($D387="TOTAL:",FIXED(ROUND(((SUM($F$4:$F386)/'RAW DATA'!$E$2)*100),1),1)&amp;"%",IF($D388="TOTAL:",SUM($F$4:$F387),IF(SUMIF('RAW DATA'!M:M,'RAW DATA'!B388,'RAW DATA'!I:I)=0,"",SUMIF('RAW DATA'!M:M,'RAW DATA'!B388,'RAW DATA'!I:I))))</f>
        <v/>
      </c>
      <c r="G388" s="24" t="str">
        <f t="shared" si="5"/>
        <v/>
      </c>
    </row>
    <row r="389" spans="2:7" x14ac:dyDescent="0.25">
      <c r="B389" s="1" t="str">
        <f>IF('RAW DATA'!$C391&lt;&gt;"",'RAW DATA'!$C391,"")</f>
        <v/>
      </c>
      <c r="C389" s="1" t="str">
        <f>IF('RAW DATA'!$D391&lt;&gt;"",'RAW DATA'!$D391,"")</f>
        <v/>
      </c>
      <c r="D389" s="1" t="str">
        <f>IF(AND($B388&lt;&gt;"", $B389=""), "TOTAL:", IF($D388="TOTAL:","VESSEL TARGET "&amp;'RAW DATA'!$E$2&amp;":",IF('RAW DATA'!$E389&lt;&gt;"",'RAW DATA'!$E389,"")))</f>
        <v/>
      </c>
      <c r="E389" s="4" t="str">
        <f>IF($D388="TOTAL:",FIXED(ROUND(((SUM($E$4:$E387)/'RAW DATA'!$E$2)*100),1),1)&amp;"%",IF($D389="TOTAL:",SUM($E$4:$E388),IF(SUMIF('RAW DATA'!M:M,'RAW DATA'!B389,'RAW DATA'!H:H)=0,"",SUMIF('RAW DATA'!M:M,'RAW DATA'!B389,'RAW DATA'!H:H))))</f>
        <v/>
      </c>
      <c r="F389" s="4" t="str">
        <f>IF($D388="TOTAL:",FIXED(ROUND(((SUM($F$4:$F387)/'RAW DATA'!$E$2)*100),1),1)&amp;"%",IF($D389="TOTAL:",SUM($F$4:$F388),IF(SUMIF('RAW DATA'!M:M,'RAW DATA'!B389,'RAW DATA'!I:I)=0,"",SUMIF('RAW DATA'!M:M,'RAW DATA'!B389,'RAW DATA'!I:I))))</f>
        <v/>
      </c>
      <c r="G389" s="24" t="str">
        <f t="shared" si="5"/>
        <v/>
      </c>
    </row>
    <row r="390" spans="2:7" x14ac:dyDescent="0.25">
      <c r="B390" s="1" t="str">
        <f>IF('RAW DATA'!$C392&lt;&gt;"",'RAW DATA'!$C392,"")</f>
        <v/>
      </c>
      <c r="C390" s="1" t="str">
        <f>IF('RAW DATA'!$D392&lt;&gt;"",'RAW DATA'!$D392,"")</f>
        <v/>
      </c>
      <c r="D390" s="1" t="str">
        <f>IF(AND($B389&lt;&gt;"", $B390=""), "TOTAL:", IF($D389="TOTAL:","VESSEL TARGET "&amp;'RAW DATA'!$E$2&amp;":",IF('RAW DATA'!$E390&lt;&gt;"",'RAW DATA'!$E390,"")))</f>
        <v/>
      </c>
      <c r="E390" s="4" t="str">
        <f>IF($D389="TOTAL:",FIXED(ROUND(((SUM($E$4:$E388)/'RAW DATA'!$E$2)*100),1),1)&amp;"%",IF($D390="TOTAL:",SUM($E$4:$E389),IF(SUMIF('RAW DATA'!M:M,'RAW DATA'!B390,'RAW DATA'!H:H)=0,"",SUMIF('RAW DATA'!M:M,'RAW DATA'!B390,'RAW DATA'!H:H))))</f>
        <v/>
      </c>
      <c r="F390" s="4" t="str">
        <f>IF($D389="TOTAL:",FIXED(ROUND(((SUM($F$4:$F388)/'RAW DATA'!$E$2)*100),1),1)&amp;"%",IF($D390="TOTAL:",SUM($F$4:$F389),IF(SUMIF('RAW DATA'!M:M,'RAW DATA'!B390,'RAW DATA'!I:I)=0,"",SUMIF('RAW DATA'!M:M,'RAW DATA'!B390,'RAW DATA'!I:I))))</f>
        <v/>
      </c>
      <c r="G390" s="24" t="str">
        <f t="shared" ref="G390:G453" si="6">IF(OR($B390="", $E390="",$F390=""),"",IF(AND($E390&gt;=2,$F390&gt;=2),1,""))</f>
        <v/>
      </c>
    </row>
    <row r="391" spans="2:7" x14ac:dyDescent="0.25">
      <c r="B391" s="1" t="str">
        <f>IF('RAW DATA'!$C393&lt;&gt;"",'RAW DATA'!$C393,"")</f>
        <v/>
      </c>
      <c r="C391" s="1" t="str">
        <f>IF('RAW DATA'!$D393&lt;&gt;"",'RAW DATA'!$D393,"")</f>
        <v/>
      </c>
      <c r="D391" s="1" t="str">
        <f>IF(AND($B390&lt;&gt;"", $B391=""), "TOTAL:", IF($D390="TOTAL:","VESSEL TARGET "&amp;'RAW DATA'!$E$2&amp;":",IF('RAW DATA'!$E391&lt;&gt;"",'RAW DATA'!$E391,"")))</f>
        <v/>
      </c>
      <c r="E391" s="4" t="str">
        <f>IF($D390="TOTAL:",FIXED(ROUND(((SUM($E$4:$E389)/'RAW DATA'!$E$2)*100),1),1)&amp;"%",IF($D391="TOTAL:",SUM($E$4:$E390),IF(SUMIF('RAW DATA'!M:M,'RAW DATA'!B391,'RAW DATA'!H:H)=0,"",SUMIF('RAW DATA'!M:M,'RAW DATA'!B391,'RAW DATA'!H:H))))</f>
        <v/>
      </c>
      <c r="F391" s="4" t="str">
        <f>IF($D390="TOTAL:",FIXED(ROUND(((SUM($F$4:$F389)/'RAW DATA'!$E$2)*100),1),1)&amp;"%",IF($D391="TOTAL:",SUM($F$4:$F390),IF(SUMIF('RAW DATA'!M:M,'RAW DATA'!B391,'RAW DATA'!I:I)=0,"",SUMIF('RAW DATA'!M:M,'RAW DATA'!B391,'RAW DATA'!I:I))))</f>
        <v/>
      </c>
      <c r="G391" s="24" t="str">
        <f t="shared" si="6"/>
        <v/>
      </c>
    </row>
    <row r="392" spans="2:7" x14ac:dyDescent="0.25">
      <c r="B392" s="1" t="str">
        <f>IF('RAW DATA'!$C394&lt;&gt;"",'RAW DATA'!$C394,"")</f>
        <v/>
      </c>
      <c r="C392" s="1" t="str">
        <f>IF('RAW DATA'!$D394&lt;&gt;"",'RAW DATA'!$D394,"")</f>
        <v/>
      </c>
      <c r="D392" s="1" t="str">
        <f>IF(AND($B391&lt;&gt;"", $B392=""), "TOTAL:", IF($D391="TOTAL:","VESSEL TARGET "&amp;'RAW DATA'!$E$2&amp;":",IF('RAW DATA'!$E392&lt;&gt;"",'RAW DATA'!$E392,"")))</f>
        <v/>
      </c>
      <c r="E392" s="4" t="str">
        <f>IF($D391="TOTAL:",FIXED(ROUND(((SUM($E$4:$E390)/'RAW DATA'!$E$2)*100),1),1)&amp;"%",IF($D392="TOTAL:",SUM($E$4:$E391),IF(SUMIF('RAW DATA'!M:M,'RAW DATA'!B392,'RAW DATA'!H:H)=0,"",SUMIF('RAW DATA'!M:M,'RAW DATA'!B392,'RAW DATA'!H:H))))</f>
        <v/>
      </c>
      <c r="F392" s="4" t="str">
        <f>IF($D391="TOTAL:",FIXED(ROUND(((SUM($F$4:$F390)/'RAW DATA'!$E$2)*100),1),1)&amp;"%",IF($D392="TOTAL:",SUM($F$4:$F391),IF(SUMIF('RAW DATA'!M:M,'RAW DATA'!B392,'RAW DATA'!I:I)=0,"",SUMIF('RAW DATA'!M:M,'RAW DATA'!B392,'RAW DATA'!I:I))))</f>
        <v/>
      </c>
      <c r="G392" s="24" t="str">
        <f t="shared" si="6"/>
        <v/>
      </c>
    </row>
    <row r="393" spans="2:7" x14ac:dyDescent="0.25">
      <c r="B393" s="1" t="str">
        <f>IF('RAW DATA'!$C395&lt;&gt;"",'RAW DATA'!$C395,"")</f>
        <v/>
      </c>
      <c r="C393" s="1" t="str">
        <f>IF('RAW DATA'!$D395&lt;&gt;"",'RAW DATA'!$D395,"")</f>
        <v/>
      </c>
      <c r="D393" s="1" t="str">
        <f>IF(AND($B392&lt;&gt;"", $B393=""), "TOTAL:", IF($D392="TOTAL:","VESSEL TARGET "&amp;'RAW DATA'!$E$2&amp;":",IF('RAW DATA'!$E393&lt;&gt;"",'RAW DATA'!$E393,"")))</f>
        <v/>
      </c>
      <c r="E393" s="4" t="str">
        <f>IF($D392="TOTAL:",FIXED(ROUND(((SUM($E$4:$E391)/'RAW DATA'!$E$2)*100),1),1)&amp;"%",IF($D393="TOTAL:",SUM($E$4:$E392),IF(SUMIF('RAW DATA'!M:M,'RAW DATA'!B393,'RAW DATA'!H:H)=0,"",SUMIF('RAW DATA'!M:M,'RAW DATA'!B393,'RAW DATA'!H:H))))</f>
        <v/>
      </c>
      <c r="F393" s="4" t="str">
        <f>IF($D392="TOTAL:",FIXED(ROUND(((SUM($F$4:$F391)/'RAW DATA'!$E$2)*100),1),1)&amp;"%",IF($D393="TOTAL:",SUM($F$4:$F392),IF(SUMIF('RAW DATA'!M:M,'RAW DATA'!B393,'RAW DATA'!I:I)=0,"",SUMIF('RAW DATA'!M:M,'RAW DATA'!B393,'RAW DATA'!I:I))))</f>
        <v/>
      </c>
      <c r="G393" s="24" t="str">
        <f t="shared" si="6"/>
        <v/>
      </c>
    </row>
    <row r="394" spans="2:7" x14ac:dyDescent="0.25">
      <c r="B394" s="1" t="str">
        <f>IF('RAW DATA'!$C396&lt;&gt;"",'RAW DATA'!$C396,"")</f>
        <v/>
      </c>
      <c r="C394" s="1" t="str">
        <f>IF('RAW DATA'!$D396&lt;&gt;"",'RAW DATA'!$D396,"")</f>
        <v/>
      </c>
      <c r="D394" s="1" t="str">
        <f>IF(AND($B393&lt;&gt;"", $B394=""), "TOTAL:", IF($D393="TOTAL:","VESSEL TARGET "&amp;'RAW DATA'!$E$2&amp;":",IF('RAW DATA'!$E394&lt;&gt;"",'RAW DATA'!$E394,"")))</f>
        <v/>
      </c>
      <c r="E394" s="4" t="str">
        <f>IF($D393="TOTAL:",FIXED(ROUND(((SUM($E$4:$E392)/'RAW DATA'!$E$2)*100),1),1)&amp;"%",IF($D394="TOTAL:",SUM($E$4:$E393),IF(SUMIF('RAW DATA'!M:M,'RAW DATA'!B394,'RAW DATA'!H:H)=0,"",SUMIF('RAW DATA'!M:M,'RAW DATA'!B394,'RAW DATA'!H:H))))</f>
        <v/>
      </c>
      <c r="F394" s="4" t="str">
        <f>IF($D393="TOTAL:",FIXED(ROUND(((SUM($F$4:$F392)/'RAW DATA'!$E$2)*100),1),1)&amp;"%",IF($D394="TOTAL:",SUM($F$4:$F393),IF(SUMIF('RAW DATA'!M:M,'RAW DATA'!B394,'RAW DATA'!I:I)=0,"",SUMIF('RAW DATA'!M:M,'RAW DATA'!B394,'RAW DATA'!I:I))))</f>
        <v/>
      </c>
      <c r="G394" s="24" t="str">
        <f t="shared" si="6"/>
        <v/>
      </c>
    </row>
    <row r="395" spans="2:7" x14ac:dyDescent="0.25">
      <c r="B395" s="1" t="str">
        <f>IF('RAW DATA'!$C397&lt;&gt;"",'RAW DATA'!$C397,"")</f>
        <v/>
      </c>
      <c r="C395" s="1" t="str">
        <f>IF('RAW DATA'!$D397&lt;&gt;"",'RAW DATA'!$D397,"")</f>
        <v/>
      </c>
      <c r="D395" s="1" t="str">
        <f>IF(AND($B394&lt;&gt;"", $B395=""), "TOTAL:", IF($D394="TOTAL:","VESSEL TARGET "&amp;'RAW DATA'!$E$2&amp;":",IF('RAW DATA'!$E395&lt;&gt;"",'RAW DATA'!$E395,"")))</f>
        <v/>
      </c>
      <c r="E395" s="4" t="str">
        <f>IF($D394="TOTAL:",FIXED(ROUND(((SUM($E$4:$E393)/'RAW DATA'!$E$2)*100),1),1)&amp;"%",IF($D395="TOTAL:",SUM($E$4:$E394),IF(SUMIF('RAW DATA'!M:M,'RAW DATA'!B395,'RAW DATA'!H:H)=0,"",SUMIF('RAW DATA'!M:M,'RAW DATA'!B395,'RAW DATA'!H:H))))</f>
        <v/>
      </c>
      <c r="F395" s="4" t="str">
        <f>IF($D394="TOTAL:",FIXED(ROUND(((SUM($F$4:$F393)/'RAW DATA'!$E$2)*100),1),1)&amp;"%",IF($D395="TOTAL:",SUM($F$4:$F394),IF(SUMIF('RAW DATA'!M:M,'RAW DATA'!B395,'RAW DATA'!I:I)=0,"",SUMIF('RAW DATA'!M:M,'RAW DATA'!B395,'RAW DATA'!I:I))))</f>
        <v/>
      </c>
      <c r="G395" s="24" t="str">
        <f t="shared" si="6"/>
        <v/>
      </c>
    </row>
    <row r="396" spans="2:7" x14ac:dyDescent="0.25">
      <c r="B396" s="1" t="str">
        <f>IF('RAW DATA'!$C398&lt;&gt;"",'RAW DATA'!$C398,"")</f>
        <v/>
      </c>
      <c r="C396" s="1" t="str">
        <f>IF('RAW DATA'!$D398&lt;&gt;"",'RAW DATA'!$D398,"")</f>
        <v/>
      </c>
      <c r="D396" s="1" t="str">
        <f>IF(AND($B395&lt;&gt;"", $B396=""), "TOTAL:", IF($D395="TOTAL:","VESSEL TARGET "&amp;'RAW DATA'!$E$2&amp;":",IF('RAW DATA'!$E396&lt;&gt;"",'RAW DATA'!$E396,"")))</f>
        <v/>
      </c>
      <c r="E396" s="4" t="str">
        <f>IF($D395="TOTAL:",FIXED(ROUND(((SUM($E$4:$E394)/'RAW DATA'!$E$2)*100),1),1)&amp;"%",IF($D396="TOTAL:",SUM($E$4:$E395),IF(SUMIF('RAW DATA'!M:M,'RAW DATA'!B396,'RAW DATA'!H:H)=0,"",SUMIF('RAW DATA'!M:M,'RAW DATA'!B396,'RAW DATA'!H:H))))</f>
        <v/>
      </c>
      <c r="F396" s="4" t="str">
        <f>IF($D395="TOTAL:",FIXED(ROUND(((SUM($F$4:$F394)/'RAW DATA'!$E$2)*100),1),1)&amp;"%",IF($D396="TOTAL:",SUM($F$4:$F395),IF(SUMIF('RAW DATA'!M:M,'RAW DATA'!B396,'RAW DATA'!I:I)=0,"",SUMIF('RAW DATA'!M:M,'RAW DATA'!B396,'RAW DATA'!I:I))))</f>
        <v/>
      </c>
      <c r="G396" s="24" t="str">
        <f t="shared" si="6"/>
        <v/>
      </c>
    </row>
    <row r="397" spans="2:7" x14ac:dyDescent="0.25">
      <c r="B397" s="1" t="str">
        <f>IF('RAW DATA'!$C399&lt;&gt;"",'RAW DATA'!$C399,"")</f>
        <v/>
      </c>
      <c r="C397" s="1" t="str">
        <f>IF('RAW DATA'!$D399&lt;&gt;"",'RAW DATA'!$D399,"")</f>
        <v/>
      </c>
      <c r="D397" s="1" t="str">
        <f>IF(AND($B396&lt;&gt;"", $B397=""), "TOTAL:", IF($D396="TOTAL:","VESSEL TARGET "&amp;'RAW DATA'!$E$2&amp;":",IF('RAW DATA'!$E397&lt;&gt;"",'RAW DATA'!$E397,"")))</f>
        <v/>
      </c>
      <c r="E397" s="4" t="str">
        <f>IF($D396="TOTAL:",FIXED(ROUND(((SUM($E$4:$E395)/'RAW DATA'!$E$2)*100),1),1)&amp;"%",IF($D397="TOTAL:",SUM($E$4:$E396),IF(SUMIF('RAW DATA'!M:M,'RAW DATA'!B397,'RAW DATA'!H:H)=0,"",SUMIF('RAW DATA'!M:M,'RAW DATA'!B397,'RAW DATA'!H:H))))</f>
        <v/>
      </c>
      <c r="F397" s="4" t="str">
        <f>IF($D396="TOTAL:",FIXED(ROUND(((SUM($F$4:$F395)/'RAW DATA'!$E$2)*100),1),1)&amp;"%",IF($D397="TOTAL:",SUM($F$4:$F396),IF(SUMIF('RAW DATA'!M:M,'RAW DATA'!B397,'RAW DATA'!I:I)=0,"",SUMIF('RAW DATA'!M:M,'RAW DATA'!B397,'RAW DATA'!I:I))))</f>
        <v/>
      </c>
      <c r="G397" s="24" t="str">
        <f t="shared" si="6"/>
        <v/>
      </c>
    </row>
    <row r="398" spans="2:7" x14ac:dyDescent="0.25">
      <c r="B398" s="1" t="str">
        <f>IF('RAW DATA'!$C400&lt;&gt;"",'RAW DATA'!$C400,"")</f>
        <v/>
      </c>
      <c r="C398" s="1" t="str">
        <f>IF('RAW DATA'!$D400&lt;&gt;"",'RAW DATA'!$D400,"")</f>
        <v/>
      </c>
      <c r="D398" s="1" t="str">
        <f>IF(AND($B397&lt;&gt;"", $B398=""), "TOTAL:", IF($D397="TOTAL:","VESSEL TARGET "&amp;'RAW DATA'!$E$2&amp;":",IF('RAW DATA'!$E398&lt;&gt;"",'RAW DATA'!$E398,"")))</f>
        <v/>
      </c>
      <c r="E398" s="4" t="str">
        <f>IF($D397="TOTAL:",FIXED(ROUND(((SUM($E$4:$E396)/'RAW DATA'!$E$2)*100),1),1)&amp;"%",IF($D398="TOTAL:",SUM($E$4:$E397),IF(SUMIF('RAW DATA'!M:M,'RAW DATA'!B398,'RAW DATA'!H:H)=0,"",SUMIF('RAW DATA'!M:M,'RAW DATA'!B398,'RAW DATA'!H:H))))</f>
        <v/>
      </c>
      <c r="F398" s="4" t="str">
        <f>IF($D397="TOTAL:",FIXED(ROUND(((SUM($F$4:$F396)/'RAW DATA'!$E$2)*100),1),1)&amp;"%",IF($D398="TOTAL:",SUM($F$4:$F397),IF(SUMIF('RAW DATA'!M:M,'RAW DATA'!B398,'RAW DATA'!I:I)=0,"",SUMIF('RAW DATA'!M:M,'RAW DATA'!B398,'RAW DATA'!I:I))))</f>
        <v/>
      </c>
      <c r="G398" s="24" t="str">
        <f t="shared" si="6"/>
        <v/>
      </c>
    </row>
    <row r="399" spans="2:7" x14ac:dyDescent="0.25">
      <c r="B399" s="1" t="str">
        <f>IF('RAW DATA'!$C401&lt;&gt;"",'RAW DATA'!$C401,"")</f>
        <v/>
      </c>
      <c r="C399" s="1" t="str">
        <f>IF('RAW DATA'!$D401&lt;&gt;"",'RAW DATA'!$D401,"")</f>
        <v/>
      </c>
      <c r="D399" s="1" t="str">
        <f>IF(AND($B398&lt;&gt;"", $B399=""), "TOTAL:", IF($D398="TOTAL:","VESSEL TARGET "&amp;'RAW DATA'!$E$2&amp;":",IF('RAW DATA'!$E399&lt;&gt;"",'RAW DATA'!$E399,"")))</f>
        <v/>
      </c>
      <c r="E399" s="4" t="str">
        <f>IF($D398="TOTAL:",FIXED(ROUND(((SUM($E$4:$E397)/'RAW DATA'!$E$2)*100),1),1)&amp;"%",IF($D399="TOTAL:",SUM($E$4:$E398),IF(SUMIF('RAW DATA'!M:M,'RAW DATA'!B399,'RAW DATA'!H:H)=0,"",SUMIF('RAW DATA'!M:M,'RAW DATA'!B399,'RAW DATA'!H:H))))</f>
        <v/>
      </c>
      <c r="F399" s="4" t="str">
        <f>IF($D398="TOTAL:",FIXED(ROUND(((SUM($F$4:$F397)/'RAW DATA'!$E$2)*100),1),1)&amp;"%",IF($D399="TOTAL:",SUM($F$4:$F398),IF(SUMIF('RAW DATA'!M:M,'RAW DATA'!B399,'RAW DATA'!I:I)=0,"",SUMIF('RAW DATA'!M:M,'RAW DATA'!B399,'RAW DATA'!I:I))))</f>
        <v/>
      </c>
      <c r="G399" s="24" t="str">
        <f t="shared" si="6"/>
        <v/>
      </c>
    </row>
    <row r="400" spans="2:7" x14ac:dyDescent="0.25">
      <c r="B400" s="1" t="str">
        <f>IF('RAW DATA'!$C402&lt;&gt;"",'RAW DATA'!$C402,"")</f>
        <v/>
      </c>
      <c r="C400" s="1" t="str">
        <f>IF('RAW DATA'!$D402&lt;&gt;"",'RAW DATA'!$D402,"")</f>
        <v/>
      </c>
      <c r="D400" s="1" t="str">
        <f>IF(AND($B399&lt;&gt;"", $B400=""), "TOTAL:", IF($D399="TOTAL:","VESSEL TARGET "&amp;'RAW DATA'!$E$2&amp;":",IF('RAW DATA'!$E400&lt;&gt;"",'RAW DATA'!$E400,"")))</f>
        <v/>
      </c>
      <c r="E400" s="4" t="str">
        <f>IF($D399="TOTAL:",FIXED(ROUND(((SUM($E$4:$E398)/'RAW DATA'!$E$2)*100),1),1)&amp;"%",IF($D400="TOTAL:",SUM($E$4:$E399),IF(SUMIF('RAW DATA'!M:M,'RAW DATA'!B400,'RAW DATA'!H:H)=0,"",SUMIF('RAW DATA'!M:M,'RAW DATA'!B400,'RAW DATA'!H:H))))</f>
        <v/>
      </c>
      <c r="F400" s="4" t="str">
        <f>IF($D399="TOTAL:",FIXED(ROUND(((SUM($F$4:$F398)/'RAW DATA'!$E$2)*100),1),1)&amp;"%",IF($D400="TOTAL:",SUM($F$4:$F399),IF(SUMIF('RAW DATA'!M:M,'RAW DATA'!B400,'RAW DATA'!I:I)=0,"",SUMIF('RAW DATA'!M:M,'RAW DATA'!B400,'RAW DATA'!I:I))))</f>
        <v/>
      </c>
      <c r="G400" s="24" t="str">
        <f t="shared" si="6"/>
        <v/>
      </c>
    </row>
    <row r="401" spans="2:7" x14ac:dyDescent="0.25">
      <c r="B401" s="1" t="str">
        <f>IF('RAW DATA'!$C403&lt;&gt;"",'RAW DATA'!$C403,"")</f>
        <v/>
      </c>
      <c r="C401" s="1" t="str">
        <f>IF('RAW DATA'!$D403&lt;&gt;"",'RAW DATA'!$D403,"")</f>
        <v/>
      </c>
      <c r="D401" s="1" t="str">
        <f>IF(AND($B400&lt;&gt;"", $B401=""), "TOTAL:", IF($D400="TOTAL:","VESSEL TARGET "&amp;'RAW DATA'!$E$2&amp;":",IF('RAW DATA'!$E401&lt;&gt;"",'RAW DATA'!$E401,"")))</f>
        <v/>
      </c>
      <c r="E401" s="4" t="str">
        <f>IF($D400="TOTAL:",FIXED(ROUND(((SUM($E$4:$E399)/'RAW DATA'!$E$2)*100),1),1)&amp;"%",IF($D401="TOTAL:",SUM($E$4:$E400),IF(SUMIF('RAW DATA'!M:M,'RAW DATA'!B401,'RAW DATA'!H:H)=0,"",SUMIF('RAW DATA'!M:M,'RAW DATA'!B401,'RAW DATA'!H:H))))</f>
        <v/>
      </c>
      <c r="F401" s="4" t="str">
        <f>IF($D400="TOTAL:",FIXED(ROUND(((SUM($F$4:$F399)/'RAW DATA'!$E$2)*100),1),1)&amp;"%",IF($D401="TOTAL:",SUM($F$4:$F400),IF(SUMIF('RAW DATA'!M:M,'RAW DATA'!B401,'RAW DATA'!I:I)=0,"",SUMIF('RAW DATA'!M:M,'RAW DATA'!B401,'RAW DATA'!I:I))))</f>
        <v/>
      </c>
      <c r="G401" s="24" t="str">
        <f t="shared" si="6"/>
        <v/>
      </c>
    </row>
    <row r="402" spans="2:7" x14ac:dyDescent="0.25">
      <c r="B402" s="1" t="str">
        <f>IF('RAW DATA'!$C404&lt;&gt;"",'RAW DATA'!$C404,"")</f>
        <v/>
      </c>
      <c r="C402" s="1" t="str">
        <f>IF('RAW DATA'!$D404&lt;&gt;"",'RAW DATA'!$D404,"")</f>
        <v/>
      </c>
      <c r="D402" s="1" t="str">
        <f>IF(AND($B401&lt;&gt;"", $B402=""), "TOTAL:", IF($D401="TOTAL:","VESSEL TARGET "&amp;'RAW DATA'!$E$2&amp;":",IF('RAW DATA'!$E402&lt;&gt;"",'RAW DATA'!$E402,"")))</f>
        <v/>
      </c>
      <c r="E402" s="4" t="str">
        <f>IF($D401="TOTAL:",FIXED(ROUND(((SUM($E$4:$E400)/'RAW DATA'!$E$2)*100),1),1)&amp;"%",IF($D402="TOTAL:",SUM($E$4:$E401),IF(SUMIF('RAW DATA'!M:M,'RAW DATA'!B402,'RAW DATA'!H:H)=0,"",SUMIF('RAW DATA'!M:M,'RAW DATA'!B402,'RAW DATA'!H:H))))</f>
        <v/>
      </c>
      <c r="F402" s="4" t="str">
        <f>IF($D401="TOTAL:",FIXED(ROUND(((SUM($F$4:$F400)/'RAW DATA'!$E$2)*100),1),1)&amp;"%",IF($D402="TOTAL:",SUM($F$4:$F401),IF(SUMIF('RAW DATA'!M:M,'RAW DATA'!B402,'RAW DATA'!I:I)=0,"",SUMIF('RAW DATA'!M:M,'RAW DATA'!B402,'RAW DATA'!I:I))))</f>
        <v/>
      </c>
      <c r="G402" s="24" t="str">
        <f t="shared" si="6"/>
        <v/>
      </c>
    </row>
    <row r="403" spans="2:7" x14ac:dyDescent="0.25">
      <c r="B403" s="1" t="str">
        <f>IF('RAW DATA'!$C405&lt;&gt;"",'RAW DATA'!$C405,"")</f>
        <v/>
      </c>
      <c r="C403" s="1" t="str">
        <f>IF('RAW DATA'!$D405&lt;&gt;"",'RAW DATA'!$D405,"")</f>
        <v/>
      </c>
      <c r="D403" s="1" t="str">
        <f>IF(AND($B402&lt;&gt;"", $B403=""), "TOTAL:", IF($D402="TOTAL:","VESSEL TARGET "&amp;'RAW DATA'!$E$2&amp;":",IF('RAW DATA'!$E403&lt;&gt;"",'RAW DATA'!$E403,"")))</f>
        <v/>
      </c>
      <c r="E403" s="4" t="str">
        <f>IF($D402="TOTAL:",FIXED(ROUND(((SUM($E$4:$E401)/'RAW DATA'!$E$2)*100),1),1)&amp;"%",IF($D403="TOTAL:",SUM($E$4:$E402),IF(SUMIF('RAW DATA'!M:M,'RAW DATA'!B403,'RAW DATA'!H:H)=0,"",SUMIF('RAW DATA'!M:M,'RAW DATA'!B403,'RAW DATA'!H:H))))</f>
        <v/>
      </c>
      <c r="F403" s="4" t="str">
        <f>IF($D402="TOTAL:",FIXED(ROUND(((SUM($F$4:$F401)/'RAW DATA'!$E$2)*100),1),1)&amp;"%",IF($D403="TOTAL:",SUM($F$4:$F402),IF(SUMIF('RAW DATA'!M:M,'RAW DATA'!B403,'RAW DATA'!I:I)=0,"",SUMIF('RAW DATA'!M:M,'RAW DATA'!B403,'RAW DATA'!I:I))))</f>
        <v/>
      </c>
      <c r="G403" s="24" t="str">
        <f t="shared" si="6"/>
        <v/>
      </c>
    </row>
    <row r="404" spans="2:7" x14ac:dyDescent="0.25">
      <c r="B404" s="1" t="str">
        <f>IF('RAW DATA'!$C406&lt;&gt;"",'RAW DATA'!$C406,"")</f>
        <v/>
      </c>
      <c r="C404" s="1" t="str">
        <f>IF('RAW DATA'!$D406&lt;&gt;"",'RAW DATA'!$D406,"")</f>
        <v/>
      </c>
      <c r="D404" s="1" t="str">
        <f>IF(AND($B403&lt;&gt;"", $B404=""), "TOTAL:", IF($D403="TOTAL:","VESSEL TARGET "&amp;'RAW DATA'!$E$2&amp;":",IF('RAW DATA'!$E404&lt;&gt;"",'RAW DATA'!$E404,"")))</f>
        <v/>
      </c>
      <c r="E404" s="4" t="str">
        <f>IF($D403="TOTAL:",FIXED(ROUND(((SUM($E$4:$E402)/'RAW DATA'!$E$2)*100),1),1)&amp;"%",IF($D404="TOTAL:",SUM($E$4:$E403),IF(SUMIF('RAW DATA'!M:M,'RAW DATA'!B404,'RAW DATA'!H:H)=0,"",SUMIF('RAW DATA'!M:M,'RAW DATA'!B404,'RAW DATA'!H:H))))</f>
        <v/>
      </c>
      <c r="F404" s="4" t="str">
        <f>IF($D403="TOTAL:",FIXED(ROUND(((SUM($F$4:$F402)/'RAW DATA'!$E$2)*100),1),1)&amp;"%",IF($D404="TOTAL:",SUM($F$4:$F403),IF(SUMIF('RAW DATA'!M:M,'RAW DATA'!B404,'RAW DATA'!I:I)=0,"",SUMIF('RAW DATA'!M:M,'RAW DATA'!B404,'RAW DATA'!I:I))))</f>
        <v/>
      </c>
      <c r="G404" s="24" t="str">
        <f t="shared" si="6"/>
        <v/>
      </c>
    </row>
    <row r="405" spans="2:7" x14ac:dyDescent="0.25">
      <c r="B405" s="1" t="str">
        <f>IF('RAW DATA'!$C407&lt;&gt;"",'RAW DATA'!$C407,"")</f>
        <v/>
      </c>
      <c r="C405" s="1" t="str">
        <f>IF('RAW DATA'!$D407&lt;&gt;"",'RAW DATA'!$D407,"")</f>
        <v/>
      </c>
      <c r="D405" s="1" t="str">
        <f>IF(AND($B404&lt;&gt;"", $B405=""), "TOTAL:", IF($D404="TOTAL:","VESSEL TARGET "&amp;'RAW DATA'!$E$2&amp;":",IF('RAW DATA'!$E405&lt;&gt;"",'RAW DATA'!$E405,"")))</f>
        <v/>
      </c>
      <c r="E405" s="4" t="str">
        <f>IF($D404="TOTAL:",FIXED(ROUND(((SUM($E$4:$E403)/'RAW DATA'!$E$2)*100),1),1)&amp;"%",IF($D405="TOTAL:",SUM($E$4:$E404),IF(SUMIF('RAW DATA'!M:M,'RAW DATA'!B405,'RAW DATA'!H:H)=0,"",SUMIF('RAW DATA'!M:M,'RAW DATA'!B405,'RAW DATA'!H:H))))</f>
        <v/>
      </c>
      <c r="F405" s="4" t="str">
        <f>IF($D404="TOTAL:",FIXED(ROUND(((SUM($F$4:$F403)/'RAW DATA'!$E$2)*100),1),1)&amp;"%",IF($D405="TOTAL:",SUM($F$4:$F404),IF(SUMIF('RAW DATA'!M:M,'RAW DATA'!B405,'RAW DATA'!I:I)=0,"",SUMIF('RAW DATA'!M:M,'RAW DATA'!B405,'RAW DATA'!I:I))))</f>
        <v/>
      </c>
      <c r="G405" s="24" t="str">
        <f t="shared" si="6"/>
        <v/>
      </c>
    </row>
    <row r="406" spans="2:7" x14ac:dyDescent="0.25">
      <c r="B406" s="1" t="str">
        <f>IF('RAW DATA'!$C408&lt;&gt;"",'RAW DATA'!$C408,"")</f>
        <v/>
      </c>
      <c r="C406" s="1" t="str">
        <f>IF('RAW DATA'!$D408&lt;&gt;"",'RAW DATA'!$D408,"")</f>
        <v/>
      </c>
      <c r="D406" s="1" t="str">
        <f>IF(AND($B405&lt;&gt;"", $B406=""), "TOTAL:", IF($D405="TOTAL:","VESSEL TARGET "&amp;'RAW DATA'!$E$2&amp;":",IF('RAW DATA'!$E406&lt;&gt;"",'RAW DATA'!$E406,"")))</f>
        <v/>
      </c>
      <c r="E406" s="4" t="str">
        <f>IF($D405="TOTAL:",FIXED(ROUND(((SUM($E$4:$E404)/'RAW DATA'!$E$2)*100),1),1)&amp;"%",IF($D406="TOTAL:",SUM($E$4:$E405),IF(SUMIF('RAW DATA'!M:M,'RAW DATA'!B406,'RAW DATA'!H:H)=0,"",SUMIF('RAW DATA'!M:M,'RAW DATA'!B406,'RAW DATA'!H:H))))</f>
        <v/>
      </c>
      <c r="F406" s="4" t="str">
        <f>IF($D405="TOTAL:",FIXED(ROUND(((SUM($F$4:$F404)/'RAW DATA'!$E$2)*100),1),1)&amp;"%",IF($D406="TOTAL:",SUM($F$4:$F405),IF(SUMIF('RAW DATA'!M:M,'RAW DATA'!B406,'RAW DATA'!I:I)=0,"",SUMIF('RAW DATA'!M:M,'RAW DATA'!B406,'RAW DATA'!I:I))))</f>
        <v/>
      </c>
      <c r="G406" s="24" t="str">
        <f t="shared" si="6"/>
        <v/>
      </c>
    </row>
    <row r="407" spans="2:7" x14ac:dyDescent="0.25">
      <c r="B407" s="1" t="str">
        <f>IF('RAW DATA'!$C409&lt;&gt;"",'RAW DATA'!$C409,"")</f>
        <v/>
      </c>
      <c r="C407" s="1" t="str">
        <f>IF('RAW DATA'!$D409&lt;&gt;"",'RAW DATA'!$D409,"")</f>
        <v/>
      </c>
      <c r="D407" s="1" t="str">
        <f>IF(AND($B406&lt;&gt;"", $B407=""), "TOTAL:", IF($D406="TOTAL:","VESSEL TARGET "&amp;'RAW DATA'!$E$2&amp;":",IF('RAW DATA'!$E407&lt;&gt;"",'RAW DATA'!$E407,"")))</f>
        <v/>
      </c>
      <c r="E407" s="4" t="str">
        <f>IF($D406="TOTAL:",FIXED(ROUND(((SUM($E$4:$E405)/'RAW DATA'!$E$2)*100),1),1)&amp;"%",IF($D407="TOTAL:",SUM($E$4:$E406),IF(SUMIF('RAW DATA'!M:M,'RAW DATA'!B407,'RAW DATA'!H:H)=0,"",SUMIF('RAW DATA'!M:M,'RAW DATA'!B407,'RAW DATA'!H:H))))</f>
        <v/>
      </c>
      <c r="F407" s="4" t="str">
        <f>IF($D406="TOTAL:",FIXED(ROUND(((SUM($F$4:$F405)/'RAW DATA'!$E$2)*100),1),1)&amp;"%",IF($D407="TOTAL:",SUM($F$4:$F406),IF(SUMIF('RAW DATA'!M:M,'RAW DATA'!B407,'RAW DATA'!I:I)=0,"",SUMIF('RAW DATA'!M:M,'RAW DATA'!B407,'RAW DATA'!I:I))))</f>
        <v/>
      </c>
      <c r="G407" s="24" t="str">
        <f t="shared" si="6"/>
        <v/>
      </c>
    </row>
    <row r="408" spans="2:7" x14ac:dyDescent="0.25">
      <c r="B408" s="1" t="str">
        <f>IF('RAW DATA'!$C410&lt;&gt;"",'RAW DATA'!$C410,"")</f>
        <v/>
      </c>
      <c r="C408" s="1" t="str">
        <f>IF('RAW DATA'!$D410&lt;&gt;"",'RAW DATA'!$D410,"")</f>
        <v/>
      </c>
      <c r="D408" s="1" t="str">
        <f>IF(AND($B407&lt;&gt;"", $B408=""), "TOTAL:", IF($D407="TOTAL:","VESSEL TARGET "&amp;'RAW DATA'!$E$2&amp;":",IF('RAW DATA'!$E408&lt;&gt;"",'RAW DATA'!$E408,"")))</f>
        <v/>
      </c>
      <c r="E408" s="4" t="str">
        <f>IF($D407="TOTAL:",FIXED(ROUND(((SUM($E$4:$E406)/'RAW DATA'!$E$2)*100),1),1)&amp;"%",IF($D408="TOTAL:",SUM($E$4:$E407),IF(SUMIF('RAW DATA'!M:M,'RAW DATA'!B408,'RAW DATA'!H:H)=0,"",SUMIF('RAW DATA'!M:M,'RAW DATA'!B408,'RAW DATA'!H:H))))</f>
        <v/>
      </c>
      <c r="F408" s="4" t="str">
        <f>IF($D407="TOTAL:",FIXED(ROUND(((SUM($F$4:$F406)/'RAW DATA'!$E$2)*100),1),1)&amp;"%",IF($D408="TOTAL:",SUM($F$4:$F407),IF(SUMIF('RAW DATA'!M:M,'RAW DATA'!B408,'RAW DATA'!I:I)=0,"",SUMIF('RAW DATA'!M:M,'RAW DATA'!B408,'RAW DATA'!I:I))))</f>
        <v/>
      </c>
      <c r="G408" s="24" t="str">
        <f t="shared" si="6"/>
        <v/>
      </c>
    </row>
    <row r="409" spans="2:7" x14ac:dyDescent="0.25">
      <c r="B409" s="1" t="str">
        <f>IF('RAW DATA'!$C411&lt;&gt;"",'RAW DATA'!$C411,"")</f>
        <v/>
      </c>
      <c r="C409" s="1" t="str">
        <f>IF('RAW DATA'!$D411&lt;&gt;"",'RAW DATA'!$D411,"")</f>
        <v/>
      </c>
      <c r="D409" s="1" t="str">
        <f>IF(AND($B408&lt;&gt;"", $B409=""), "TOTAL:", IF($D408="TOTAL:","VESSEL TARGET "&amp;'RAW DATA'!$E$2&amp;":",IF('RAW DATA'!$E409&lt;&gt;"",'RAW DATA'!$E409,"")))</f>
        <v/>
      </c>
      <c r="E409" s="4" t="str">
        <f>IF($D408="TOTAL:",FIXED(ROUND(((SUM($E$4:$E407)/'RAW DATA'!$E$2)*100),1),1)&amp;"%",IF($D409="TOTAL:",SUM($E$4:$E408),IF(SUMIF('RAW DATA'!M:M,'RAW DATA'!B409,'RAW DATA'!H:H)=0,"",SUMIF('RAW DATA'!M:M,'RAW DATA'!B409,'RAW DATA'!H:H))))</f>
        <v/>
      </c>
      <c r="F409" s="4" t="str">
        <f>IF($D408="TOTAL:",FIXED(ROUND(((SUM($F$4:$F407)/'RAW DATA'!$E$2)*100),1),1)&amp;"%",IF($D409="TOTAL:",SUM($F$4:$F408),IF(SUMIF('RAW DATA'!M:M,'RAW DATA'!B409,'RAW DATA'!I:I)=0,"",SUMIF('RAW DATA'!M:M,'RAW DATA'!B409,'RAW DATA'!I:I))))</f>
        <v/>
      </c>
      <c r="G409" s="24" t="str">
        <f t="shared" si="6"/>
        <v/>
      </c>
    </row>
    <row r="410" spans="2:7" x14ac:dyDescent="0.25">
      <c r="B410" s="1" t="str">
        <f>IF('RAW DATA'!$C412&lt;&gt;"",'RAW DATA'!$C412,"")</f>
        <v/>
      </c>
      <c r="C410" s="1" t="str">
        <f>IF('RAW DATA'!$D412&lt;&gt;"",'RAW DATA'!$D412,"")</f>
        <v/>
      </c>
      <c r="D410" s="1" t="str">
        <f>IF(AND($B409&lt;&gt;"", $B410=""), "TOTAL:", IF($D409="TOTAL:","VESSEL TARGET "&amp;'RAW DATA'!$E$2&amp;":",IF('RAW DATA'!$E410&lt;&gt;"",'RAW DATA'!$E410,"")))</f>
        <v/>
      </c>
      <c r="E410" s="4" t="str">
        <f>IF($D409="TOTAL:",FIXED(ROUND(((SUM($E$4:$E408)/'RAW DATA'!$E$2)*100),1),1)&amp;"%",IF($D410="TOTAL:",SUM($E$4:$E409),IF(SUMIF('RAW DATA'!M:M,'RAW DATA'!B410,'RAW DATA'!H:H)=0,"",SUMIF('RAW DATA'!M:M,'RAW DATA'!B410,'RAW DATA'!H:H))))</f>
        <v/>
      </c>
      <c r="F410" s="4" t="str">
        <f>IF($D409="TOTAL:",FIXED(ROUND(((SUM($F$4:$F408)/'RAW DATA'!$E$2)*100),1),1)&amp;"%",IF($D410="TOTAL:",SUM($F$4:$F409),IF(SUMIF('RAW DATA'!M:M,'RAW DATA'!B410,'RAW DATA'!I:I)=0,"",SUMIF('RAW DATA'!M:M,'RAW DATA'!B410,'RAW DATA'!I:I))))</f>
        <v/>
      </c>
      <c r="G410" s="24" t="str">
        <f t="shared" si="6"/>
        <v/>
      </c>
    </row>
    <row r="411" spans="2:7" x14ac:dyDescent="0.25">
      <c r="B411" s="1" t="str">
        <f>IF('RAW DATA'!$C413&lt;&gt;"",'RAW DATA'!$C413,"")</f>
        <v/>
      </c>
      <c r="C411" s="1" t="str">
        <f>IF('RAW DATA'!$D413&lt;&gt;"",'RAW DATA'!$D413,"")</f>
        <v/>
      </c>
      <c r="D411" s="1" t="str">
        <f>IF(AND($B410&lt;&gt;"", $B411=""), "TOTAL:", IF($D410="TOTAL:","VESSEL TARGET "&amp;'RAW DATA'!$E$2&amp;":",IF('RAW DATA'!$E411&lt;&gt;"",'RAW DATA'!$E411,"")))</f>
        <v/>
      </c>
      <c r="E411" s="4" t="str">
        <f>IF($D410="TOTAL:",FIXED(ROUND(((SUM($E$4:$E409)/'RAW DATA'!$E$2)*100),1),1)&amp;"%",IF($D411="TOTAL:",SUM($E$4:$E410),IF(SUMIF('RAW DATA'!M:M,'RAW DATA'!B411,'RAW DATA'!H:H)=0,"",SUMIF('RAW DATA'!M:M,'RAW DATA'!B411,'RAW DATA'!H:H))))</f>
        <v/>
      </c>
      <c r="F411" s="4" t="str">
        <f>IF($D410="TOTAL:",FIXED(ROUND(((SUM($F$4:$F409)/'RAW DATA'!$E$2)*100),1),1)&amp;"%",IF($D411="TOTAL:",SUM($F$4:$F410),IF(SUMIF('RAW DATA'!M:M,'RAW DATA'!B411,'RAW DATA'!I:I)=0,"",SUMIF('RAW DATA'!M:M,'RAW DATA'!B411,'RAW DATA'!I:I))))</f>
        <v/>
      </c>
      <c r="G411" s="24" t="str">
        <f t="shared" si="6"/>
        <v/>
      </c>
    </row>
    <row r="412" spans="2:7" x14ac:dyDescent="0.25">
      <c r="B412" s="1" t="str">
        <f>IF('RAW DATA'!$C414&lt;&gt;"",'RAW DATA'!$C414,"")</f>
        <v/>
      </c>
      <c r="C412" s="1" t="str">
        <f>IF('RAW DATA'!$D414&lt;&gt;"",'RAW DATA'!$D414,"")</f>
        <v/>
      </c>
      <c r="D412" s="1" t="str">
        <f>IF(AND($B411&lt;&gt;"", $B412=""), "TOTAL:", IF($D411="TOTAL:","VESSEL TARGET "&amp;'RAW DATA'!$E$2&amp;":",IF('RAW DATA'!$E412&lt;&gt;"",'RAW DATA'!$E412,"")))</f>
        <v/>
      </c>
      <c r="E412" s="4" t="str">
        <f>IF($D411="TOTAL:",FIXED(ROUND(((SUM($E$4:$E410)/'RAW DATA'!$E$2)*100),1),1)&amp;"%",IF($D412="TOTAL:",SUM($E$4:$E411),IF(SUMIF('RAW DATA'!M:M,'RAW DATA'!B412,'RAW DATA'!H:H)=0,"",SUMIF('RAW DATA'!M:M,'RAW DATA'!B412,'RAW DATA'!H:H))))</f>
        <v/>
      </c>
      <c r="F412" s="4" t="str">
        <f>IF($D411="TOTAL:",FIXED(ROUND(((SUM($F$4:$F410)/'RAW DATA'!$E$2)*100),1),1)&amp;"%",IF($D412="TOTAL:",SUM($F$4:$F411),IF(SUMIF('RAW DATA'!M:M,'RAW DATA'!B412,'RAW DATA'!I:I)=0,"",SUMIF('RAW DATA'!M:M,'RAW DATA'!B412,'RAW DATA'!I:I))))</f>
        <v/>
      </c>
      <c r="G412" s="24" t="str">
        <f t="shared" si="6"/>
        <v/>
      </c>
    </row>
    <row r="413" spans="2:7" x14ac:dyDescent="0.25">
      <c r="B413" s="1" t="str">
        <f>IF('RAW DATA'!$C415&lt;&gt;"",'RAW DATA'!$C415,"")</f>
        <v/>
      </c>
      <c r="C413" s="1" t="str">
        <f>IF('RAW DATA'!$D415&lt;&gt;"",'RAW DATA'!$D415,"")</f>
        <v/>
      </c>
      <c r="D413" s="1" t="str">
        <f>IF(AND($B412&lt;&gt;"", $B413=""), "TOTAL:", IF($D412="TOTAL:","VESSEL TARGET "&amp;'RAW DATA'!$E$2&amp;":",IF('RAW DATA'!$E413&lt;&gt;"",'RAW DATA'!$E413,"")))</f>
        <v/>
      </c>
      <c r="E413" s="4" t="str">
        <f>IF($D412="TOTAL:",FIXED(ROUND(((SUM($E$4:$E411)/'RAW DATA'!$E$2)*100),1),1)&amp;"%",IF($D413="TOTAL:",SUM($E$4:$E412),IF(SUMIF('RAW DATA'!M:M,'RAW DATA'!B413,'RAW DATA'!H:H)=0,"",SUMIF('RAW DATA'!M:M,'RAW DATA'!B413,'RAW DATA'!H:H))))</f>
        <v/>
      </c>
      <c r="F413" s="4" t="str">
        <f>IF($D412="TOTAL:",FIXED(ROUND(((SUM($F$4:$F411)/'RAW DATA'!$E$2)*100),1),1)&amp;"%",IF($D413="TOTAL:",SUM($F$4:$F412),IF(SUMIF('RAW DATA'!M:M,'RAW DATA'!B413,'RAW DATA'!I:I)=0,"",SUMIF('RAW DATA'!M:M,'RAW DATA'!B413,'RAW DATA'!I:I))))</f>
        <v/>
      </c>
      <c r="G413" s="24" t="str">
        <f t="shared" si="6"/>
        <v/>
      </c>
    </row>
    <row r="414" spans="2:7" x14ac:dyDescent="0.25">
      <c r="B414" s="1" t="str">
        <f>IF('RAW DATA'!$C416&lt;&gt;"",'RAW DATA'!$C416,"")</f>
        <v/>
      </c>
      <c r="C414" s="1" t="str">
        <f>IF('RAW DATA'!$D416&lt;&gt;"",'RAW DATA'!$D416,"")</f>
        <v/>
      </c>
      <c r="D414" s="1" t="str">
        <f>IF(AND($B413&lt;&gt;"", $B414=""), "TOTAL:", IF($D413="TOTAL:","VESSEL TARGET "&amp;'RAW DATA'!$E$2&amp;":",IF('RAW DATA'!$E414&lt;&gt;"",'RAW DATA'!$E414,"")))</f>
        <v/>
      </c>
      <c r="E414" s="4" t="str">
        <f>IF($D413="TOTAL:",FIXED(ROUND(((SUM($E$4:$E412)/'RAW DATA'!$E$2)*100),1),1)&amp;"%",IF($D414="TOTAL:",SUM($E$4:$E413),IF(SUMIF('RAW DATA'!M:M,'RAW DATA'!B414,'RAW DATA'!H:H)=0,"",SUMIF('RAW DATA'!M:M,'RAW DATA'!B414,'RAW DATA'!H:H))))</f>
        <v/>
      </c>
      <c r="F414" s="4" t="str">
        <f>IF($D413="TOTAL:",FIXED(ROUND(((SUM($F$4:$F412)/'RAW DATA'!$E$2)*100),1),1)&amp;"%",IF($D414="TOTAL:",SUM($F$4:$F413),IF(SUMIF('RAW DATA'!M:M,'RAW DATA'!B414,'RAW DATA'!I:I)=0,"",SUMIF('RAW DATA'!M:M,'RAW DATA'!B414,'RAW DATA'!I:I))))</f>
        <v/>
      </c>
      <c r="G414" s="24" t="str">
        <f t="shared" si="6"/>
        <v/>
      </c>
    </row>
    <row r="415" spans="2:7" x14ac:dyDescent="0.25">
      <c r="B415" s="1" t="str">
        <f>IF('RAW DATA'!$C417&lt;&gt;"",'RAW DATA'!$C417,"")</f>
        <v/>
      </c>
      <c r="C415" s="1" t="str">
        <f>IF('RAW DATA'!$D417&lt;&gt;"",'RAW DATA'!$D417,"")</f>
        <v/>
      </c>
      <c r="D415" s="1" t="str">
        <f>IF(AND($B414&lt;&gt;"", $B415=""), "TOTAL:", IF($D414="TOTAL:","VESSEL TARGET "&amp;'RAW DATA'!$E$2&amp;":",IF('RAW DATA'!$E415&lt;&gt;"",'RAW DATA'!$E415,"")))</f>
        <v/>
      </c>
      <c r="E415" s="4" t="str">
        <f>IF($D414="TOTAL:",FIXED(ROUND(((SUM($E$4:$E413)/'RAW DATA'!$E$2)*100),1),1)&amp;"%",IF($D415="TOTAL:",SUM($E$4:$E414),IF(SUMIF('RAW DATA'!M:M,'RAW DATA'!B415,'RAW DATA'!H:H)=0,"",SUMIF('RAW DATA'!M:M,'RAW DATA'!B415,'RAW DATA'!H:H))))</f>
        <v/>
      </c>
      <c r="F415" s="4" t="str">
        <f>IF($D414="TOTAL:",FIXED(ROUND(((SUM($F$4:$F413)/'RAW DATA'!$E$2)*100),1),1)&amp;"%",IF($D415="TOTAL:",SUM($F$4:$F414),IF(SUMIF('RAW DATA'!M:M,'RAW DATA'!B415,'RAW DATA'!I:I)=0,"",SUMIF('RAW DATA'!M:M,'RAW DATA'!B415,'RAW DATA'!I:I))))</f>
        <v/>
      </c>
      <c r="G415" s="24" t="str">
        <f t="shared" si="6"/>
        <v/>
      </c>
    </row>
    <row r="416" spans="2:7" x14ac:dyDescent="0.25">
      <c r="B416" s="1" t="str">
        <f>IF('RAW DATA'!$C418&lt;&gt;"",'RAW DATA'!$C418,"")</f>
        <v/>
      </c>
      <c r="C416" s="1" t="str">
        <f>IF('RAW DATA'!$D418&lt;&gt;"",'RAW DATA'!$D418,"")</f>
        <v/>
      </c>
      <c r="D416" s="1" t="str">
        <f>IF(AND($B415&lt;&gt;"", $B416=""), "TOTAL:", IF($D415="TOTAL:","VESSEL TARGET "&amp;'RAW DATA'!$E$2&amp;":",IF('RAW DATA'!$E416&lt;&gt;"",'RAW DATA'!$E416,"")))</f>
        <v/>
      </c>
      <c r="E416" s="4" t="str">
        <f>IF($D415="TOTAL:",FIXED(ROUND(((SUM($E$4:$E414)/'RAW DATA'!$E$2)*100),1),1)&amp;"%",IF($D416="TOTAL:",SUM($E$4:$E415),IF(SUMIF('RAW DATA'!M:M,'RAW DATA'!B416,'RAW DATA'!H:H)=0,"",SUMIF('RAW DATA'!M:M,'RAW DATA'!B416,'RAW DATA'!H:H))))</f>
        <v/>
      </c>
      <c r="F416" s="4" t="str">
        <f>IF($D415="TOTAL:",FIXED(ROUND(((SUM($F$4:$F414)/'RAW DATA'!$E$2)*100),1),1)&amp;"%",IF($D416="TOTAL:",SUM($F$4:$F415),IF(SUMIF('RAW DATA'!M:M,'RAW DATA'!B416,'RAW DATA'!I:I)=0,"",SUMIF('RAW DATA'!M:M,'RAW DATA'!B416,'RAW DATA'!I:I))))</f>
        <v/>
      </c>
      <c r="G416" s="24" t="str">
        <f t="shared" si="6"/>
        <v/>
      </c>
    </row>
    <row r="417" spans="2:7" x14ac:dyDescent="0.25">
      <c r="B417" s="1" t="str">
        <f>IF('RAW DATA'!$C419&lt;&gt;"",'RAW DATA'!$C419,"")</f>
        <v/>
      </c>
      <c r="C417" s="1" t="str">
        <f>IF('RAW DATA'!$D419&lt;&gt;"",'RAW DATA'!$D419,"")</f>
        <v/>
      </c>
      <c r="D417" s="1" t="str">
        <f>IF(AND($B416&lt;&gt;"", $B417=""), "TOTAL:", IF($D416="TOTAL:","VESSEL TARGET "&amp;'RAW DATA'!$E$2&amp;":",IF('RAW DATA'!$E417&lt;&gt;"",'RAW DATA'!$E417,"")))</f>
        <v/>
      </c>
      <c r="E417" s="4" t="str">
        <f>IF($D416="TOTAL:",FIXED(ROUND(((SUM($E$4:$E415)/'RAW DATA'!$E$2)*100),1),1)&amp;"%",IF($D417="TOTAL:",SUM($E$4:$E416),IF(SUMIF('RAW DATA'!M:M,'RAW DATA'!B417,'RAW DATA'!H:H)=0,"",SUMIF('RAW DATA'!M:M,'RAW DATA'!B417,'RAW DATA'!H:H))))</f>
        <v/>
      </c>
      <c r="F417" s="4" t="str">
        <f>IF($D416="TOTAL:",FIXED(ROUND(((SUM($F$4:$F415)/'RAW DATA'!$E$2)*100),1),1)&amp;"%",IF($D417="TOTAL:",SUM($F$4:$F416),IF(SUMIF('RAW DATA'!M:M,'RAW DATA'!B417,'RAW DATA'!I:I)=0,"",SUMIF('RAW DATA'!M:M,'RAW DATA'!B417,'RAW DATA'!I:I))))</f>
        <v/>
      </c>
      <c r="G417" s="24" t="str">
        <f t="shared" si="6"/>
        <v/>
      </c>
    </row>
    <row r="418" spans="2:7" x14ac:dyDescent="0.25">
      <c r="B418" s="1" t="str">
        <f>IF('RAW DATA'!$C420&lt;&gt;"",'RAW DATA'!$C420,"")</f>
        <v/>
      </c>
      <c r="C418" s="1" t="str">
        <f>IF('RAW DATA'!$D420&lt;&gt;"",'RAW DATA'!$D420,"")</f>
        <v/>
      </c>
      <c r="D418" s="1" t="str">
        <f>IF(AND($B417&lt;&gt;"", $B418=""), "TOTAL:", IF($D417="TOTAL:","VESSEL TARGET "&amp;'RAW DATA'!$E$2&amp;":",IF('RAW DATA'!$E418&lt;&gt;"",'RAW DATA'!$E418,"")))</f>
        <v/>
      </c>
      <c r="E418" s="4" t="str">
        <f>IF($D417="TOTAL:",FIXED(ROUND(((SUM($E$4:$E416)/'RAW DATA'!$E$2)*100),1),1)&amp;"%",IF($D418="TOTAL:",SUM($E$4:$E417),IF(SUMIF('RAW DATA'!M:M,'RAW DATA'!B418,'RAW DATA'!H:H)=0,"",SUMIF('RAW DATA'!M:M,'RAW DATA'!B418,'RAW DATA'!H:H))))</f>
        <v/>
      </c>
      <c r="F418" s="4" t="str">
        <f>IF($D417="TOTAL:",FIXED(ROUND(((SUM($F$4:$F416)/'RAW DATA'!$E$2)*100),1),1)&amp;"%",IF($D418="TOTAL:",SUM($F$4:$F417),IF(SUMIF('RAW DATA'!M:M,'RAW DATA'!B418,'RAW DATA'!I:I)=0,"",SUMIF('RAW DATA'!M:M,'RAW DATA'!B418,'RAW DATA'!I:I))))</f>
        <v/>
      </c>
      <c r="G418" s="24" t="str">
        <f t="shared" si="6"/>
        <v/>
      </c>
    </row>
    <row r="419" spans="2:7" x14ac:dyDescent="0.25">
      <c r="B419" s="1" t="str">
        <f>IF('RAW DATA'!$C421&lt;&gt;"",'RAW DATA'!$C421,"")</f>
        <v/>
      </c>
      <c r="C419" s="1" t="str">
        <f>IF('RAW DATA'!$D421&lt;&gt;"",'RAW DATA'!$D421,"")</f>
        <v/>
      </c>
      <c r="D419" s="1" t="str">
        <f>IF(AND($B418&lt;&gt;"", $B419=""), "TOTAL:", IF($D418="TOTAL:","VESSEL TARGET "&amp;'RAW DATA'!$E$2&amp;":",IF('RAW DATA'!$E419&lt;&gt;"",'RAW DATA'!$E419,"")))</f>
        <v/>
      </c>
      <c r="E419" s="4" t="str">
        <f>IF($D418="TOTAL:",FIXED(ROUND(((SUM($E$4:$E417)/'RAW DATA'!$E$2)*100),1),1)&amp;"%",IF($D419="TOTAL:",SUM($E$4:$E418),IF(SUMIF('RAW DATA'!M:M,'RAW DATA'!B419,'RAW DATA'!H:H)=0,"",SUMIF('RAW DATA'!M:M,'RAW DATA'!B419,'RAW DATA'!H:H))))</f>
        <v/>
      </c>
      <c r="F419" s="4" t="str">
        <f>IF($D418="TOTAL:",FIXED(ROUND(((SUM($F$4:$F417)/'RAW DATA'!$E$2)*100),1),1)&amp;"%",IF($D419="TOTAL:",SUM($F$4:$F418),IF(SUMIF('RAW DATA'!M:M,'RAW DATA'!B419,'RAW DATA'!I:I)=0,"",SUMIF('RAW DATA'!M:M,'RAW DATA'!B419,'RAW DATA'!I:I))))</f>
        <v/>
      </c>
      <c r="G419" s="24" t="str">
        <f t="shared" si="6"/>
        <v/>
      </c>
    </row>
    <row r="420" spans="2:7" x14ac:dyDescent="0.25">
      <c r="B420" s="1" t="str">
        <f>IF('RAW DATA'!$C422&lt;&gt;"",'RAW DATA'!$C422,"")</f>
        <v/>
      </c>
      <c r="C420" s="1" t="str">
        <f>IF('RAW DATA'!$D422&lt;&gt;"",'RAW DATA'!$D422,"")</f>
        <v/>
      </c>
      <c r="D420" s="1" t="str">
        <f>IF(AND($B419&lt;&gt;"", $B420=""), "TOTAL:", IF($D419="TOTAL:","VESSEL TARGET "&amp;'RAW DATA'!$E$2&amp;":",IF('RAW DATA'!$E420&lt;&gt;"",'RAW DATA'!$E420,"")))</f>
        <v/>
      </c>
      <c r="E420" s="4" t="str">
        <f>IF($D419="TOTAL:",FIXED(ROUND(((SUM($E$4:$E418)/'RAW DATA'!$E$2)*100),1),1)&amp;"%",IF($D420="TOTAL:",SUM($E$4:$E419),IF(SUMIF('RAW DATA'!M:M,'RAW DATA'!B420,'RAW DATA'!H:H)=0,"",SUMIF('RAW DATA'!M:M,'RAW DATA'!B420,'RAW DATA'!H:H))))</f>
        <v/>
      </c>
      <c r="F420" s="4" t="str">
        <f>IF($D419="TOTAL:",FIXED(ROUND(((SUM($F$4:$F418)/'RAW DATA'!$E$2)*100),1),1)&amp;"%",IF($D420="TOTAL:",SUM($F$4:$F419),IF(SUMIF('RAW DATA'!M:M,'RAW DATA'!B420,'RAW DATA'!I:I)=0,"",SUMIF('RAW DATA'!M:M,'RAW DATA'!B420,'RAW DATA'!I:I))))</f>
        <v/>
      </c>
      <c r="G420" s="24" t="str">
        <f t="shared" si="6"/>
        <v/>
      </c>
    </row>
    <row r="421" spans="2:7" x14ac:dyDescent="0.25">
      <c r="B421" s="1" t="str">
        <f>IF('RAW DATA'!$C423&lt;&gt;"",'RAW DATA'!$C423,"")</f>
        <v/>
      </c>
      <c r="C421" s="1" t="str">
        <f>IF('RAW DATA'!$D423&lt;&gt;"",'RAW DATA'!$D423,"")</f>
        <v/>
      </c>
      <c r="D421" s="1" t="str">
        <f>IF(AND($B420&lt;&gt;"", $B421=""), "TOTAL:", IF($D420="TOTAL:","VESSEL TARGET "&amp;'RAW DATA'!$E$2&amp;":",IF('RAW DATA'!$E421&lt;&gt;"",'RAW DATA'!$E421,"")))</f>
        <v/>
      </c>
      <c r="E421" s="4" t="str">
        <f>IF($D420="TOTAL:",FIXED(ROUND(((SUM($E$4:$E419)/'RAW DATA'!$E$2)*100),1),1)&amp;"%",IF($D421="TOTAL:",SUM($E$4:$E420),IF(SUMIF('RAW DATA'!M:M,'RAW DATA'!B421,'RAW DATA'!H:H)=0,"",SUMIF('RAW DATA'!M:M,'RAW DATA'!B421,'RAW DATA'!H:H))))</f>
        <v/>
      </c>
      <c r="F421" s="4" t="str">
        <f>IF($D420="TOTAL:",FIXED(ROUND(((SUM($F$4:$F419)/'RAW DATA'!$E$2)*100),1),1)&amp;"%",IF($D421="TOTAL:",SUM($F$4:$F420),IF(SUMIF('RAW DATA'!M:M,'RAW DATA'!B421,'RAW DATA'!I:I)=0,"",SUMIF('RAW DATA'!M:M,'RAW DATA'!B421,'RAW DATA'!I:I))))</f>
        <v/>
      </c>
      <c r="G421" s="24" t="str">
        <f t="shared" si="6"/>
        <v/>
      </c>
    </row>
    <row r="422" spans="2:7" x14ac:dyDescent="0.25">
      <c r="B422" s="1" t="str">
        <f>IF('RAW DATA'!$C424&lt;&gt;"",'RAW DATA'!$C424,"")</f>
        <v/>
      </c>
      <c r="C422" s="1" t="str">
        <f>IF('RAW DATA'!$D424&lt;&gt;"",'RAW DATA'!$D424,"")</f>
        <v/>
      </c>
      <c r="D422" s="1" t="str">
        <f>IF(AND($B421&lt;&gt;"", $B422=""), "TOTAL:", IF($D421="TOTAL:","VESSEL TARGET "&amp;'RAW DATA'!$E$2&amp;":",IF('RAW DATA'!$E422&lt;&gt;"",'RAW DATA'!$E422,"")))</f>
        <v/>
      </c>
      <c r="E422" s="4" t="str">
        <f>IF($D421="TOTAL:",FIXED(ROUND(((SUM($E$4:$E420)/'RAW DATA'!$E$2)*100),1),1)&amp;"%",IF($D422="TOTAL:",SUM($E$4:$E421),IF(SUMIF('RAW DATA'!M:M,'RAW DATA'!B422,'RAW DATA'!H:H)=0,"",SUMIF('RAW DATA'!M:M,'RAW DATA'!B422,'RAW DATA'!H:H))))</f>
        <v/>
      </c>
      <c r="F422" s="4" t="str">
        <f>IF($D421="TOTAL:",FIXED(ROUND(((SUM($F$4:$F420)/'RAW DATA'!$E$2)*100),1),1)&amp;"%",IF($D422="TOTAL:",SUM($F$4:$F421),IF(SUMIF('RAW DATA'!M:M,'RAW DATA'!B422,'RAW DATA'!I:I)=0,"",SUMIF('RAW DATA'!M:M,'RAW DATA'!B422,'RAW DATA'!I:I))))</f>
        <v/>
      </c>
      <c r="G422" s="24" t="str">
        <f t="shared" si="6"/>
        <v/>
      </c>
    </row>
    <row r="423" spans="2:7" x14ac:dyDescent="0.25">
      <c r="B423" s="1" t="str">
        <f>IF('RAW DATA'!$C425&lt;&gt;"",'RAW DATA'!$C425,"")</f>
        <v/>
      </c>
      <c r="C423" s="1" t="str">
        <f>IF('RAW DATA'!$D425&lt;&gt;"",'RAW DATA'!$D425,"")</f>
        <v/>
      </c>
      <c r="D423" s="1" t="str">
        <f>IF(AND($B422&lt;&gt;"", $B423=""), "TOTAL:", IF($D422="TOTAL:","VESSEL TARGET "&amp;'RAW DATA'!$E$2&amp;":",IF('RAW DATA'!$E423&lt;&gt;"",'RAW DATA'!$E423,"")))</f>
        <v/>
      </c>
      <c r="E423" s="4" t="str">
        <f>IF($D422="TOTAL:",FIXED(ROUND(((SUM($E$4:$E421)/'RAW DATA'!$E$2)*100),1),1)&amp;"%",IF($D423="TOTAL:",SUM($E$4:$E422),IF(SUMIF('RAW DATA'!M:M,'RAW DATA'!B423,'RAW DATA'!H:H)=0,"",SUMIF('RAW DATA'!M:M,'RAW DATA'!B423,'RAW DATA'!H:H))))</f>
        <v/>
      </c>
      <c r="F423" s="4" t="str">
        <f>IF($D422="TOTAL:",FIXED(ROUND(((SUM($F$4:$F421)/'RAW DATA'!$E$2)*100),1),1)&amp;"%",IF($D423="TOTAL:",SUM($F$4:$F422),IF(SUMIF('RAW DATA'!M:M,'RAW DATA'!B423,'RAW DATA'!I:I)=0,"",SUMIF('RAW DATA'!M:M,'RAW DATA'!B423,'RAW DATA'!I:I))))</f>
        <v/>
      </c>
      <c r="G423" s="24" t="str">
        <f t="shared" si="6"/>
        <v/>
      </c>
    </row>
    <row r="424" spans="2:7" x14ac:dyDescent="0.25">
      <c r="B424" s="1" t="str">
        <f>IF('RAW DATA'!$C426&lt;&gt;"",'RAW DATA'!$C426,"")</f>
        <v/>
      </c>
      <c r="C424" s="1" t="str">
        <f>IF('RAW DATA'!$D426&lt;&gt;"",'RAW DATA'!$D426,"")</f>
        <v/>
      </c>
      <c r="D424" s="1" t="str">
        <f>IF(AND($B423&lt;&gt;"", $B424=""), "TOTAL:", IF($D423="TOTAL:","VESSEL TARGET "&amp;'RAW DATA'!$E$2&amp;":",IF('RAW DATA'!$E424&lt;&gt;"",'RAW DATA'!$E424,"")))</f>
        <v/>
      </c>
      <c r="E424" s="4" t="str">
        <f>IF($D423="TOTAL:",FIXED(ROUND(((SUM($E$4:$E422)/'RAW DATA'!$E$2)*100),1),1)&amp;"%",IF($D424="TOTAL:",SUM($E$4:$E423),IF(SUMIF('RAW DATA'!M:M,'RAW DATA'!B424,'RAW DATA'!H:H)=0,"",SUMIF('RAW DATA'!M:M,'RAW DATA'!B424,'RAW DATA'!H:H))))</f>
        <v/>
      </c>
      <c r="F424" s="4" t="str">
        <f>IF($D423="TOTAL:",FIXED(ROUND(((SUM($F$4:$F422)/'RAW DATA'!$E$2)*100),1),1)&amp;"%",IF($D424="TOTAL:",SUM($F$4:$F423),IF(SUMIF('RAW DATA'!M:M,'RAW DATA'!B424,'RAW DATA'!I:I)=0,"",SUMIF('RAW DATA'!M:M,'RAW DATA'!B424,'RAW DATA'!I:I))))</f>
        <v/>
      </c>
      <c r="G424" s="24" t="str">
        <f t="shared" si="6"/>
        <v/>
      </c>
    </row>
    <row r="425" spans="2:7" x14ac:dyDescent="0.25">
      <c r="B425" s="1" t="str">
        <f>IF('RAW DATA'!$C427&lt;&gt;"",'RAW DATA'!$C427,"")</f>
        <v/>
      </c>
      <c r="C425" s="1" t="str">
        <f>IF('RAW DATA'!$D427&lt;&gt;"",'RAW DATA'!$D427,"")</f>
        <v/>
      </c>
      <c r="D425" s="1" t="str">
        <f>IF(AND($B424&lt;&gt;"", $B425=""), "TOTAL:", IF($D424="TOTAL:","VESSEL TARGET "&amp;'RAW DATA'!$E$2&amp;":",IF('RAW DATA'!$E425&lt;&gt;"",'RAW DATA'!$E425,"")))</f>
        <v/>
      </c>
      <c r="E425" s="4" t="str">
        <f>IF($D424="TOTAL:",FIXED(ROUND(((SUM($E$4:$E423)/'RAW DATA'!$E$2)*100),1),1)&amp;"%",IF($D425="TOTAL:",SUM($E$4:$E424),IF(SUMIF('RAW DATA'!M:M,'RAW DATA'!B425,'RAW DATA'!H:H)=0,"",SUMIF('RAW DATA'!M:M,'RAW DATA'!B425,'RAW DATA'!H:H))))</f>
        <v/>
      </c>
      <c r="F425" s="4" t="str">
        <f>IF($D424="TOTAL:",FIXED(ROUND(((SUM($F$4:$F423)/'RAW DATA'!$E$2)*100),1),1)&amp;"%",IF($D425="TOTAL:",SUM($F$4:$F424),IF(SUMIF('RAW DATA'!M:M,'RAW DATA'!B425,'RAW DATA'!I:I)=0,"",SUMIF('RAW DATA'!M:M,'RAW DATA'!B425,'RAW DATA'!I:I))))</f>
        <v/>
      </c>
      <c r="G425" s="24" t="str">
        <f t="shared" si="6"/>
        <v/>
      </c>
    </row>
    <row r="426" spans="2:7" x14ac:dyDescent="0.25">
      <c r="B426" s="1" t="str">
        <f>IF('RAW DATA'!$C428&lt;&gt;"",'RAW DATA'!$C428,"")</f>
        <v/>
      </c>
      <c r="C426" s="1" t="str">
        <f>IF('RAW DATA'!$D428&lt;&gt;"",'RAW DATA'!$D428,"")</f>
        <v/>
      </c>
      <c r="D426" s="1" t="str">
        <f>IF(AND($B425&lt;&gt;"", $B426=""), "TOTAL:", IF($D425="TOTAL:","VESSEL TARGET "&amp;'RAW DATA'!$E$2&amp;":",IF('RAW DATA'!$E426&lt;&gt;"",'RAW DATA'!$E426,"")))</f>
        <v/>
      </c>
      <c r="E426" s="4" t="str">
        <f>IF($D425="TOTAL:",FIXED(ROUND(((SUM($E$4:$E424)/'RAW DATA'!$E$2)*100),1),1)&amp;"%",IF($D426="TOTAL:",SUM($E$4:$E425),IF(SUMIF('RAW DATA'!M:M,'RAW DATA'!B426,'RAW DATA'!H:H)=0,"",SUMIF('RAW DATA'!M:M,'RAW DATA'!B426,'RAW DATA'!H:H))))</f>
        <v/>
      </c>
      <c r="F426" s="4" t="str">
        <f>IF($D425="TOTAL:",FIXED(ROUND(((SUM($F$4:$F424)/'RAW DATA'!$E$2)*100),1),1)&amp;"%",IF($D426="TOTAL:",SUM($F$4:$F425),IF(SUMIF('RAW DATA'!M:M,'RAW DATA'!B426,'RAW DATA'!I:I)=0,"",SUMIF('RAW DATA'!M:M,'RAW DATA'!B426,'RAW DATA'!I:I))))</f>
        <v/>
      </c>
      <c r="G426" s="24" t="str">
        <f t="shared" si="6"/>
        <v/>
      </c>
    </row>
    <row r="427" spans="2:7" x14ac:dyDescent="0.25">
      <c r="B427" s="1" t="str">
        <f>IF('RAW DATA'!$C429&lt;&gt;"",'RAW DATA'!$C429,"")</f>
        <v/>
      </c>
      <c r="C427" s="1" t="str">
        <f>IF('RAW DATA'!$D429&lt;&gt;"",'RAW DATA'!$D429,"")</f>
        <v/>
      </c>
      <c r="D427" s="1" t="str">
        <f>IF(AND($B426&lt;&gt;"", $B427=""), "TOTAL:", IF($D426="TOTAL:","VESSEL TARGET "&amp;'RAW DATA'!$E$2&amp;":",IF('RAW DATA'!$E427&lt;&gt;"",'RAW DATA'!$E427,"")))</f>
        <v/>
      </c>
      <c r="E427" s="4" t="str">
        <f>IF($D426="TOTAL:",FIXED(ROUND(((SUM($E$4:$E425)/'RAW DATA'!$E$2)*100),1),1)&amp;"%",IF($D427="TOTAL:",SUM($E$4:$E426),IF(SUMIF('RAW DATA'!M:M,'RAW DATA'!B427,'RAW DATA'!H:H)=0,"",SUMIF('RAW DATA'!M:M,'RAW DATA'!B427,'RAW DATA'!H:H))))</f>
        <v/>
      </c>
      <c r="F427" s="4" t="str">
        <f>IF($D426="TOTAL:",FIXED(ROUND(((SUM($F$4:$F425)/'RAW DATA'!$E$2)*100),1),1)&amp;"%",IF($D427="TOTAL:",SUM($F$4:$F426),IF(SUMIF('RAW DATA'!M:M,'RAW DATA'!B427,'RAW DATA'!I:I)=0,"",SUMIF('RAW DATA'!M:M,'RAW DATA'!B427,'RAW DATA'!I:I))))</f>
        <v/>
      </c>
      <c r="G427" s="24" t="str">
        <f t="shared" si="6"/>
        <v/>
      </c>
    </row>
    <row r="428" spans="2:7" x14ac:dyDescent="0.25">
      <c r="B428" s="1" t="str">
        <f>IF('RAW DATA'!$C430&lt;&gt;"",'RAW DATA'!$C430,"")</f>
        <v/>
      </c>
      <c r="C428" s="1" t="str">
        <f>IF('RAW DATA'!$D430&lt;&gt;"",'RAW DATA'!$D430,"")</f>
        <v/>
      </c>
      <c r="D428" s="1" t="str">
        <f>IF(AND($B427&lt;&gt;"", $B428=""), "TOTAL:", IF($D427="TOTAL:","VESSEL TARGET "&amp;'RAW DATA'!$E$2&amp;":",IF('RAW DATA'!$E428&lt;&gt;"",'RAW DATA'!$E428,"")))</f>
        <v/>
      </c>
      <c r="E428" s="4" t="str">
        <f>IF($D427="TOTAL:",FIXED(ROUND(((SUM($E$4:$E426)/'RAW DATA'!$E$2)*100),1),1)&amp;"%",IF($D428="TOTAL:",SUM($E$4:$E427),IF(SUMIF('RAW DATA'!M:M,'RAW DATA'!B428,'RAW DATA'!H:H)=0,"",SUMIF('RAW DATA'!M:M,'RAW DATA'!B428,'RAW DATA'!H:H))))</f>
        <v/>
      </c>
      <c r="F428" s="4" t="str">
        <f>IF($D427="TOTAL:",FIXED(ROUND(((SUM($F$4:$F426)/'RAW DATA'!$E$2)*100),1),1)&amp;"%",IF($D428="TOTAL:",SUM($F$4:$F427),IF(SUMIF('RAW DATA'!M:M,'RAW DATA'!B428,'RAW DATA'!I:I)=0,"",SUMIF('RAW DATA'!M:M,'RAW DATA'!B428,'RAW DATA'!I:I))))</f>
        <v/>
      </c>
      <c r="G428" s="24" t="str">
        <f t="shared" si="6"/>
        <v/>
      </c>
    </row>
    <row r="429" spans="2:7" x14ac:dyDescent="0.25">
      <c r="B429" s="1" t="str">
        <f>IF('RAW DATA'!$C431&lt;&gt;"",'RAW DATA'!$C431,"")</f>
        <v/>
      </c>
      <c r="C429" s="1" t="str">
        <f>IF('RAW DATA'!$D431&lt;&gt;"",'RAW DATA'!$D431,"")</f>
        <v/>
      </c>
      <c r="D429" s="1" t="str">
        <f>IF(AND($B428&lt;&gt;"", $B429=""), "TOTAL:", IF($D428="TOTAL:","VESSEL TARGET "&amp;'RAW DATA'!$E$2&amp;":",IF('RAW DATA'!$E429&lt;&gt;"",'RAW DATA'!$E429,"")))</f>
        <v/>
      </c>
      <c r="E429" s="4" t="str">
        <f>IF($D428="TOTAL:",FIXED(ROUND(((SUM($E$4:$E427)/'RAW DATA'!$E$2)*100),1),1)&amp;"%",IF($D429="TOTAL:",SUM($E$4:$E428),IF(SUMIF('RAW DATA'!M:M,'RAW DATA'!B429,'RAW DATA'!H:H)=0,"",SUMIF('RAW DATA'!M:M,'RAW DATA'!B429,'RAW DATA'!H:H))))</f>
        <v/>
      </c>
      <c r="F429" s="4" t="str">
        <f>IF($D428="TOTAL:",FIXED(ROUND(((SUM($F$4:$F427)/'RAW DATA'!$E$2)*100),1),1)&amp;"%",IF($D429="TOTAL:",SUM($F$4:$F428),IF(SUMIF('RAW DATA'!M:M,'RAW DATA'!B429,'RAW DATA'!I:I)=0,"",SUMIF('RAW DATA'!M:M,'RAW DATA'!B429,'RAW DATA'!I:I))))</f>
        <v/>
      </c>
      <c r="G429" s="24" t="str">
        <f t="shared" si="6"/>
        <v/>
      </c>
    </row>
    <row r="430" spans="2:7" x14ac:dyDescent="0.25">
      <c r="B430" s="1" t="str">
        <f>IF('RAW DATA'!$C432&lt;&gt;"",'RAW DATA'!$C432,"")</f>
        <v/>
      </c>
      <c r="C430" s="1" t="str">
        <f>IF('RAW DATA'!$D432&lt;&gt;"",'RAW DATA'!$D432,"")</f>
        <v/>
      </c>
      <c r="D430" s="1" t="str">
        <f>IF(AND($B429&lt;&gt;"", $B430=""), "TOTAL:", IF($D429="TOTAL:","VESSEL TARGET "&amp;'RAW DATA'!$E$2&amp;":",IF('RAW DATA'!$E430&lt;&gt;"",'RAW DATA'!$E430,"")))</f>
        <v/>
      </c>
      <c r="E430" s="4" t="str">
        <f>IF($D429="TOTAL:",FIXED(ROUND(((SUM($E$4:$E428)/'RAW DATA'!$E$2)*100),1),1)&amp;"%",IF($D430="TOTAL:",SUM($E$4:$E429),IF(SUMIF('RAW DATA'!M:M,'RAW DATA'!B430,'RAW DATA'!H:H)=0,"",SUMIF('RAW DATA'!M:M,'RAW DATA'!B430,'RAW DATA'!H:H))))</f>
        <v/>
      </c>
      <c r="F430" s="4" t="str">
        <f>IF($D429="TOTAL:",FIXED(ROUND(((SUM($F$4:$F428)/'RAW DATA'!$E$2)*100),1),1)&amp;"%",IF($D430="TOTAL:",SUM($F$4:$F429),IF(SUMIF('RAW DATA'!M:M,'RAW DATA'!B430,'RAW DATA'!I:I)=0,"",SUMIF('RAW DATA'!M:M,'RAW DATA'!B430,'RAW DATA'!I:I))))</f>
        <v/>
      </c>
      <c r="G430" s="24" t="str">
        <f t="shared" si="6"/>
        <v/>
      </c>
    </row>
    <row r="431" spans="2:7" x14ac:dyDescent="0.25">
      <c r="B431" s="1" t="str">
        <f>IF('RAW DATA'!$C433&lt;&gt;"",'RAW DATA'!$C433,"")</f>
        <v/>
      </c>
      <c r="C431" s="1" t="str">
        <f>IF('RAW DATA'!$D433&lt;&gt;"",'RAW DATA'!$D433,"")</f>
        <v/>
      </c>
      <c r="D431" s="1" t="str">
        <f>IF(AND($B430&lt;&gt;"", $B431=""), "TOTAL:", IF($D430="TOTAL:","VESSEL TARGET "&amp;'RAW DATA'!$E$2&amp;":",IF('RAW DATA'!$E431&lt;&gt;"",'RAW DATA'!$E431,"")))</f>
        <v/>
      </c>
      <c r="E431" s="4" t="str">
        <f>IF($D430="TOTAL:",FIXED(ROUND(((SUM($E$4:$E429)/'RAW DATA'!$E$2)*100),1),1)&amp;"%",IF($D431="TOTAL:",SUM($E$4:$E430),IF(SUMIF('RAW DATA'!M:M,'RAW DATA'!B431,'RAW DATA'!H:H)=0,"",SUMIF('RAW DATA'!M:M,'RAW DATA'!B431,'RAW DATA'!H:H))))</f>
        <v/>
      </c>
      <c r="F431" s="4" t="str">
        <f>IF($D430="TOTAL:",FIXED(ROUND(((SUM($F$4:$F429)/'RAW DATA'!$E$2)*100),1),1)&amp;"%",IF($D431="TOTAL:",SUM($F$4:$F430),IF(SUMIF('RAW DATA'!M:M,'RAW DATA'!B431,'RAW DATA'!I:I)=0,"",SUMIF('RAW DATA'!M:M,'RAW DATA'!B431,'RAW DATA'!I:I))))</f>
        <v/>
      </c>
      <c r="G431" s="24" t="str">
        <f t="shared" si="6"/>
        <v/>
      </c>
    </row>
    <row r="432" spans="2:7" x14ac:dyDescent="0.25">
      <c r="B432" s="1" t="str">
        <f>IF('RAW DATA'!$C434&lt;&gt;"",'RAW DATA'!$C434,"")</f>
        <v/>
      </c>
      <c r="C432" s="1" t="str">
        <f>IF('RAW DATA'!$D434&lt;&gt;"",'RAW DATA'!$D434,"")</f>
        <v/>
      </c>
      <c r="D432" s="1" t="str">
        <f>IF(AND($B431&lt;&gt;"", $B432=""), "TOTAL:", IF($D431="TOTAL:","VESSEL TARGET "&amp;'RAW DATA'!$E$2&amp;":",IF('RAW DATA'!$E432&lt;&gt;"",'RAW DATA'!$E432,"")))</f>
        <v/>
      </c>
      <c r="E432" s="4" t="str">
        <f>IF($D431="TOTAL:",FIXED(ROUND(((SUM($E$4:$E430)/'RAW DATA'!$E$2)*100),1),1)&amp;"%",IF($D432="TOTAL:",SUM($E$4:$E431),IF(SUMIF('RAW DATA'!M:M,'RAW DATA'!B432,'RAW DATA'!H:H)=0,"",SUMIF('RAW DATA'!M:M,'RAW DATA'!B432,'RAW DATA'!H:H))))</f>
        <v/>
      </c>
      <c r="F432" s="4" t="str">
        <f>IF($D431="TOTAL:",FIXED(ROUND(((SUM($F$4:$F430)/'RAW DATA'!$E$2)*100),1),1)&amp;"%",IF($D432="TOTAL:",SUM($F$4:$F431),IF(SUMIF('RAW DATA'!M:M,'RAW DATA'!B432,'RAW DATA'!I:I)=0,"",SUMIF('RAW DATA'!M:M,'RAW DATA'!B432,'RAW DATA'!I:I))))</f>
        <v/>
      </c>
      <c r="G432" s="24" t="str">
        <f t="shared" si="6"/>
        <v/>
      </c>
    </row>
    <row r="433" spans="2:7" x14ac:dyDescent="0.25">
      <c r="B433" s="1" t="str">
        <f>IF('RAW DATA'!$C435&lt;&gt;"",'RAW DATA'!$C435,"")</f>
        <v/>
      </c>
      <c r="C433" s="1" t="str">
        <f>IF('RAW DATA'!$D435&lt;&gt;"",'RAW DATA'!$D435,"")</f>
        <v/>
      </c>
      <c r="D433" s="1" t="str">
        <f>IF(AND($B432&lt;&gt;"", $B433=""), "TOTAL:", IF($D432="TOTAL:","VESSEL TARGET "&amp;'RAW DATA'!$E$2&amp;":",IF('RAW DATA'!$E433&lt;&gt;"",'RAW DATA'!$E433,"")))</f>
        <v/>
      </c>
      <c r="E433" s="4" t="str">
        <f>IF($D432="TOTAL:",FIXED(ROUND(((SUM($E$4:$E431)/'RAW DATA'!$E$2)*100),1),1)&amp;"%",IF($D433="TOTAL:",SUM($E$4:$E432),IF(SUMIF('RAW DATA'!M:M,'RAW DATA'!B433,'RAW DATA'!H:H)=0,"",SUMIF('RAW DATA'!M:M,'RAW DATA'!B433,'RAW DATA'!H:H))))</f>
        <v/>
      </c>
      <c r="F433" s="4" t="str">
        <f>IF($D432="TOTAL:",FIXED(ROUND(((SUM($F$4:$F431)/'RAW DATA'!$E$2)*100),1),1)&amp;"%",IF($D433="TOTAL:",SUM($F$4:$F432),IF(SUMIF('RAW DATA'!M:M,'RAW DATA'!B433,'RAW DATA'!I:I)=0,"",SUMIF('RAW DATA'!M:M,'RAW DATA'!B433,'RAW DATA'!I:I))))</f>
        <v/>
      </c>
      <c r="G433" s="24" t="str">
        <f t="shared" si="6"/>
        <v/>
      </c>
    </row>
    <row r="434" spans="2:7" x14ac:dyDescent="0.25">
      <c r="B434" s="1" t="str">
        <f>IF('RAW DATA'!$C436&lt;&gt;"",'RAW DATA'!$C436,"")</f>
        <v/>
      </c>
      <c r="C434" s="1" t="str">
        <f>IF('RAW DATA'!$D436&lt;&gt;"",'RAW DATA'!$D436,"")</f>
        <v/>
      </c>
      <c r="D434" s="1" t="str">
        <f>IF(AND($B433&lt;&gt;"", $B434=""), "TOTAL:", IF($D433="TOTAL:","VESSEL TARGET "&amp;'RAW DATA'!$E$2&amp;":",IF('RAW DATA'!$E434&lt;&gt;"",'RAW DATA'!$E434,"")))</f>
        <v/>
      </c>
      <c r="E434" s="4" t="str">
        <f>IF($D433="TOTAL:",FIXED(ROUND(((SUM($E$4:$E432)/'RAW DATA'!$E$2)*100),1),1)&amp;"%",IF($D434="TOTAL:",SUM($E$4:$E433),IF(SUMIF('RAW DATA'!M:M,'RAW DATA'!B434,'RAW DATA'!H:H)=0,"",SUMIF('RAW DATA'!M:M,'RAW DATA'!B434,'RAW DATA'!H:H))))</f>
        <v/>
      </c>
      <c r="F434" s="4" t="str">
        <f>IF($D433="TOTAL:",FIXED(ROUND(((SUM($F$4:$F432)/'RAW DATA'!$E$2)*100),1),1)&amp;"%",IF($D434="TOTAL:",SUM($F$4:$F433),IF(SUMIF('RAW DATA'!M:M,'RAW DATA'!B434,'RAW DATA'!I:I)=0,"",SUMIF('RAW DATA'!M:M,'RAW DATA'!B434,'RAW DATA'!I:I))))</f>
        <v/>
      </c>
      <c r="G434" s="24" t="str">
        <f t="shared" si="6"/>
        <v/>
      </c>
    </row>
    <row r="435" spans="2:7" x14ac:dyDescent="0.25">
      <c r="B435" s="1" t="str">
        <f>IF('RAW DATA'!$C437&lt;&gt;"",'RAW DATA'!$C437,"")</f>
        <v/>
      </c>
      <c r="C435" s="1" t="str">
        <f>IF('RAW DATA'!$D437&lt;&gt;"",'RAW DATA'!$D437,"")</f>
        <v/>
      </c>
      <c r="D435" s="1" t="str">
        <f>IF(AND($B434&lt;&gt;"", $B435=""), "TOTAL:", IF($D434="TOTAL:","VESSEL TARGET "&amp;'RAW DATA'!$E$2&amp;":",IF('RAW DATA'!$E435&lt;&gt;"",'RAW DATA'!$E435,"")))</f>
        <v/>
      </c>
      <c r="E435" s="4" t="str">
        <f>IF($D434="TOTAL:",FIXED(ROUND(((SUM($E$4:$E433)/'RAW DATA'!$E$2)*100),1),1)&amp;"%",IF($D435="TOTAL:",SUM($E$4:$E434),IF(SUMIF('RAW DATA'!M:M,'RAW DATA'!B435,'RAW DATA'!H:H)=0,"",SUMIF('RAW DATA'!M:M,'RAW DATA'!B435,'RAW DATA'!H:H))))</f>
        <v/>
      </c>
      <c r="F435" s="4" t="str">
        <f>IF($D434="TOTAL:",FIXED(ROUND(((SUM($F$4:$F433)/'RAW DATA'!$E$2)*100),1),1)&amp;"%",IF($D435="TOTAL:",SUM($F$4:$F434),IF(SUMIF('RAW DATA'!M:M,'RAW DATA'!B435,'RAW DATA'!I:I)=0,"",SUMIF('RAW DATA'!M:M,'RAW DATA'!B435,'RAW DATA'!I:I))))</f>
        <v/>
      </c>
      <c r="G435" s="24" t="str">
        <f t="shared" si="6"/>
        <v/>
      </c>
    </row>
    <row r="436" spans="2:7" x14ac:dyDescent="0.25">
      <c r="B436" s="1" t="str">
        <f>IF('RAW DATA'!$C438&lt;&gt;"",'RAW DATA'!$C438,"")</f>
        <v/>
      </c>
      <c r="C436" s="1" t="str">
        <f>IF('RAW DATA'!$D438&lt;&gt;"",'RAW DATA'!$D438,"")</f>
        <v/>
      </c>
      <c r="D436" s="1" t="str">
        <f>IF(AND($B435&lt;&gt;"", $B436=""), "TOTAL:", IF($D435="TOTAL:","VESSEL TARGET "&amp;'RAW DATA'!$E$2&amp;":",IF('RAW DATA'!$E436&lt;&gt;"",'RAW DATA'!$E436,"")))</f>
        <v/>
      </c>
      <c r="E436" s="4" t="str">
        <f>IF($D435="TOTAL:",FIXED(ROUND(((SUM($E$4:$E434)/'RAW DATA'!$E$2)*100),1),1)&amp;"%",IF($D436="TOTAL:",SUM($E$4:$E435),IF(SUMIF('RAW DATA'!M:M,'RAW DATA'!B436,'RAW DATA'!H:H)=0,"",SUMIF('RAW DATA'!M:M,'RAW DATA'!B436,'RAW DATA'!H:H))))</f>
        <v/>
      </c>
      <c r="F436" s="4" t="str">
        <f>IF($D435="TOTAL:",FIXED(ROUND(((SUM($F$4:$F434)/'RAW DATA'!$E$2)*100),1),1)&amp;"%",IF($D436="TOTAL:",SUM($F$4:$F435),IF(SUMIF('RAW DATA'!M:M,'RAW DATA'!B436,'RAW DATA'!I:I)=0,"",SUMIF('RAW DATA'!M:M,'RAW DATA'!B436,'RAW DATA'!I:I))))</f>
        <v/>
      </c>
      <c r="G436" s="24" t="str">
        <f t="shared" si="6"/>
        <v/>
      </c>
    </row>
    <row r="437" spans="2:7" x14ac:dyDescent="0.25">
      <c r="B437" s="1" t="str">
        <f>IF('RAW DATA'!$C439&lt;&gt;"",'RAW DATA'!$C439,"")</f>
        <v/>
      </c>
      <c r="C437" s="1" t="str">
        <f>IF('RAW DATA'!$D439&lt;&gt;"",'RAW DATA'!$D439,"")</f>
        <v/>
      </c>
      <c r="D437" s="1" t="str">
        <f>IF(AND($B436&lt;&gt;"", $B437=""), "TOTAL:", IF($D436="TOTAL:","VESSEL TARGET "&amp;'RAW DATA'!$E$2&amp;":",IF('RAW DATA'!$E437&lt;&gt;"",'RAW DATA'!$E437,"")))</f>
        <v/>
      </c>
      <c r="E437" s="4" t="str">
        <f>IF($D436="TOTAL:",FIXED(ROUND(((SUM($E$4:$E435)/'RAW DATA'!$E$2)*100),1),1)&amp;"%",IF($D437="TOTAL:",SUM($E$4:$E436),IF(SUMIF('RAW DATA'!M:M,'RAW DATA'!B437,'RAW DATA'!H:H)=0,"",SUMIF('RAW DATA'!M:M,'RAW DATA'!B437,'RAW DATA'!H:H))))</f>
        <v/>
      </c>
      <c r="F437" s="4" t="str">
        <f>IF($D436="TOTAL:",FIXED(ROUND(((SUM($F$4:$F435)/'RAW DATA'!$E$2)*100),1),1)&amp;"%",IF($D437="TOTAL:",SUM($F$4:$F436),IF(SUMIF('RAW DATA'!M:M,'RAW DATA'!B437,'RAW DATA'!I:I)=0,"",SUMIF('RAW DATA'!M:M,'RAW DATA'!B437,'RAW DATA'!I:I))))</f>
        <v/>
      </c>
      <c r="G437" s="24" t="str">
        <f t="shared" si="6"/>
        <v/>
      </c>
    </row>
    <row r="438" spans="2:7" x14ac:dyDescent="0.25">
      <c r="B438" s="1" t="str">
        <f>IF('RAW DATA'!$C440&lt;&gt;"",'RAW DATA'!$C440,"")</f>
        <v/>
      </c>
      <c r="C438" s="1" t="str">
        <f>IF('RAW DATA'!$D440&lt;&gt;"",'RAW DATA'!$D440,"")</f>
        <v/>
      </c>
      <c r="D438" s="1" t="str">
        <f>IF(AND($B437&lt;&gt;"", $B438=""), "TOTAL:", IF($D437="TOTAL:","VESSEL TARGET "&amp;'RAW DATA'!$E$2&amp;":",IF('RAW DATA'!$E438&lt;&gt;"",'RAW DATA'!$E438,"")))</f>
        <v/>
      </c>
      <c r="E438" s="4" t="str">
        <f>IF($D437="TOTAL:",FIXED(ROUND(((SUM($E$4:$E436)/'RAW DATA'!$E$2)*100),1),1)&amp;"%",IF($D438="TOTAL:",SUM($E$4:$E437),IF(SUMIF('RAW DATA'!M:M,'RAW DATA'!B438,'RAW DATA'!H:H)=0,"",SUMIF('RAW DATA'!M:M,'RAW DATA'!B438,'RAW DATA'!H:H))))</f>
        <v/>
      </c>
      <c r="F438" s="4" t="str">
        <f>IF($D437="TOTAL:",FIXED(ROUND(((SUM($F$4:$F436)/'RAW DATA'!$E$2)*100),1),1)&amp;"%",IF($D438="TOTAL:",SUM($F$4:$F437),IF(SUMIF('RAW DATA'!M:M,'RAW DATA'!B438,'RAW DATA'!I:I)=0,"",SUMIF('RAW DATA'!M:M,'RAW DATA'!B438,'RAW DATA'!I:I))))</f>
        <v/>
      </c>
      <c r="G438" s="24" t="str">
        <f t="shared" si="6"/>
        <v/>
      </c>
    </row>
    <row r="439" spans="2:7" x14ac:dyDescent="0.25">
      <c r="B439" s="1" t="str">
        <f>IF('RAW DATA'!$C441&lt;&gt;"",'RAW DATA'!$C441,"")</f>
        <v/>
      </c>
      <c r="C439" s="1" t="str">
        <f>IF('RAW DATA'!$D441&lt;&gt;"",'RAW DATA'!$D441,"")</f>
        <v/>
      </c>
      <c r="D439" s="1" t="str">
        <f>IF(AND($B438&lt;&gt;"", $B439=""), "TOTAL:", IF($D438="TOTAL:","VESSEL TARGET "&amp;'RAW DATA'!$E$2&amp;":",IF('RAW DATA'!$E439&lt;&gt;"",'RAW DATA'!$E439,"")))</f>
        <v/>
      </c>
      <c r="E439" s="4" t="str">
        <f>IF($D438="TOTAL:",FIXED(ROUND(((SUM($E$4:$E437)/'RAW DATA'!$E$2)*100),1),1)&amp;"%",IF($D439="TOTAL:",SUM($E$4:$E438),IF(SUMIF('RAW DATA'!M:M,'RAW DATA'!B439,'RAW DATA'!H:H)=0,"",SUMIF('RAW DATA'!M:M,'RAW DATA'!B439,'RAW DATA'!H:H))))</f>
        <v/>
      </c>
      <c r="F439" s="4" t="str">
        <f>IF($D438="TOTAL:",FIXED(ROUND(((SUM($F$4:$F437)/'RAW DATA'!$E$2)*100),1),1)&amp;"%",IF($D439="TOTAL:",SUM($F$4:$F438),IF(SUMIF('RAW DATA'!M:M,'RAW DATA'!B439,'RAW DATA'!I:I)=0,"",SUMIF('RAW DATA'!M:M,'RAW DATA'!B439,'RAW DATA'!I:I))))</f>
        <v/>
      </c>
      <c r="G439" s="24" t="str">
        <f t="shared" si="6"/>
        <v/>
      </c>
    </row>
    <row r="440" spans="2:7" x14ac:dyDescent="0.25">
      <c r="B440" s="1" t="str">
        <f>IF('RAW DATA'!$C442&lt;&gt;"",'RAW DATA'!$C442,"")</f>
        <v/>
      </c>
      <c r="C440" s="1" t="str">
        <f>IF('RAW DATA'!$D442&lt;&gt;"",'RAW DATA'!$D442,"")</f>
        <v/>
      </c>
      <c r="D440" s="1" t="str">
        <f>IF(AND($B439&lt;&gt;"", $B440=""), "TOTAL:", IF($D439="TOTAL:","VESSEL TARGET "&amp;'RAW DATA'!$E$2&amp;":",IF('RAW DATA'!$E440&lt;&gt;"",'RAW DATA'!$E440,"")))</f>
        <v/>
      </c>
      <c r="E440" s="4" t="str">
        <f>IF($D439="TOTAL:",FIXED(ROUND(((SUM($E$4:$E438)/'RAW DATA'!$E$2)*100),1),1)&amp;"%",IF($D440="TOTAL:",SUM($E$4:$E439),IF(SUMIF('RAW DATA'!M:M,'RAW DATA'!B440,'RAW DATA'!H:H)=0,"",SUMIF('RAW DATA'!M:M,'RAW DATA'!B440,'RAW DATA'!H:H))))</f>
        <v/>
      </c>
      <c r="F440" s="4" t="str">
        <f>IF($D439="TOTAL:",FIXED(ROUND(((SUM($F$4:$F438)/'RAW DATA'!$E$2)*100),1),1)&amp;"%",IF($D440="TOTAL:",SUM($F$4:$F439),IF(SUMIF('RAW DATA'!M:M,'RAW DATA'!B440,'RAW DATA'!I:I)=0,"",SUMIF('RAW DATA'!M:M,'RAW DATA'!B440,'RAW DATA'!I:I))))</f>
        <v/>
      </c>
      <c r="G440" s="24" t="str">
        <f t="shared" si="6"/>
        <v/>
      </c>
    </row>
    <row r="441" spans="2:7" x14ac:dyDescent="0.25">
      <c r="B441" s="1" t="str">
        <f>IF('RAW DATA'!$C443&lt;&gt;"",'RAW DATA'!$C443,"")</f>
        <v/>
      </c>
      <c r="C441" s="1" t="str">
        <f>IF('RAW DATA'!$D443&lt;&gt;"",'RAW DATA'!$D443,"")</f>
        <v/>
      </c>
      <c r="D441" s="1" t="str">
        <f>IF(AND($B440&lt;&gt;"", $B441=""), "TOTAL:", IF($D440="TOTAL:","VESSEL TARGET "&amp;'RAW DATA'!$E$2&amp;":",IF('RAW DATA'!$E441&lt;&gt;"",'RAW DATA'!$E441,"")))</f>
        <v/>
      </c>
      <c r="E441" s="4" t="str">
        <f>IF($D440="TOTAL:",FIXED(ROUND(((SUM($E$4:$E439)/'RAW DATA'!$E$2)*100),1),1)&amp;"%",IF($D441="TOTAL:",SUM($E$4:$E440),IF(SUMIF('RAW DATA'!M:M,'RAW DATA'!B441,'RAW DATA'!H:H)=0,"",SUMIF('RAW DATA'!M:M,'RAW DATA'!B441,'RAW DATA'!H:H))))</f>
        <v/>
      </c>
      <c r="F441" s="4" t="str">
        <f>IF($D440="TOTAL:",FIXED(ROUND(((SUM($F$4:$F439)/'RAW DATA'!$E$2)*100),1),1)&amp;"%",IF($D441="TOTAL:",SUM($F$4:$F440),IF(SUMIF('RAW DATA'!M:M,'RAW DATA'!B441,'RAW DATA'!I:I)=0,"",SUMIF('RAW DATA'!M:M,'RAW DATA'!B441,'RAW DATA'!I:I))))</f>
        <v/>
      </c>
      <c r="G441" s="24" t="str">
        <f t="shared" si="6"/>
        <v/>
      </c>
    </row>
    <row r="442" spans="2:7" x14ac:dyDescent="0.25">
      <c r="B442" s="1" t="str">
        <f>IF('RAW DATA'!$C444&lt;&gt;"",'RAW DATA'!$C444,"")</f>
        <v/>
      </c>
      <c r="C442" s="1" t="str">
        <f>IF('RAW DATA'!$D444&lt;&gt;"",'RAW DATA'!$D444,"")</f>
        <v/>
      </c>
      <c r="D442" s="1" t="str">
        <f>IF(AND($B441&lt;&gt;"", $B442=""), "TOTAL:", IF($D441="TOTAL:","VESSEL TARGET "&amp;'RAW DATA'!$E$2&amp;":",IF('RAW DATA'!$E442&lt;&gt;"",'RAW DATA'!$E442,"")))</f>
        <v/>
      </c>
      <c r="E442" s="4" t="str">
        <f>IF($D441="TOTAL:",FIXED(ROUND(((SUM($E$4:$E440)/'RAW DATA'!$E$2)*100),1),1)&amp;"%",IF($D442="TOTAL:",SUM($E$4:$E441),IF(SUMIF('RAW DATA'!M:M,'RAW DATA'!B442,'RAW DATA'!H:H)=0,"",SUMIF('RAW DATA'!M:M,'RAW DATA'!B442,'RAW DATA'!H:H))))</f>
        <v/>
      </c>
      <c r="F442" s="4" t="str">
        <f>IF($D441="TOTAL:",FIXED(ROUND(((SUM($F$4:$F440)/'RAW DATA'!$E$2)*100),1),1)&amp;"%",IF($D442="TOTAL:",SUM($F$4:$F441),IF(SUMIF('RAW DATA'!M:M,'RAW DATA'!B442,'RAW DATA'!I:I)=0,"",SUMIF('RAW DATA'!M:M,'RAW DATA'!B442,'RAW DATA'!I:I))))</f>
        <v/>
      </c>
      <c r="G442" s="24" t="str">
        <f t="shared" si="6"/>
        <v/>
      </c>
    </row>
    <row r="443" spans="2:7" x14ac:dyDescent="0.25">
      <c r="B443" s="1" t="str">
        <f>IF('RAW DATA'!$C445&lt;&gt;"",'RAW DATA'!$C445,"")</f>
        <v/>
      </c>
      <c r="C443" s="1" t="str">
        <f>IF('RAW DATA'!$D445&lt;&gt;"",'RAW DATA'!$D445,"")</f>
        <v/>
      </c>
      <c r="D443" s="1" t="str">
        <f>IF(AND($B442&lt;&gt;"", $B443=""), "TOTAL:", IF($D442="TOTAL:","VESSEL TARGET "&amp;'RAW DATA'!$E$2&amp;":",IF('RAW DATA'!$E443&lt;&gt;"",'RAW DATA'!$E443,"")))</f>
        <v/>
      </c>
      <c r="E443" s="4" t="str">
        <f>IF($D442="TOTAL:",FIXED(ROUND(((SUM($E$4:$E441)/'RAW DATA'!$E$2)*100),1),1)&amp;"%",IF($D443="TOTAL:",SUM($E$4:$E442),IF(SUMIF('RAW DATA'!M:M,'RAW DATA'!B443,'RAW DATA'!H:H)=0,"",SUMIF('RAW DATA'!M:M,'RAW DATA'!B443,'RAW DATA'!H:H))))</f>
        <v/>
      </c>
      <c r="F443" s="4" t="str">
        <f>IF($D442="TOTAL:",FIXED(ROUND(((SUM($F$4:$F441)/'RAW DATA'!$E$2)*100),1),1)&amp;"%",IF($D443="TOTAL:",SUM($F$4:$F442),IF(SUMIF('RAW DATA'!M:M,'RAW DATA'!B443,'RAW DATA'!I:I)=0,"",SUMIF('RAW DATA'!M:M,'RAW DATA'!B443,'RAW DATA'!I:I))))</f>
        <v/>
      </c>
      <c r="G443" s="24" t="str">
        <f t="shared" si="6"/>
        <v/>
      </c>
    </row>
    <row r="444" spans="2:7" x14ac:dyDescent="0.25">
      <c r="B444" s="1" t="str">
        <f>IF('RAW DATA'!$C446&lt;&gt;"",'RAW DATA'!$C446,"")</f>
        <v/>
      </c>
      <c r="C444" s="1" t="str">
        <f>IF('RAW DATA'!$D446&lt;&gt;"",'RAW DATA'!$D446,"")</f>
        <v/>
      </c>
      <c r="D444" s="1" t="str">
        <f>IF(AND($B443&lt;&gt;"", $B444=""), "TOTAL:", IF($D443="TOTAL:","VESSEL TARGET "&amp;'RAW DATA'!$E$2&amp;":",IF('RAW DATA'!$E444&lt;&gt;"",'RAW DATA'!$E444,"")))</f>
        <v/>
      </c>
      <c r="E444" s="4" t="str">
        <f>IF($D443="TOTAL:",FIXED(ROUND(((SUM($E$4:$E442)/'RAW DATA'!$E$2)*100),1),1)&amp;"%",IF($D444="TOTAL:",SUM($E$4:$E443),IF(SUMIF('RAW DATA'!M:M,'RAW DATA'!B444,'RAW DATA'!H:H)=0,"",SUMIF('RAW DATA'!M:M,'RAW DATA'!B444,'RAW DATA'!H:H))))</f>
        <v/>
      </c>
      <c r="F444" s="4" t="str">
        <f>IF($D443="TOTAL:",FIXED(ROUND(((SUM($F$4:$F442)/'RAW DATA'!$E$2)*100),1),1)&amp;"%",IF($D444="TOTAL:",SUM($F$4:$F443),IF(SUMIF('RAW DATA'!M:M,'RAW DATA'!B444,'RAW DATA'!I:I)=0,"",SUMIF('RAW DATA'!M:M,'RAW DATA'!B444,'RAW DATA'!I:I))))</f>
        <v/>
      </c>
      <c r="G444" s="24" t="str">
        <f t="shared" si="6"/>
        <v/>
      </c>
    </row>
    <row r="445" spans="2:7" x14ac:dyDescent="0.25">
      <c r="B445" s="1" t="str">
        <f>IF('RAW DATA'!$C447&lt;&gt;"",'RAW DATA'!$C447,"")</f>
        <v/>
      </c>
      <c r="C445" s="1" t="str">
        <f>IF('RAW DATA'!$D447&lt;&gt;"",'RAW DATA'!$D447,"")</f>
        <v/>
      </c>
      <c r="D445" s="1" t="str">
        <f>IF(AND($B444&lt;&gt;"", $B445=""), "TOTAL:", IF($D444="TOTAL:","VESSEL TARGET "&amp;'RAW DATA'!$E$2&amp;":",IF('RAW DATA'!$E445&lt;&gt;"",'RAW DATA'!$E445,"")))</f>
        <v/>
      </c>
      <c r="E445" s="4" t="str">
        <f>IF($D444="TOTAL:",FIXED(ROUND(((SUM($E$4:$E443)/'RAW DATA'!$E$2)*100),1),1)&amp;"%",IF($D445="TOTAL:",SUM($E$4:$E444),IF(SUMIF('RAW DATA'!M:M,'RAW DATA'!B445,'RAW DATA'!H:H)=0,"",SUMIF('RAW DATA'!M:M,'RAW DATA'!B445,'RAW DATA'!H:H))))</f>
        <v/>
      </c>
      <c r="F445" s="4" t="str">
        <f>IF($D444="TOTAL:",FIXED(ROUND(((SUM($F$4:$F443)/'RAW DATA'!$E$2)*100),1),1)&amp;"%",IF($D445="TOTAL:",SUM($F$4:$F444),IF(SUMIF('RAW DATA'!M:M,'RAW DATA'!B445,'RAW DATA'!I:I)=0,"",SUMIF('RAW DATA'!M:M,'RAW DATA'!B445,'RAW DATA'!I:I))))</f>
        <v/>
      </c>
      <c r="G445" s="24" t="str">
        <f t="shared" si="6"/>
        <v/>
      </c>
    </row>
    <row r="446" spans="2:7" x14ac:dyDescent="0.25">
      <c r="B446" s="1" t="str">
        <f>IF('RAW DATA'!$C448&lt;&gt;"",'RAW DATA'!$C448,"")</f>
        <v/>
      </c>
      <c r="C446" s="1" t="str">
        <f>IF('RAW DATA'!$D448&lt;&gt;"",'RAW DATA'!$D448,"")</f>
        <v/>
      </c>
      <c r="D446" s="1" t="str">
        <f>IF(AND($B445&lt;&gt;"", $B446=""), "TOTAL:", IF($D445="TOTAL:","VESSEL TARGET "&amp;'RAW DATA'!$E$2&amp;":",IF('RAW DATA'!$E446&lt;&gt;"",'RAW DATA'!$E446,"")))</f>
        <v/>
      </c>
      <c r="E446" s="4" t="str">
        <f>IF($D445="TOTAL:",FIXED(ROUND(((SUM($E$4:$E444)/'RAW DATA'!$E$2)*100),1),1)&amp;"%",IF($D446="TOTAL:",SUM($E$4:$E445),IF(SUMIF('RAW DATA'!M:M,'RAW DATA'!B446,'RAW DATA'!H:H)=0,"",SUMIF('RAW DATA'!M:M,'RAW DATA'!B446,'RAW DATA'!H:H))))</f>
        <v/>
      </c>
      <c r="F446" s="4" t="str">
        <f>IF($D445="TOTAL:",FIXED(ROUND(((SUM($F$4:$F444)/'RAW DATA'!$E$2)*100),1),1)&amp;"%",IF($D446="TOTAL:",SUM($F$4:$F445),IF(SUMIF('RAW DATA'!M:M,'RAW DATA'!B446,'RAW DATA'!I:I)=0,"",SUMIF('RAW DATA'!M:M,'RAW DATA'!B446,'RAW DATA'!I:I))))</f>
        <v/>
      </c>
      <c r="G446" s="24" t="str">
        <f t="shared" si="6"/>
        <v/>
      </c>
    </row>
    <row r="447" spans="2:7" x14ac:dyDescent="0.25">
      <c r="B447" s="1" t="str">
        <f>IF('RAW DATA'!$C449&lt;&gt;"",'RAW DATA'!$C449,"")</f>
        <v/>
      </c>
      <c r="C447" s="1" t="str">
        <f>IF('RAW DATA'!$D449&lt;&gt;"",'RAW DATA'!$D449,"")</f>
        <v/>
      </c>
      <c r="D447" s="1" t="str">
        <f>IF(AND($B446&lt;&gt;"", $B447=""), "TOTAL:", IF($D446="TOTAL:","VESSEL TARGET "&amp;'RAW DATA'!$E$2&amp;":",IF('RAW DATA'!$E447&lt;&gt;"",'RAW DATA'!$E447,"")))</f>
        <v/>
      </c>
      <c r="E447" s="4" t="str">
        <f>IF($D446="TOTAL:",FIXED(ROUND(((SUM($E$4:$E445)/'RAW DATA'!$E$2)*100),1),1)&amp;"%",IF($D447="TOTAL:",SUM($E$4:$E446),IF(SUMIF('RAW DATA'!M:M,'RAW DATA'!B447,'RAW DATA'!H:H)=0,"",SUMIF('RAW DATA'!M:M,'RAW DATA'!B447,'RAW DATA'!H:H))))</f>
        <v/>
      </c>
      <c r="F447" s="4" t="str">
        <f>IF($D446="TOTAL:",FIXED(ROUND(((SUM($F$4:$F445)/'RAW DATA'!$E$2)*100),1),1)&amp;"%",IF($D447="TOTAL:",SUM($F$4:$F446),IF(SUMIF('RAW DATA'!M:M,'RAW DATA'!B447,'RAW DATA'!I:I)=0,"",SUMIF('RAW DATA'!M:M,'RAW DATA'!B447,'RAW DATA'!I:I))))</f>
        <v/>
      </c>
      <c r="G447" s="24" t="str">
        <f t="shared" si="6"/>
        <v/>
      </c>
    </row>
    <row r="448" spans="2:7" x14ac:dyDescent="0.25">
      <c r="B448" s="1" t="str">
        <f>IF('RAW DATA'!$C450&lt;&gt;"",'RAW DATA'!$C450,"")</f>
        <v/>
      </c>
      <c r="C448" s="1" t="str">
        <f>IF('RAW DATA'!$D450&lt;&gt;"",'RAW DATA'!$D450,"")</f>
        <v/>
      </c>
      <c r="D448" s="1" t="str">
        <f>IF(AND($B447&lt;&gt;"", $B448=""), "TOTAL:", IF($D447="TOTAL:","VESSEL TARGET "&amp;'RAW DATA'!$E$2&amp;":",IF('RAW DATA'!$E448&lt;&gt;"",'RAW DATA'!$E448,"")))</f>
        <v/>
      </c>
      <c r="E448" s="4" t="str">
        <f>IF($D447="TOTAL:",FIXED(ROUND(((SUM($E$4:$E446)/'RAW DATA'!$E$2)*100),1),1)&amp;"%",IF($D448="TOTAL:",SUM($E$4:$E447),IF(SUMIF('RAW DATA'!M:M,'RAW DATA'!B448,'RAW DATA'!H:H)=0,"",SUMIF('RAW DATA'!M:M,'RAW DATA'!B448,'RAW DATA'!H:H))))</f>
        <v/>
      </c>
      <c r="F448" s="4" t="str">
        <f>IF($D447="TOTAL:",FIXED(ROUND(((SUM($F$4:$F446)/'RAW DATA'!$E$2)*100),1),1)&amp;"%",IF($D448="TOTAL:",SUM($F$4:$F447),IF(SUMIF('RAW DATA'!M:M,'RAW DATA'!B448,'RAW DATA'!I:I)=0,"",SUMIF('RAW DATA'!M:M,'RAW DATA'!B448,'RAW DATA'!I:I))))</f>
        <v/>
      </c>
      <c r="G448" s="24" t="str">
        <f t="shared" si="6"/>
        <v/>
      </c>
    </row>
    <row r="449" spans="2:7" x14ac:dyDescent="0.25">
      <c r="B449" s="1" t="str">
        <f>IF('RAW DATA'!$C451&lt;&gt;"",'RAW DATA'!$C451,"")</f>
        <v/>
      </c>
      <c r="C449" s="1" t="str">
        <f>IF('RAW DATA'!$D451&lt;&gt;"",'RAW DATA'!$D451,"")</f>
        <v/>
      </c>
      <c r="D449" s="1" t="str">
        <f>IF(AND($B448&lt;&gt;"", $B449=""), "TOTAL:", IF($D448="TOTAL:","VESSEL TARGET "&amp;'RAW DATA'!$E$2&amp;":",IF('RAW DATA'!$E449&lt;&gt;"",'RAW DATA'!$E449,"")))</f>
        <v/>
      </c>
      <c r="E449" s="4" t="str">
        <f>IF($D448="TOTAL:",FIXED(ROUND(((SUM($E$4:$E447)/'RAW DATA'!$E$2)*100),1),1)&amp;"%",IF($D449="TOTAL:",SUM($E$4:$E448),IF(SUMIF('RAW DATA'!M:M,'RAW DATA'!B449,'RAW DATA'!H:H)=0,"",SUMIF('RAW DATA'!M:M,'RAW DATA'!B449,'RAW DATA'!H:H))))</f>
        <v/>
      </c>
      <c r="F449" s="4" t="str">
        <f>IF($D448="TOTAL:",FIXED(ROUND(((SUM($F$4:$F447)/'RAW DATA'!$E$2)*100),1),1)&amp;"%",IF($D449="TOTAL:",SUM($F$4:$F448),IF(SUMIF('RAW DATA'!M:M,'RAW DATA'!B449,'RAW DATA'!I:I)=0,"",SUMIF('RAW DATA'!M:M,'RAW DATA'!B449,'RAW DATA'!I:I))))</f>
        <v/>
      </c>
      <c r="G449" s="24" t="str">
        <f t="shared" si="6"/>
        <v/>
      </c>
    </row>
    <row r="450" spans="2:7" x14ac:dyDescent="0.25">
      <c r="B450" s="1" t="str">
        <f>IF('RAW DATA'!$C452&lt;&gt;"",'RAW DATA'!$C452,"")</f>
        <v/>
      </c>
      <c r="C450" s="1" t="str">
        <f>IF('RAW DATA'!$D452&lt;&gt;"",'RAW DATA'!$D452,"")</f>
        <v/>
      </c>
      <c r="D450" s="1" t="str">
        <f>IF(AND($B449&lt;&gt;"", $B450=""), "TOTAL:", IF($D449="TOTAL:","VESSEL TARGET "&amp;'RAW DATA'!$E$2&amp;":",IF('RAW DATA'!$E450&lt;&gt;"",'RAW DATA'!$E450,"")))</f>
        <v/>
      </c>
      <c r="E450" s="4" t="str">
        <f>IF($D449="TOTAL:",FIXED(ROUND(((SUM($E$4:$E448)/'RAW DATA'!$E$2)*100),1),1)&amp;"%",IF($D450="TOTAL:",SUM($E$4:$E449),IF(SUMIF('RAW DATA'!M:M,'RAW DATA'!B450,'RAW DATA'!H:H)=0,"",SUMIF('RAW DATA'!M:M,'RAW DATA'!B450,'RAW DATA'!H:H))))</f>
        <v/>
      </c>
      <c r="F450" s="4" t="str">
        <f>IF($D449="TOTAL:",FIXED(ROUND(((SUM($F$4:$F448)/'RAW DATA'!$E$2)*100),1),1)&amp;"%",IF($D450="TOTAL:",SUM($F$4:$F449),IF(SUMIF('RAW DATA'!M:M,'RAW DATA'!B450,'RAW DATA'!I:I)=0,"",SUMIF('RAW DATA'!M:M,'RAW DATA'!B450,'RAW DATA'!I:I))))</f>
        <v/>
      </c>
      <c r="G450" s="24" t="str">
        <f t="shared" si="6"/>
        <v/>
      </c>
    </row>
    <row r="451" spans="2:7" x14ac:dyDescent="0.25">
      <c r="B451" s="1" t="str">
        <f>IF('RAW DATA'!$C453&lt;&gt;"",'RAW DATA'!$C453,"")</f>
        <v/>
      </c>
      <c r="C451" s="1" t="str">
        <f>IF('RAW DATA'!$D453&lt;&gt;"",'RAW DATA'!$D453,"")</f>
        <v/>
      </c>
      <c r="D451" s="1" t="str">
        <f>IF(AND($B450&lt;&gt;"", $B451=""), "TOTAL:", IF($D450="TOTAL:","VESSEL TARGET "&amp;'RAW DATA'!$E$2&amp;":",IF('RAW DATA'!$E451&lt;&gt;"",'RAW DATA'!$E451,"")))</f>
        <v/>
      </c>
      <c r="E451" s="4" t="str">
        <f>IF($D450="TOTAL:",FIXED(ROUND(((SUM($E$4:$E449)/'RAW DATA'!$E$2)*100),1),1)&amp;"%",IF($D451="TOTAL:",SUM($E$4:$E450),IF(SUMIF('RAW DATA'!M:M,'RAW DATA'!B451,'RAW DATA'!H:H)=0,"",SUMIF('RAW DATA'!M:M,'RAW DATA'!B451,'RAW DATA'!H:H))))</f>
        <v/>
      </c>
      <c r="F451" s="4" t="str">
        <f>IF($D450="TOTAL:",FIXED(ROUND(((SUM($F$4:$F449)/'RAW DATA'!$E$2)*100),1),1)&amp;"%",IF($D451="TOTAL:",SUM($F$4:$F450),IF(SUMIF('RAW DATA'!M:M,'RAW DATA'!B451,'RAW DATA'!I:I)=0,"",SUMIF('RAW DATA'!M:M,'RAW DATA'!B451,'RAW DATA'!I:I))))</f>
        <v/>
      </c>
      <c r="G451" s="24" t="str">
        <f t="shared" si="6"/>
        <v/>
      </c>
    </row>
    <row r="452" spans="2:7" x14ac:dyDescent="0.25">
      <c r="B452" s="1" t="str">
        <f>IF('RAW DATA'!$C454&lt;&gt;"",'RAW DATA'!$C454,"")</f>
        <v/>
      </c>
      <c r="C452" s="1" t="str">
        <f>IF('RAW DATA'!$D454&lt;&gt;"",'RAW DATA'!$D454,"")</f>
        <v/>
      </c>
      <c r="D452" s="1" t="str">
        <f>IF(AND($B451&lt;&gt;"", $B452=""), "TOTAL:", IF($D451="TOTAL:","VESSEL TARGET "&amp;'RAW DATA'!$E$2&amp;":",IF('RAW DATA'!$E452&lt;&gt;"",'RAW DATA'!$E452,"")))</f>
        <v/>
      </c>
      <c r="E452" s="4" t="str">
        <f>IF($D451="TOTAL:",FIXED(ROUND(((SUM($E$4:$E450)/'RAW DATA'!$E$2)*100),1),1)&amp;"%",IF($D452="TOTAL:",SUM($E$4:$E451),IF(SUMIF('RAW DATA'!M:M,'RAW DATA'!B452,'RAW DATA'!H:H)=0,"",SUMIF('RAW DATA'!M:M,'RAW DATA'!B452,'RAW DATA'!H:H))))</f>
        <v/>
      </c>
      <c r="F452" s="4" t="str">
        <f>IF($D451="TOTAL:",FIXED(ROUND(((SUM($F$4:$F450)/'RAW DATA'!$E$2)*100),1),1)&amp;"%",IF($D452="TOTAL:",SUM($F$4:$F451),IF(SUMIF('RAW DATA'!M:M,'RAW DATA'!B452,'RAW DATA'!I:I)=0,"",SUMIF('RAW DATA'!M:M,'RAW DATA'!B452,'RAW DATA'!I:I))))</f>
        <v/>
      </c>
      <c r="G452" s="24" t="str">
        <f t="shared" si="6"/>
        <v/>
      </c>
    </row>
    <row r="453" spans="2:7" x14ac:dyDescent="0.25">
      <c r="B453" s="1" t="str">
        <f>IF('RAW DATA'!$C455&lt;&gt;"",'RAW DATA'!$C455,"")</f>
        <v/>
      </c>
      <c r="C453" s="1" t="str">
        <f>IF('RAW DATA'!$D455&lt;&gt;"",'RAW DATA'!$D455,"")</f>
        <v/>
      </c>
      <c r="D453" s="1" t="str">
        <f>IF(AND($B452&lt;&gt;"", $B453=""), "TOTAL:", IF($D452="TOTAL:","VESSEL TARGET "&amp;'RAW DATA'!$E$2&amp;":",IF('RAW DATA'!$E453&lt;&gt;"",'RAW DATA'!$E453,"")))</f>
        <v/>
      </c>
      <c r="E453" s="4" t="str">
        <f>IF($D452="TOTAL:",FIXED(ROUND(((SUM($E$4:$E451)/'RAW DATA'!$E$2)*100),1),1)&amp;"%",IF($D453="TOTAL:",SUM($E$4:$E452),IF(SUMIF('RAW DATA'!M:M,'RAW DATA'!B453,'RAW DATA'!H:H)=0,"",SUMIF('RAW DATA'!M:M,'RAW DATA'!B453,'RAW DATA'!H:H))))</f>
        <v/>
      </c>
      <c r="F453" s="4" t="str">
        <f>IF($D452="TOTAL:",FIXED(ROUND(((SUM($F$4:$F451)/'RAW DATA'!$E$2)*100),1),1)&amp;"%",IF($D453="TOTAL:",SUM($F$4:$F452),IF(SUMIF('RAW DATA'!M:M,'RAW DATA'!B453,'RAW DATA'!I:I)=0,"",SUMIF('RAW DATA'!M:M,'RAW DATA'!B453,'RAW DATA'!I:I))))</f>
        <v/>
      </c>
      <c r="G453" s="24" t="str">
        <f t="shared" si="6"/>
        <v/>
      </c>
    </row>
    <row r="454" spans="2:7" x14ac:dyDescent="0.25">
      <c r="B454" s="1" t="str">
        <f>IF('RAW DATA'!$C456&lt;&gt;"",'RAW DATA'!$C456,"")</f>
        <v/>
      </c>
      <c r="C454" s="1" t="str">
        <f>IF('RAW DATA'!$D456&lt;&gt;"",'RAW DATA'!$D456,"")</f>
        <v/>
      </c>
      <c r="D454" s="1" t="str">
        <f>IF(AND($B453&lt;&gt;"", $B454=""), "TOTAL:", IF($D453="TOTAL:","VESSEL TARGET "&amp;'RAW DATA'!$E$2&amp;":",IF('RAW DATA'!$E454&lt;&gt;"",'RAW DATA'!$E454,"")))</f>
        <v/>
      </c>
      <c r="E454" s="4" t="str">
        <f>IF($D453="TOTAL:",FIXED(ROUND(((SUM($E$4:$E452)/'RAW DATA'!$E$2)*100),1),1)&amp;"%",IF($D454="TOTAL:",SUM($E$4:$E453),IF(SUMIF('RAW DATA'!M:M,'RAW DATA'!B454,'RAW DATA'!H:H)=0,"",SUMIF('RAW DATA'!M:M,'RAW DATA'!B454,'RAW DATA'!H:H))))</f>
        <v/>
      </c>
      <c r="F454" s="4" t="str">
        <f>IF($D453="TOTAL:",FIXED(ROUND(((SUM($F$4:$F452)/'RAW DATA'!$E$2)*100),1),1)&amp;"%",IF($D454="TOTAL:",SUM($F$4:$F453),IF(SUMIF('RAW DATA'!M:M,'RAW DATA'!B454,'RAW DATA'!I:I)=0,"",SUMIF('RAW DATA'!M:M,'RAW DATA'!B454,'RAW DATA'!I:I))))</f>
        <v/>
      </c>
      <c r="G454" s="24" t="str">
        <f t="shared" ref="G454:G517" si="7">IF(OR($B454="", $E454="",$F454=""),"",IF(AND($E454&gt;=2,$F454&gt;=2),1,""))</f>
        <v/>
      </c>
    </row>
    <row r="455" spans="2:7" x14ac:dyDescent="0.25">
      <c r="B455" s="1" t="str">
        <f>IF('RAW DATA'!$C457&lt;&gt;"",'RAW DATA'!$C457,"")</f>
        <v/>
      </c>
      <c r="C455" s="1" t="str">
        <f>IF('RAW DATA'!$D457&lt;&gt;"",'RAW DATA'!$D457,"")</f>
        <v/>
      </c>
      <c r="D455" s="1" t="str">
        <f>IF(AND($B454&lt;&gt;"", $B455=""), "TOTAL:", IF($D454="TOTAL:","VESSEL TARGET "&amp;'RAW DATA'!$E$2&amp;":",IF('RAW DATA'!$E455&lt;&gt;"",'RAW DATA'!$E455,"")))</f>
        <v/>
      </c>
      <c r="E455" s="4" t="str">
        <f>IF($D454="TOTAL:",FIXED(ROUND(((SUM($E$4:$E453)/'RAW DATA'!$E$2)*100),1),1)&amp;"%",IF($D455="TOTAL:",SUM($E$4:$E454),IF(SUMIF('RAW DATA'!M:M,'RAW DATA'!B455,'RAW DATA'!H:H)=0,"",SUMIF('RAW DATA'!M:M,'RAW DATA'!B455,'RAW DATA'!H:H))))</f>
        <v/>
      </c>
      <c r="F455" s="4" t="str">
        <f>IF($D454="TOTAL:",FIXED(ROUND(((SUM($F$4:$F453)/'RAW DATA'!$E$2)*100),1),1)&amp;"%",IF($D455="TOTAL:",SUM($F$4:$F454),IF(SUMIF('RAW DATA'!M:M,'RAW DATA'!B455,'RAW DATA'!I:I)=0,"",SUMIF('RAW DATA'!M:M,'RAW DATA'!B455,'RAW DATA'!I:I))))</f>
        <v/>
      </c>
      <c r="G455" s="24" t="str">
        <f t="shared" si="7"/>
        <v/>
      </c>
    </row>
    <row r="456" spans="2:7" x14ac:dyDescent="0.25">
      <c r="B456" s="1" t="str">
        <f>IF('RAW DATA'!$C458&lt;&gt;"",'RAW DATA'!$C458,"")</f>
        <v/>
      </c>
      <c r="C456" s="1" t="str">
        <f>IF('RAW DATA'!$D458&lt;&gt;"",'RAW DATA'!$D458,"")</f>
        <v/>
      </c>
      <c r="D456" s="1" t="str">
        <f>IF(AND($B455&lt;&gt;"", $B456=""), "TOTAL:", IF($D455="TOTAL:","VESSEL TARGET "&amp;'RAW DATA'!$E$2&amp;":",IF('RAW DATA'!$E456&lt;&gt;"",'RAW DATA'!$E456,"")))</f>
        <v/>
      </c>
      <c r="E456" s="4" t="str">
        <f>IF($D455="TOTAL:",FIXED(ROUND(((SUM($E$4:$E454)/'RAW DATA'!$E$2)*100),1),1)&amp;"%",IF($D456="TOTAL:",SUM($E$4:$E455),IF(SUMIF('RAW DATA'!M:M,'RAW DATA'!B456,'RAW DATA'!H:H)=0,"",SUMIF('RAW DATA'!M:M,'RAW DATA'!B456,'RAW DATA'!H:H))))</f>
        <v/>
      </c>
      <c r="F456" s="4" t="str">
        <f>IF($D455="TOTAL:",FIXED(ROUND(((SUM($F$4:$F454)/'RAW DATA'!$E$2)*100),1),1)&amp;"%",IF($D456="TOTAL:",SUM($F$4:$F455),IF(SUMIF('RAW DATA'!M:M,'RAW DATA'!B456,'RAW DATA'!I:I)=0,"",SUMIF('RAW DATA'!M:M,'RAW DATA'!B456,'RAW DATA'!I:I))))</f>
        <v/>
      </c>
      <c r="G456" s="24" t="str">
        <f t="shared" si="7"/>
        <v/>
      </c>
    </row>
    <row r="457" spans="2:7" x14ac:dyDescent="0.25">
      <c r="B457" s="1" t="str">
        <f>IF('RAW DATA'!$C459&lt;&gt;"",'RAW DATA'!$C459,"")</f>
        <v/>
      </c>
      <c r="C457" s="1" t="str">
        <f>IF('RAW DATA'!$D459&lt;&gt;"",'RAW DATA'!$D459,"")</f>
        <v/>
      </c>
      <c r="D457" s="1" t="str">
        <f>IF(AND($B456&lt;&gt;"", $B457=""), "TOTAL:", IF($D456="TOTAL:","VESSEL TARGET "&amp;'RAW DATA'!$E$2&amp;":",IF('RAW DATA'!$E457&lt;&gt;"",'RAW DATA'!$E457,"")))</f>
        <v/>
      </c>
      <c r="E457" s="4" t="str">
        <f>IF($D456="TOTAL:",FIXED(ROUND(((SUM($E$4:$E455)/'RAW DATA'!$E$2)*100),1),1)&amp;"%",IF($D457="TOTAL:",SUM($E$4:$E456),IF(SUMIF('RAW DATA'!M:M,'RAW DATA'!B457,'RAW DATA'!H:H)=0,"",SUMIF('RAW DATA'!M:M,'RAW DATA'!B457,'RAW DATA'!H:H))))</f>
        <v/>
      </c>
      <c r="F457" s="4" t="str">
        <f>IF($D456="TOTAL:",FIXED(ROUND(((SUM($F$4:$F455)/'RAW DATA'!$E$2)*100),1),1)&amp;"%",IF($D457="TOTAL:",SUM($F$4:$F456),IF(SUMIF('RAW DATA'!M:M,'RAW DATA'!B457,'RAW DATA'!I:I)=0,"",SUMIF('RAW DATA'!M:M,'RAW DATA'!B457,'RAW DATA'!I:I))))</f>
        <v/>
      </c>
      <c r="G457" s="24" t="str">
        <f t="shared" si="7"/>
        <v/>
      </c>
    </row>
    <row r="458" spans="2:7" x14ac:dyDescent="0.25">
      <c r="B458" s="1" t="str">
        <f>IF('RAW DATA'!$C460&lt;&gt;"",'RAW DATA'!$C460,"")</f>
        <v/>
      </c>
      <c r="C458" s="1" t="str">
        <f>IF('RAW DATA'!$D460&lt;&gt;"",'RAW DATA'!$D460,"")</f>
        <v/>
      </c>
      <c r="D458" s="1" t="str">
        <f>IF(AND($B457&lt;&gt;"", $B458=""), "TOTAL:", IF($D457="TOTAL:","VESSEL TARGET "&amp;'RAW DATA'!$E$2&amp;":",IF('RAW DATA'!$E458&lt;&gt;"",'RAW DATA'!$E458,"")))</f>
        <v/>
      </c>
      <c r="E458" s="4" t="str">
        <f>IF($D457="TOTAL:",FIXED(ROUND(((SUM($E$4:$E456)/'RAW DATA'!$E$2)*100),1),1)&amp;"%",IF($D458="TOTAL:",SUM($E$4:$E457),IF(SUMIF('RAW DATA'!M:M,'RAW DATA'!B458,'RAW DATA'!H:H)=0,"",SUMIF('RAW DATA'!M:M,'RAW DATA'!B458,'RAW DATA'!H:H))))</f>
        <v/>
      </c>
      <c r="F458" s="4" t="str">
        <f>IF($D457="TOTAL:",FIXED(ROUND(((SUM($F$4:$F456)/'RAW DATA'!$E$2)*100),1),1)&amp;"%",IF($D458="TOTAL:",SUM($F$4:$F457),IF(SUMIF('RAW DATA'!M:M,'RAW DATA'!B458,'RAW DATA'!I:I)=0,"",SUMIF('RAW DATA'!M:M,'RAW DATA'!B458,'RAW DATA'!I:I))))</f>
        <v/>
      </c>
      <c r="G458" s="24" t="str">
        <f t="shared" si="7"/>
        <v/>
      </c>
    </row>
    <row r="459" spans="2:7" x14ac:dyDescent="0.25">
      <c r="B459" s="1" t="str">
        <f>IF('RAW DATA'!$C461&lt;&gt;"",'RAW DATA'!$C461,"")</f>
        <v/>
      </c>
      <c r="C459" s="1" t="str">
        <f>IF('RAW DATA'!$D461&lt;&gt;"",'RAW DATA'!$D461,"")</f>
        <v/>
      </c>
      <c r="D459" s="1" t="str">
        <f>IF(AND($B458&lt;&gt;"", $B459=""), "TOTAL:", IF($D458="TOTAL:","VESSEL TARGET "&amp;'RAW DATA'!$E$2&amp;":",IF('RAW DATA'!$E459&lt;&gt;"",'RAW DATA'!$E459,"")))</f>
        <v/>
      </c>
      <c r="E459" s="4" t="str">
        <f>IF($D458="TOTAL:",FIXED(ROUND(((SUM($E$4:$E457)/'RAW DATA'!$E$2)*100),1),1)&amp;"%",IF($D459="TOTAL:",SUM($E$4:$E458),IF(SUMIF('RAW DATA'!M:M,'RAW DATA'!B459,'RAW DATA'!H:H)=0,"",SUMIF('RAW DATA'!M:M,'RAW DATA'!B459,'RAW DATA'!H:H))))</f>
        <v/>
      </c>
      <c r="F459" s="4" t="str">
        <f>IF($D458="TOTAL:",FIXED(ROUND(((SUM($F$4:$F457)/'RAW DATA'!$E$2)*100),1),1)&amp;"%",IF($D459="TOTAL:",SUM($F$4:$F458),IF(SUMIF('RAW DATA'!M:M,'RAW DATA'!B459,'RAW DATA'!I:I)=0,"",SUMIF('RAW DATA'!M:M,'RAW DATA'!B459,'RAW DATA'!I:I))))</f>
        <v/>
      </c>
      <c r="G459" s="24" t="str">
        <f t="shared" si="7"/>
        <v/>
      </c>
    </row>
    <row r="460" spans="2:7" x14ac:dyDescent="0.25">
      <c r="B460" s="1" t="str">
        <f>IF('RAW DATA'!$C462&lt;&gt;"",'RAW DATA'!$C462,"")</f>
        <v/>
      </c>
      <c r="C460" s="1" t="str">
        <f>IF('RAW DATA'!$D462&lt;&gt;"",'RAW DATA'!$D462,"")</f>
        <v/>
      </c>
      <c r="D460" s="1" t="str">
        <f>IF(AND($B459&lt;&gt;"", $B460=""), "TOTAL:", IF($D459="TOTAL:","VESSEL TARGET "&amp;'RAW DATA'!$E$2&amp;":",IF('RAW DATA'!$E460&lt;&gt;"",'RAW DATA'!$E460,"")))</f>
        <v/>
      </c>
      <c r="E460" s="4" t="str">
        <f>IF($D459="TOTAL:",FIXED(ROUND(((SUM($E$4:$E458)/'RAW DATA'!$E$2)*100),1),1)&amp;"%",IF($D460="TOTAL:",SUM($E$4:$E459),IF(SUMIF('RAW DATA'!M:M,'RAW DATA'!B460,'RAW DATA'!H:H)=0,"",SUMIF('RAW DATA'!M:M,'RAW DATA'!B460,'RAW DATA'!H:H))))</f>
        <v/>
      </c>
      <c r="F460" s="4" t="str">
        <f>IF($D459="TOTAL:",FIXED(ROUND(((SUM($F$4:$F458)/'RAW DATA'!$E$2)*100),1),1)&amp;"%",IF($D460="TOTAL:",SUM($F$4:$F459),IF(SUMIF('RAW DATA'!M:M,'RAW DATA'!B460,'RAW DATA'!I:I)=0,"",SUMIF('RAW DATA'!M:M,'RAW DATA'!B460,'RAW DATA'!I:I))))</f>
        <v/>
      </c>
      <c r="G460" s="24" t="str">
        <f t="shared" si="7"/>
        <v/>
      </c>
    </row>
    <row r="461" spans="2:7" x14ac:dyDescent="0.25">
      <c r="B461" s="1" t="str">
        <f>IF('RAW DATA'!$C463&lt;&gt;"",'RAW DATA'!$C463,"")</f>
        <v/>
      </c>
      <c r="C461" s="1" t="str">
        <f>IF('RAW DATA'!$D463&lt;&gt;"",'RAW DATA'!$D463,"")</f>
        <v/>
      </c>
      <c r="D461" s="1" t="str">
        <f>IF(AND($B460&lt;&gt;"", $B461=""), "TOTAL:", IF($D460="TOTAL:","VESSEL TARGET "&amp;'RAW DATA'!$E$2&amp;":",IF('RAW DATA'!$E461&lt;&gt;"",'RAW DATA'!$E461,"")))</f>
        <v/>
      </c>
      <c r="E461" s="4" t="str">
        <f>IF($D460="TOTAL:",FIXED(ROUND(((SUM($E$4:$E459)/'RAW DATA'!$E$2)*100),1),1)&amp;"%",IF($D461="TOTAL:",SUM($E$4:$E460),IF(SUMIF('RAW DATA'!M:M,'RAW DATA'!B461,'RAW DATA'!H:H)=0,"",SUMIF('RAW DATA'!M:M,'RAW DATA'!B461,'RAW DATA'!H:H))))</f>
        <v/>
      </c>
      <c r="F461" s="4" t="str">
        <f>IF($D460="TOTAL:",FIXED(ROUND(((SUM($F$4:$F459)/'RAW DATA'!$E$2)*100),1),1)&amp;"%",IF($D461="TOTAL:",SUM($F$4:$F460),IF(SUMIF('RAW DATA'!M:M,'RAW DATA'!B461,'RAW DATA'!I:I)=0,"",SUMIF('RAW DATA'!M:M,'RAW DATA'!B461,'RAW DATA'!I:I))))</f>
        <v/>
      </c>
      <c r="G461" s="24" t="str">
        <f t="shared" si="7"/>
        <v/>
      </c>
    </row>
    <row r="462" spans="2:7" x14ac:dyDescent="0.25">
      <c r="B462" s="1" t="str">
        <f>IF('RAW DATA'!$C464&lt;&gt;"",'RAW DATA'!$C464,"")</f>
        <v/>
      </c>
      <c r="C462" s="1" t="str">
        <f>IF('RAW DATA'!$D464&lt;&gt;"",'RAW DATA'!$D464,"")</f>
        <v/>
      </c>
      <c r="D462" s="1" t="str">
        <f>IF(AND($B461&lt;&gt;"", $B462=""), "TOTAL:", IF($D461="TOTAL:","VESSEL TARGET "&amp;'RAW DATA'!$E$2&amp;":",IF('RAW DATA'!$E462&lt;&gt;"",'RAW DATA'!$E462,"")))</f>
        <v/>
      </c>
      <c r="E462" s="4" t="str">
        <f>IF($D461="TOTAL:",FIXED(ROUND(((SUM($E$4:$E460)/'RAW DATA'!$E$2)*100),1),1)&amp;"%",IF($D462="TOTAL:",SUM($E$4:$E461),IF(SUMIF('RAW DATA'!M:M,'RAW DATA'!B462,'RAW DATA'!H:H)=0,"",SUMIF('RAW DATA'!M:M,'RAW DATA'!B462,'RAW DATA'!H:H))))</f>
        <v/>
      </c>
      <c r="F462" s="4" t="str">
        <f>IF($D461="TOTAL:",FIXED(ROUND(((SUM($F$4:$F460)/'RAW DATA'!$E$2)*100),1),1)&amp;"%",IF($D462="TOTAL:",SUM($F$4:$F461),IF(SUMIF('RAW DATA'!M:M,'RAW DATA'!B462,'RAW DATA'!I:I)=0,"",SUMIF('RAW DATA'!M:M,'RAW DATA'!B462,'RAW DATA'!I:I))))</f>
        <v/>
      </c>
      <c r="G462" s="24" t="str">
        <f t="shared" si="7"/>
        <v/>
      </c>
    </row>
    <row r="463" spans="2:7" x14ac:dyDescent="0.25">
      <c r="B463" s="1" t="str">
        <f>IF('RAW DATA'!$C465&lt;&gt;"",'RAW DATA'!$C465,"")</f>
        <v/>
      </c>
      <c r="C463" s="1" t="str">
        <f>IF('RAW DATA'!$D465&lt;&gt;"",'RAW DATA'!$D465,"")</f>
        <v/>
      </c>
      <c r="D463" s="1" t="str">
        <f>IF(AND($B462&lt;&gt;"", $B463=""), "TOTAL:", IF($D462="TOTAL:","VESSEL TARGET "&amp;'RAW DATA'!$E$2&amp;":",IF('RAW DATA'!$E463&lt;&gt;"",'RAW DATA'!$E463,"")))</f>
        <v/>
      </c>
      <c r="E463" s="4" t="str">
        <f>IF($D462="TOTAL:",FIXED(ROUND(((SUM($E$4:$E461)/'RAW DATA'!$E$2)*100),1),1)&amp;"%",IF($D463="TOTAL:",SUM($E$4:$E462),IF(SUMIF('RAW DATA'!M:M,'RAW DATA'!B463,'RAW DATA'!H:H)=0,"",SUMIF('RAW DATA'!M:M,'RAW DATA'!B463,'RAW DATA'!H:H))))</f>
        <v/>
      </c>
      <c r="F463" s="4" t="str">
        <f>IF($D462="TOTAL:",FIXED(ROUND(((SUM($F$4:$F461)/'RAW DATA'!$E$2)*100),1),1)&amp;"%",IF($D463="TOTAL:",SUM($F$4:$F462),IF(SUMIF('RAW DATA'!M:M,'RAW DATA'!B463,'RAW DATA'!I:I)=0,"",SUMIF('RAW DATA'!M:M,'RAW DATA'!B463,'RAW DATA'!I:I))))</f>
        <v/>
      </c>
      <c r="G463" s="24" t="str">
        <f t="shared" si="7"/>
        <v/>
      </c>
    </row>
    <row r="464" spans="2:7" x14ac:dyDescent="0.25">
      <c r="B464" s="1" t="str">
        <f>IF('RAW DATA'!$C466&lt;&gt;"",'RAW DATA'!$C466,"")</f>
        <v/>
      </c>
      <c r="C464" s="1" t="str">
        <f>IF('RAW DATA'!$D466&lt;&gt;"",'RAW DATA'!$D466,"")</f>
        <v/>
      </c>
      <c r="D464" s="1" t="str">
        <f>IF(AND($B463&lt;&gt;"", $B464=""), "TOTAL:", IF($D463="TOTAL:","VESSEL TARGET "&amp;'RAW DATA'!$E$2&amp;":",IF('RAW DATA'!$E464&lt;&gt;"",'RAW DATA'!$E464,"")))</f>
        <v/>
      </c>
      <c r="E464" s="4" t="str">
        <f>IF($D463="TOTAL:",FIXED(ROUND(((SUM($E$4:$E462)/'RAW DATA'!$E$2)*100),1),1)&amp;"%",IF($D464="TOTAL:",SUM($E$4:$E463),IF(SUMIF('RAW DATA'!M:M,'RAW DATA'!B464,'RAW DATA'!H:H)=0,"",SUMIF('RAW DATA'!M:M,'RAW DATA'!B464,'RAW DATA'!H:H))))</f>
        <v/>
      </c>
      <c r="F464" s="4" t="str">
        <f>IF($D463="TOTAL:",FIXED(ROUND(((SUM($F$4:$F462)/'RAW DATA'!$E$2)*100),1),1)&amp;"%",IF($D464="TOTAL:",SUM($F$4:$F463),IF(SUMIF('RAW DATA'!M:M,'RAW DATA'!B464,'RAW DATA'!I:I)=0,"",SUMIF('RAW DATA'!M:M,'RAW DATA'!B464,'RAW DATA'!I:I))))</f>
        <v/>
      </c>
      <c r="G464" s="24" t="str">
        <f t="shared" si="7"/>
        <v/>
      </c>
    </row>
    <row r="465" spans="2:7" x14ac:dyDescent="0.25">
      <c r="B465" s="1" t="str">
        <f>IF('RAW DATA'!$C467&lt;&gt;"",'RAW DATA'!$C467,"")</f>
        <v/>
      </c>
      <c r="C465" s="1" t="str">
        <f>IF('RAW DATA'!$D467&lt;&gt;"",'RAW DATA'!$D467,"")</f>
        <v/>
      </c>
      <c r="D465" s="1" t="str">
        <f>IF(AND($B464&lt;&gt;"", $B465=""), "TOTAL:", IF($D464="TOTAL:","VESSEL TARGET "&amp;'RAW DATA'!$E$2&amp;":",IF('RAW DATA'!$E465&lt;&gt;"",'RAW DATA'!$E465,"")))</f>
        <v/>
      </c>
      <c r="E465" s="4" t="str">
        <f>IF($D464="TOTAL:",FIXED(ROUND(((SUM($E$4:$E463)/'RAW DATA'!$E$2)*100),1),1)&amp;"%",IF($D465="TOTAL:",SUM($E$4:$E464),IF(SUMIF('RAW DATA'!M:M,'RAW DATA'!B465,'RAW DATA'!H:H)=0,"",SUMIF('RAW DATA'!M:M,'RAW DATA'!B465,'RAW DATA'!H:H))))</f>
        <v/>
      </c>
      <c r="F465" s="4" t="str">
        <f>IF($D464="TOTAL:",FIXED(ROUND(((SUM($F$4:$F463)/'RAW DATA'!$E$2)*100),1),1)&amp;"%",IF($D465="TOTAL:",SUM($F$4:$F464),IF(SUMIF('RAW DATA'!M:M,'RAW DATA'!B465,'RAW DATA'!I:I)=0,"",SUMIF('RAW DATA'!M:M,'RAW DATA'!B465,'RAW DATA'!I:I))))</f>
        <v/>
      </c>
      <c r="G465" s="24" t="str">
        <f t="shared" si="7"/>
        <v/>
      </c>
    </row>
    <row r="466" spans="2:7" x14ac:dyDescent="0.25">
      <c r="B466" s="1" t="str">
        <f>IF('RAW DATA'!$C468&lt;&gt;"",'RAW DATA'!$C468,"")</f>
        <v/>
      </c>
      <c r="C466" s="1" t="str">
        <f>IF('RAW DATA'!$D468&lt;&gt;"",'RAW DATA'!$D468,"")</f>
        <v/>
      </c>
      <c r="D466" s="1" t="str">
        <f>IF(AND($B465&lt;&gt;"", $B466=""), "TOTAL:", IF($D465="TOTAL:","VESSEL TARGET "&amp;'RAW DATA'!$E$2&amp;":",IF('RAW DATA'!$E466&lt;&gt;"",'RAW DATA'!$E466,"")))</f>
        <v/>
      </c>
      <c r="E466" s="4" t="str">
        <f>IF($D465="TOTAL:",FIXED(ROUND(((SUM($E$4:$E464)/'RAW DATA'!$E$2)*100),1),1)&amp;"%",IF($D466="TOTAL:",SUM($E$4:$E465),IF(SUMIF('RAW DATA'!M:M,'RAW DATA'!B466,'RAW DATA'!H:H)=0,"",SUMIF('RAW DATA'!M:M,'RAW DATA'!B466,'RAW DATA'!H:H))))</f>
        <v/>
      </c>
      <c r="F466" s="4" t="str">
        <f>IF($D465="TOTAL:",FIXED(ROUND(((SUM($F$4:$F464)/'RAW DATA'!$E$2)*100),1),1)&amp;"%",IF($D466="TOTAL:",SUM($F$4:$F465),IF(SUMIF('RAW DATA'!M:M,'RAW DATA'!B466,'RAW DATA'!I:I)=0,"",SUMIF('RAW DATA'!M:M,'RAW DATA'!B466,'RAW DATA'!I:I))))</f>
        <v/>
      </c>
      <c r="G466" s="24" t="str">
        <f t="shared" si="7"/>
        <v/>
      </c>
    </row>
    <row r="467" spans="2:7" x14ac:dyDescent="0.25">
      <c r="B467" s="1" t="str">
        <f>IF('RAW DATA'!$C469&lt;&gt;"",'RAW DATA'!$C469,"")</f>
        <v/>
      </c>
      <c r="C467" s="1" t="str">
        <f>IF('RAW DATA'!$D469&lt;&gt;"",'RAW DATA'!$D469,"")</f>
        <v/>
      </c>
      <c r="D467" s="1" t="str">
        <f>IF(AND($B466&lt;&gt;"", $B467=""), "TOTAL:", IF($D466="TOTAL:","VESSEL TARGET "&amp;'RAW DATA'!$E$2&amp;":",IF('RAW DATA'!$E467&lt;&gt;"",'RAW DATA'!$E467,"")))</f>
        <v/>
      </c>
      <c r="E467" s="4" t="str">
        <f>IF($D466="TOTAL:",FIXED(ROUND(((SUM($E$4:$E465)/'RAW DATA'!$E$2)*100),1),1)&amp;"%",IF($D467="TOTAL:",SUM($E$4:$E466),IF(SUMIF('RAW DATA'!M:M,'RAW DATA'!B467,'RAW DATA'!H:H)=0,"",SUMIF('RAW DATA'!M:M,'RAW DATA'!B467,'RAW DATA'!H:H))))</f>
        <v/>
      </c>
      <c r="F467" s="4" t="str">
        <f>IF($D466="TOTAL:",FIXED(ROUND(((SUM($F$4:$F465)/'RAW DATA'!$E$2)*100),1),1)&amp;"%",IF($D467="TOTAL:",SUM($F$4:$F466),IF(SUMIF('RAW DATA'!M:M,'RAW DATA'!B467,'RAW DATA'!I:I)=0,"",SUMIF('RAW DATA'!M:M,'RAW DATA'!B467,'RAW DATA'!I:I))))</f>
        <v/>
      </c>
      <c r="G467" s="24" t="str">
        <f t="shared" si="7"/>
        <v/>
      </c>
    </row>
    <row r="468" spans="2:7" x14ac:dyDescent="0.25">
      <c r="B468" s="1" t="str">
        <f>IF('RAW DATA'!$C470&lt;&gt;"",'RAW DATA'!$C470,"")</f>
        <v/>
      </c>
      <c r="C468" s="1" t="str">
        <f>IF('RAW DATA'!$D470&lt;&gt;"",'RAW DATA'!$D470,"")</f>
        <v/>
      </c>
      <c r="D468" s="1" t="str">
        <f>IF(AND($B467&lt;&gt;"", $B468=""), "TOTAL:", IF($D467="TOTAL:","VESSEL TARGET "&amp;'RAW DATA'!$E$2&amp;":",IF('RAW DATA'!$E468&lt;&gt;"",'RAW DATA'!$E468,"")))</f>
        <v/>
      </c>
      <c r="E468" s="4" t="str">
        <f>IF($D467="TOTAL:",FIXED(ROUND(((SUM($E$4:$E466)/'RAW DATA'!$E$2)*100),1),1)&amp;"%",IF($D468="TOTAL:",SUM($E$4:$E467),IF(SUMIF('RAW DATA'!M:M,'RAW DATA'!B468,'RAW DATA'!H:H)=0,"",SUMIF('RAW DATA'!M:M,'RAW DATA'!B468,'RAW DATA'!H:H))))</f>
        <v/>
      </c>
      <c r="F468" s="4" t="str">
        <f>IF($D467="TOTAL:",FIXED(ROUND(((SUM($F$4:$F466)/'RAW DATA'!$E$2)*100),1),1)&amp;"%",IF($D468="TOTAL:",SUM($F$4:$F467),IF(SUMIF('RAW DATA'!M:M,'RAW DATA'!B468,'RAW DATA'!I:I)=0,"",SUMIF('RAW DATA'!M:M,'RAW DATA'!B468,'RAW DATA'!I:I))))</f>
        <v/>
      </c>
      <c r="G468" s="24" t="str">
        <f t="shared" si="7"/>
        <v/>
      </c>
    </row>
    <row r="469" spans="2:7" x14ac:dyDescent="0.25">
      <c r="B469" s="1" t="str">
        <f>IF('RAW DATA'!$C471&lt;&gt;"",'RAW DATA'!$C471,"")</f>
        <v/>
      </c>
      <c r="C469" s="1" t="str">
        <f>IF('RAW DATA'!$D471&lt;&gt;"",'RAW DATA'!$D471,"")</f>
        <v/>
      </c>
      <c r="D469" s="1" t="str">
        <f>IF(AND($B468&lt;&gt;"", $B469=""), "TOTAL:", IF($D468="TOTAL:","VESSEL TARGET "&amp;'RAW DATA'!$E$2&amp;":",IF('RAW DATA'!$E469&lt;&gt;"",'RAW DATA'!$E469,"")))</f>
        <v/>
      </c>
      <c r="E469" s="4" t="str">
        <f>IF($D468="TOTAL:",FIXED(ROUND(((SUM($E$4:$E467)/'RAW DATA'!$E$2)*100),1),1)&amp;"%",IF($D469="TOTAL:",SUM($E$4:$E468),IF(SUMIF('RAW DATA'!M:M,'RAW DATA'!B469,'RAW DATA'!H:H)=0,"",SUMIF('RAW DATA'!M:M,'RAW DATA'!B469,'RAW DATA'!H:H))))</f>
        <v/>
      </c>
      <c r="F469" s="4" t="str">
        <f>IF($D468="TOTAL:",FIXED(ROUND(((SUM($F$4:$F467)/'RAW DATA'!$E$2)*100),1),1)&amp;"%",IF($D469="TOTAL:",SUM($F$4:$F468),IF(SUMIF('RAW DATA'!M:M,'RAW DATA'!B469,'RAW DATA'!I:I)=0,"",SUMIF('RAW DATA'!M:M,'RAW DATA'!B469,'RAW DATA'!I:I))))</f>
        <v/>
      </c>
      <c r="G469" s="24" t="str">
        <f t="shared" si="7"/>
        <v/>
      </c>
    </row>
    <row r="470" spans="2:7" x14ac:dyDescent="0.25">
      <c r="B470" s="1" t="str">
        <f>IF('RAW DATA'!$C472&lt;&gt;"",'RAW DATA'!$C472,"")</f>
        <v/>
      </c>
      <c r="C470" s="1" t="str">
        <f>IF('RAW DATA'!$D472&lt;&gt;"",'RAW DATA'!$D472,"")</f>
        <v/>
      </c>
      <c r="D470" s="1" t="str">
        <f>IF(AND($B469&lt;&gt;"", $B470=""), "TOTAL:", IF($D469="TOTAL:","VESSEL TARGET "&amp;'RAW DATA'!$E$2&amp;":",IF('RAW DATA'!$E470&lt;&gt;"",'RAW DATA'!$E470,"")))</f>
        <v/>
      </c>
      <c r="E470" s="4" t="str">
        <f>IF($D469="TOTAL:",FIXED(ROUND(((SUM($E$4:$E468)/'RAW DATA'!$E$2)*100),1),1)&amp;"%",IF($D470="TOTAL:",SUM($E$4:$E469),IF(SUMIF('RAW DATA'!M:M,'RAW DATA'!B470,'RAW DATA'!H:H)=0,"",SUMIF('RAW DATA'!M:M,'RAW DATA'!B470,'RAW DATA'!H:H))))</f>
        <v/>
      </c>
      <c r="F470" s="4" t="str">
        <f>IF($D469="TOTAL:",FIXED(ROUND(((SUM($F$4:$F468)/'RAW DATA'!$E$2)*100),1),1)&amp;"%",IF($D470="TOTAL:",SUM($F$4:$F469),IF(SUMIF('RAW DATA'!M:M,'RAW DATA'!B470,'RAW DATA'!I:I)=0,"",SUMIF('RAW DATA'!M:M,'RAW DATA'!B470,'RAW DATA'!I:I))))</f>
        <v/>
      </c>
      <c r="G470" s="24" t="str">
        <f t="shared" si="7"/>
        <v/>
      </c>
    </row>
    <row r="471" spans="2:7" x14ac:dyDescent="0.25">
      <c r="B471" s="1" t="str">
        <f>IF('RAW DATA'!$C473&lt;&gt;"",'RAW DATA'!$C473,"")</f>
        <v/>
      </c>
      <c r="C471" s="1" t="str">
        <f>IF('RAW DATA'!$D473&lt;&gt;"",'RAW DATA'!$D473,"")</f>
        <v/>
      </c>
      <c r="D471" s="1" t="str">
        <f>IF(AND($B470&lt;&gt;"", $B471=""), "TOTAL:", IF($D470="TOTAL:","VESSEL TARGET "&amp;'RAW DATA'!$E$2&amp;":",IF('RAW DATA'!$E471&lt;&gt;"",'RAW DATA'!$E471,"")))</f>
        <v/>
      </c>
      <c r="E471" s="4" t="str">
        <f>IF($D470="TOTAL:",FIXED(ROUND(((SUM($E$4:$E469)/'RAW DATA'!$E$2)*100),1),1)&amp;"%",IF($D471="TOTAL:",SUM($E$4:$E470),IF(SUMIF('RAW DATA'!M:M,'RAW DATA'!B471,'RAW DATA'!H:H)=0,"",SUMIF('RAW DATA'!M:M,'RAW DATA'!B471,'RAW DATA'!H:H))))</f>
        <v/>
      </c>
      <c r="F471" s="4" t="str">
        <f>IF($D470="TOTAL:",FIXED(ROUND(((SUM($F$4:$F469)/'RAW DATA'!$E$2)*100),1),1)&amp;"%",IF($D471="TOTAL:",SUM($F$4:$F470),IF(SUMIF('RAW DATA'!M:M,'RAW DATA'!B471,'RAW DATA'!I:I)=0,"",SUMIF('RAW DATA'!M:M,'RAW DATA'!B471,'RAW DATA'!I:I))))</f>
        <v/>
      </c>
      <c r="G471" s="24" t="str">
        <f t="shared" si="7"/>
        <v/>
      </c>
    </row>
    <row r="472" spans="2:7" x14ac:dyDescent="0.25">
      <c r="B472" s="1" t="str">
        <f>IF('RAW DATA'!$C474&lt;&gt;"",'RAW DATA'!$C474,"")</f>
        <v/>
      </c>
      <c r="C472" s="1" t="str">
        <f>IF('RAW DATA'!$D474&lt;&gt;"",'RAW DATA'!$D474,"")</f>
        <v/>
      </c>
      <c r="D472" s="1" t="str">
        <f>IF(AND($B471&lt;&gt;"", $B472=""), "TOTAL:", IF($D471="TOTAL:","VESSEL TARGET "&amp;'RAW DATA'!$E$2&amp;":",IF('RAW DATA'!$E472&lt;&gt;"",'RAW DATA'!$E472,"")))</f>
        <v/>
      </c>
      <c r="E472" s="4" t="str">
        <f>IF($D471="TOTAL:",FIXED(ROUND(((SUM($E$4:$E470)/'RAW DATA'!$E$2)*100),1),1)&amp;"%",IF($D472="TOTAL:",SUM($E$4:$E471),IF(SUMIF('RAW DATA'!M:M,'RAW DATA'!B472,'RAW DATA'!H:H)=0,"",SUMIF('RAW DATA'!M:M,'RAW DATA'!B472,'RAW DATA'!H:H))))</f>
        <v/>
      </c>
      <c r="F472" s="4" t="str">
        <f>IF($D471="TOTAL:",FIXED(ROUND(((SUM($F$4:$F470)/'RAW DATA'!$E$2)*100),1),1)&amp;"%",IF($D472="TOTAL:",SUM($F$4:$F471),IF(SUMIF('RAW DATA'!M:M,'RAW DATA'!B472,'RAW DATA'!I:I)=0,"",SUMIF('RAW DATA'!M:M,'RAW DATA'!B472,'RAW DATA'!I:I))))</f>
        <v/>
      </c>
      <c r="G472" s="24" t="str">
        <f t="shared" si="7"/>
        <v/>
      </c>
    </row>
    <row r="473" spans="2:7" x14ac:dyDescent="0.25">
      <c r="B473" s="1" t="str">
        <f>IF('RAW DATA'!$C475&lt;&gt;"",'RAW DATA'!$C475,"")</f>
        <v/>
      </c>
      <c r="C473" s="1" t="str">
        <f>IF('RAW DATA'!$D475&lt;&gt;"",'RAW DATA'!$D475,"")</f>
        <v/>
      </c>
      <c r="D473" s="1" t="str">
        <f>IF(AND($B472&lt;&gt;"", $B473=""), "TOTAL:", IF($D472="TOTAL:","VESSEL TARGET "&amp;'RAW DATA'!$E$2&amp;":",IF('RAW DATA'!$E473&lt;&gt;"",'RAW DATA'!$E473,"")))</f>
        <v/>
      </c>
      <c r="E473" s="4" t="str">
        <f>IF($D472="TOTAL:",FIXED(ROUND(((SUM($E$4:$E471)/'RAW DATA'!$E$2)*100),1),1)&amp;"%",IF($D473="TOTAL:",SUM($E$4:$E472),IF(SUMIF('RAW DATA'!M:M,'RAW DATA'!B473,'RAW DATA'!H:H)=0,"",SUMIF('RAW DATA'!M:M,'RAW DATA'!B473,'RAW DATA'!H:H))))</f>
        <v/>
      </c>
      <c r="F473" s="4" t="str">
        <f>IF($D472="TOTAL:",FIXED(ROUND(((SUM($F$4:$F471)/'RAW DATA'!$E$2)*100),1),1)&amp;"%",IF($D473="TOTAL:",SUM($F$4:$F472),IF(SUMIF('RAW DATA'!M:M,'RAW DATA'!B473,'RAW DATA'!I:I)=0,"",SUMIF('RAW DATA'!M:M,'RAW DATA'!B473,'RAW DATA'!I:I))))</f>
        <v/>
      </c>
      <c r="G473" s="24" t="str">
        <f t="shared" si="7"/>
        <v/>
      </c>
    </row>
    <row r="474" spans="2:7" x14ac:dyDescent="0.25">
      <c r="B474" s="1" t="str">
        <f>IF('RAW DATA'!$C476&lt;&gt;"",'RAW DATA'!$C476,"")</f>
        <v/>
      </c>
      <c r="C474" s="1" t="str">
        <f>IF('RAW DATA'!$D476&lt;&gt;"",'RAW DATA'!$D476,"")</f>
        <v/>
      </c>
      <c r="D474" s="1" t="str">
        <f>IF(AND($B473&lt;&gt;"", $B474=""), "TOTAL:", IF($D473="TOTAL:","VESSEL TARGET "&amp;'RAW DATA'!$E$2&amp;":",IF('RAW DATA'!$E474&lt;&gt;"",'RAW DATA'!$E474,"")))</f>
        <v/>
      </c>
      <c r="E474" s="4" t="str">
        <f>IF($D473="TOTAL:",FIXED(ROUND(((SUM($E$4:$E472)/'RAW DATA'!$E$2)*100),1),1)&amp;"%",IF($D474="TOTAL:",SUM($E$4:$E473),IF(SUMIF('RAW DATA'!M:M,'RAW DATA'!B474,'RAW DATA'!H:H)=0,"",SUMIF('RAW DATA'!M:M,'RAW DATA'!B474,'RAW DATA'!H:H))))</f>
        <v/>
      </c>
      <c r="F474" s="4" t="str">
        <f>IF($D473="TOTAL:",FIXED(ROUND(((SUM($F$4:$F472)/'RAW DATA'!$E$2)*100),1),1)&amp;"%",IF($D474="TOTAL:",SUM($F$4:$F473),IF(SUMIF('RAW DATA'!M:M,'RAW DATA'!B474,'RAW DATA'!I:I)=0,"",SUMIF('RAW DATA'!M:M,'RAW DATA'!B474,'RAW DATA'!I:I))))</f>
        <v/>
      </c>
      <c r="G474" s="24" t="str">
        <f t="shared" si="7"/>
        <v/>
      </c>
    </row>
    <row r="475" spans="2:7" x14ac:dyDescent="0.25">
      <c r="B475" s="1" t="str">
        <f>IF('RAW DATA'!$C477&lt;&gt;"",'RAW DATA'!$C477,"")</f>
        <v/>
      </c>
      <c r="C475" s="1" t="str">
        <f>IF('RAW DATA'!$D477&lt;&gt;"",'RAW DATA'!$D477,"")</f>
        <v/>
      </c>
      <c r="D475" s="1" t="str">
        <f>IF(AND($B474&lt;&gt;"", $B475=""), "TOTAL:", IF($D474="TOTAL:","VESSEL TARGET "&amp;'RAW DATA'!$E$2&amp;":",IF('RAW DATA'!$E475&lt;&gt;"",'RAW DATA'!$E475,"")))</f>
        <v/>
      </c>
      <c r="E475" s="4" t="str">
        <f>IF($D474="TOTAL:",FIXED(ROUND(((SUM($E$4:$E473)/'RAW DATA'!$E$2)*100),1),1)&amp;"%",IF($D475="TOTAL:",SUM($E$4:$E474),IF(SUMIF('RAW DATA'!M:M,'RAW DATA'!B475,'RAW DATA'!H:H)=0,"",SUMIF('RAW DATA'!M:M,'RAW DATA'!B475,'RAW DATA'!H:H))))</f>
        <v/>
      </c>
      <c r="F475" s="4" t="str">
        <f>IF($D474="TOTAL:",FIXED(ROUND(((SUM($F$4:$F473)/'RAW DATA'!$E$2)*100),1),1)&amp;"%",IF($D475="TOTAL:",SUM($F$4:$F474),IF(SUMIF('RAW DATA'!M:M,'RAW DATA'!B475,'RAW DATA'!I:I)=0,"",SUMIF('RAW DATA'!M:M,'RAW DATA'!B475,'RAW DATA'!I:I))))</f>
        <v/>
      </c>
      <c r="G475" s="24" t="str">
        <f t="shared" si="7"/>
        <v/>
      </c>
    </row>
    <row r="476" spans="2:7" x14ac:dyDescent="0.25">
      <c r="B476" s="1" t="str">
        <f>IF('RAW DATA'!$C478&lt;&gt;"",'RAW DATA'!$C478,"")</f>
        <v/>
      </c>
      <c r="C476" s="1" t="str">
        <f>IF('RAW DATA'!$D478&lt;&gt;"",'RAW DATA'!$D478,"")</f>
        <v/>
      </c>
      <c r="D476" s="1" t="str">
        <f>IF(AND($B475&lt;&gt;"", $B476=""), "TOTAL:", IF($D475="TOTAL:","VESSEL TARGET "&amp;'RAW DATA'!$E$2&amp;":",IF('RAW DATA'!$E476&lt;&gt;"",'RAW DATA'!$E476,"")))</f>
        <v/>
      </c>
      <c r="E476" s="4" t="str">
        <f>IF($D475="TOTAL:",FIXED(ROUND(((SUM($E$4:$E474)/'RAW DATA'!$E$2)*100),1),1)&amp;"%",IF($D476="TOTAL:",SUM($E$4:$E475),IF(SUMIF('RAW DATA'!M:M,'RAW DATA'!B476,'RAW DATA'!H:H)=0,"",SUMIF('RAW DATA'!M:M,'RAW DATA'!B476,'RAW DATA'!H:H))))</f>
        <v/>
      </c>
      <c r="F476" s="4" t="str">
        <f>IF($D475="TOTAL:",FIXED(ROUND(((SUM($F$4:$F474)/'RAW DATA'!$E$2)*100),1),1)&amp;"%",IF($D476="TOTAL:",SUM($F$4:$F475),IF(SUMIF('RAW DATA'!M:M,'RAW DATA'!B476,'RAW DATA'!I:I)=0,"",SUMIF('RAW DATA'!M:M,'RAW DATA'!B476,'RAW DATA'!I:I))))</f>
        <v/>
      </c>
      <c r="G476" s="24" t="str">
        <f t="shared" si="7"/>
        <v/>
      </c>
    </row>
    <row r="477" spans="2:7" x14ac:dyDescent="0.25">
      <c r="B477" s="1" t="str">
        <f>IF('RAW DATA'!$C479&lt;&gt;"",'RAW DATA'!$C479,"")</f>
        <v/>
      </c>
      <c r="C477" s="1" t="str">
        <f>IF('RAW DATA'!$D479&lt;&gt;"",'RAW DATA'!$D479,"")</f>
        <v/>
      </c>
      <c r="D477" s="1" t="str">
        <f>IF(AND($B476&lt;&gt;"", $B477=""), "TOTAL:", IF($D476="TOTAL:","VESSEL TARGET "&amp;'RAW DATA'!$E$2&amp;":",IF('RAW DATA'!$E477&lt;&gt;"",'RAW DATA'!$E477,"")))</f>
        <v/>
      </c>
      <c r="E477" s="4" t="str">
        <f>IF($D476="TOTAL:",FIXED(ROUND(((SUM($E$4:$E475)/'RAW DATA'!$E$2)*100),1),1)&amp;"%",IF($D477="TOTAL:",SUM($E$4:$E476),IF(SUMIF('RAW DATA'!M:M,'RAW DATA'!B477,'RAW DATA'!H:H)=0,"",SUMIF('RAW DATA'!M:M,'RAW DATA'!B477,'RAW DATA'!H:H))))</f>
        <v/>
      </c>
      <c r="F477" s="4" t="str">
        <f>IF($D476="TOTAL:",FIXED(ROUND(((SUM($F$4:$F475)/'RAW DATA'!$E$2)*100),1),1)&amp;"%",IF($D477="TOTAL:",SUM($F$4:$F476),IF(SUMIF('RAW DATA'!M:M,'RAW DATA'!B477,'RAW DATA'!I:I)=0,"",SUMIF('RAW DATA'!M:M,'RAW DATA'!B477,'RAW DATA'!I:I))))</f>
        <v/>
      </c>
      <c r="G477" s="24" t="str">
        <f t="shared" si="7"/>
        <v/>
      </c>
    </row>
    <row r="478" spans="2:7" x14ac:dyDescent="0.25">
      <c r="B478" s="1" t="str">
        <f>IF('RAW DATA'!$C480&lt;&gt;"",'RAW DATA'!$C480,"")</f>
        <v/>
      </c>
      <c r="C478" s="1" t="str">
        <f>IF('RAW DATA'!$D480&lt;&gt;"",'RAW DATA'!$D480,"")</f>
        <v/>
      </c>
      <c r="D478" s="1" t="str">
        <f>IF(AND($B477&lt;&gt;"", $B478=""), "TOTAL:", IF($D477="TOTAL:","VESSEL TARGET "&amp;'RAW DATA'!$E$2&amp;":",IF('RAW DATA'!$E478&lt;&gt;"",'RAW DATA'!$E478,"")))</f>
        <v/>
      </c>
      <c r="E478" s="4" t="str">
        <f>IF($D477="TOTAL:",FIXED(ROUND(((SUM($E$4:$E476)/'RAW DATA'!$E$2)*100),1),1)&amp;"%",IF($D478="TOTAL:",SUM($E$4:$E477),IF(SUMIF('RAW DATA'!M:M,'RAW DATA'!B478,'RAW DATA'!H:H)=0,"",SUMIF('RAW DATA'!M:M,'RAW DATA'!B478,'RAW DATA'!H:H))))</f>
        <v/>
      </c>
      <c r="F478" s="4" t="str">
        <f>IF($D477="TOTAL:",FIXED(ROUND(((SUM($F$4:$F476)/'RAW DATA'!$E$2)*100),1),1)&amp;"%",IF($D478="TOTAL:",SUM($F$4:$F477),IF(SUMIF('RAW DATA'!M:M,'RAW DATA'!B478,'RAW DATA'!I:I)=0,"",SUMIF('RAW DATA'!M:M,'RAW DATA'!B478,'RAW DATA'!I:I))))</f>
        <v/>
      </c>
      <c r="G478" s="24" t="str">
        <f t="shared" si="7"/>
        <v/>
      </c>
    </row>
    <row r="479" spans="2:7" x14ac:dyDescent="0.25">
      <c r="B479" s="1" t="str">
        <f>IF('RAW DATA'!$C481&lt;&gt;"",'RAW DATA'!$C481,"")</f>
        <v/>
      </c>
      <c r="C479" s="1" t="str">
        <f>IF('RAW DATA'!$D481&lt;&gt;"",'RAW DATA'!$D481,"")</f>
        <v/>
      </c>
      <c r="D479" s="1" t="str">
        <f>IF(AND($B478&lt;&gt;"", $B479=""), "TOTAL:", IF($D478="TOTAL:","VESSEL TARGET "&amp;'RAW DATA'!$E$2&amp;":",IF('RAW DATA'!$E479&lt;&gt;"",'RAW DATA'!$E479,"")))</f>
        <v/>
      </c>
      <c r="E479" s="4" t="str">
        <f>IF($D478="TOTAL:",FIXED(ROUND(((SUM($E$4:$E477)/'RAW DATA'!$E$2)*100),1),1)&amp;"%",IF($D479="TOTAL:",SUM($E$4:$E478),IF(SUMIF('RAW DATA'!M:M,'RAW DATA'!B479,'RAW DATA'!H:H)=0,"",SUMIF('RAW DATA'!M:M,'RAW DATA'!B479,'RAW DATA'!H:H))))</f>
        <v/>
      </c>
      <c r="F479" s="4" t="str">
        <f>IF($D478="TOTAL:",FIXED(ROUND(((SUM($F$4:$F477)/'RAW DATA'!$E$2)*100),1),1)&amp;"%",IF($D479="TOTAL:",SUM($F$4:$F478),IF(SUMIF('RAW DATA'!M:M,'RAW DATA'!B479,'RAW DATA'!I:I)=0,"",SUMIF('RAW DATA'!M:M,'RAW DATA'!B479,'RAW DATA'!I:I))))</f>
        <v/>
      </c>
      <c r="G479" s="24" t="str">
        <f t="shared" si="7"/>
        <v/>
      </c>
    </row>
    <row r="480" spans="2:7" x14ac:dyDescent="0.25">
      <c r="B480" s="1" t="str">
        <f>IF('RAW DATA'!$C482&lt;&gt;"",'RAW DATA'!$C482,"")</f>
        <v/>
      </c>
      <c r="C480" s="1" t="str">
        <f>IF('RAW DATA'!$D482&lt;&gt;"",'RAW DATA'!$D482,"")</f>
        <v/>
      </c>
      <c r="D480" s="1" t="str">
        <f>IF(AND($B479&lt;&gt;"", $B480=""), "TOTAL:", IF($D479="TOTAL:","VESSEL TARGET "&amp;'RAW DATA'!$E$2&amp;":",IF('RAW DATA'!$E480&lt;&gt;"",'RAW DATA'!$E480,"")))</f>
        <v/>
      </c>
      <c r="E480" s="4" t="str">
        <f>IF($D479="TOTAL:",FIXED(ROUND(((SUM($E$4:$E478)/'RAW DATA'!$E$2)*100),1),1)&amp;"%",IF($D480="TOTAL:",SUM($E$4:$E479),IF(SUMIF('RAW DATA'!M:M,'RAW DATA'!B480,'RAW DATA'!H:H)=0,"",SUMIF('RAW DATA'!M:M,'RAW DATA'!B480,'RAW DATA'!H:H))))</f>
        <v/>
      </c>
      <c r="F480" s="4" t="str">
        <f>IF($D479="TOTAL:",FIXED(ROUND(((SUM($F$4:$F478)/'RAW DATA'!$E$2)*100),1),1)&amp;"%",IF($D480="TOTAL:",SUM($F$4:$F479),IF(SUMIF('RAW DATA'!M:M,'RAW DATA'!B480,'RAW DATA'!I:I)=0,"",SUMIF('RAW DATA'!M:M,'RAW DATA'!B480,'RAW DATA'!I:I))))</f>
        <v/>
      </c>
      <c r="G480" s="24" t="str">
        <f t="shared" si="7"/>
        <v/>
      </c>
    </row>
    <row r="481" spans="2:7" x14ac:dyDescent="0.25">
      <c r="B481" s="1" t="str">
        <f>IF('RAW DATA'!$C483&lt;&gt;"",'RAW DATA'!$C483,"")</f>
        <v/>
      </c>
      <c r="C481" s="1" t="str">
        <f>IF('RAW DATA'!$D483&lt;&gt;"",'RAW DATA'!$D483,"")</f>
        <v/>
      </c>
      <c r="D481" s="1" t="str">
        <f>IF(AND($B480&lt;&gt;"", $B481=""), "TOTAL:", IF($D480="TOTAL:","VESSEL TARGET "&amp;'RAW DATA'!$E$2&amp;":",IF('RAW DATA'!$E481&lt;&gt;"",'RAW DATA'!$E481,"")))</f>
        <v/>
      </c>
      <c r="E481" s="4" t="str">
        <f>IF($D480="TOTAL:",FIXED(ROUND(((SUM($E$4:$E479)/'RAW DATA'!$E$2)*100),1),1)&amp;"%",IF($D481="TOTAL:",SUM($E$4:$E480),IF(SUMIF('RAW DATA'!M:M,'RAW DATA'!B481,'RAW DATA'!H:H)=0,"",SUMIF('RAW DATA'!M:M,'RAW DATA'!B481,'RAW DATA'!H:H))))</f>
        <v/>
      </c>
      <c r="F481" s="4" t="str">
        <f>IF($D480="TOTAL:",FIXED(ROUND(((SUM($F$4:$F479)/'RAW DATA'!$E$2)*100),1),1)&amp;"%",IF($D481="TOTAL:",SUM($F$4:$F480),IF(SUMIF('RAW DATA'!M:M,'RAW DATA'!B481,'RAW DATA'!I:I)=0,"",SUMIF('RAW DATA'!M:M,'RAW DATA'!B481,'RAW DATA'!I:I))))</f>
        <v/>
      </c>
      <c r="G481" s="24" t="str">
        <f t="shared" si="7"/>
        <v/>
      </c>
    </row>
    <row r="482" spans="2:7" x14ac:dyDescent="0.25">
      <c r="B482" s="1" t="str">
        <f>IF('RAW DATA'!$C484&lt;&gt;"",'RAW DATA'!$C484,"")</f>
        <v/>
      </c>
      <c r="C482" s="1" t="str">
        <f>IF('RAW DATA'!$D484&lt;&gt;"",'RAW DATA'!$D484,"")</f>
        <v/>
      </c>
      <c r="D482" s="1" t="str">
        <f>IF(AND($B481&lt;&gt;"", $B482=""), "TOTAL:", IF($D481="TOTAL:","VESSEL TARGET "&amp;'RAW DATA'!$E$2&amp;":",IF('RAW DATA'!$E482&lt;&gt;"",'RAW DATA'!$E482,"")))</f>
        <v/>
      </c>
      <c r="E482" s="4" t="str">
        <f>IF($D481="TOTAL:",FIXED(ROUND(((SUM($E$4:$E480)/'RAW DATA'!$E$2)*100),1),1)&amp;"%",IF($D482="TOTAL:",SUM($E$4:$E481),IF(SUMIF('RAW DATA'!M:M,'RAW DATA'!B482,'RAW DATA'!H:H)=0,"",SUMIF('RAW DATA'!M:M,'RAW DATA'!B482,'RAW DATA'!H:H))))</f>
        <v/>
      </c>
      <c r="F482" s="4" t="str">
        <f>IF($D481="TOTAL:",FIXED(ROUND(((SUM($F$4:$F480)/'RAW DATA'!$E$2)*100),1),1)&amp;"%",IF($D482="TOTAL:",SUM($F$4:$F481),IF(SUMIF('RAW DATA'!M:M,'RAW DATA'!B482,'RAW DATA'!I:I)=0,"",SUMIF('RAW DATA'!M:M,'RAW DATA'!B482,'RAW DATA'!I:I))))</f>
        <v/>
      </c>
      <c r="G482" s="24" t="str">
        <f t="shared" si="7"/>
        <v/>
      </c>
    </row>
    <row r="483" spans="2:7" x14ac:dyDescent="0.25">
      <c r="B483" s="1" t="str">
        <f>IF('RAW DATA'!$C485&lt;&gt;"",'RAW DATA'!$C485,"")</f>
        <v/>
      </c>
      <c r="C483" s="1" t="str">
        <f>IF('RAW DATA'!$D485&lt;&gt;"",'RAW DATA'!$D485,"")</f>
        <v/>
      </c>
      <c r="D483" s="1" t="str">
        <f>IF(AND($B482&lt;&gt;"", $B483=""), "TOTAL:", IF($D482="TOTAL:","VESSEL TARGET "&amp;'RAW DATA'!$E$2&amp;":",IF('RAW DATA'!$E483&lt;&gt;"",'RAW DATA'!$E483,"")))</f>
        <v/>
      </c>
      <c r="E483" s="4" t="str">
        <f>IF($D482="TOTAL:",FIXED(ROUND(((SUM($E$4:$E481)/'RAW DATA'!$E$2)*100),1),1)&amp;"%",IF($D483="TOTAL:",SUM($E$4:$E482),IF(SUMIF('RAW DATA'!M:M,'RAW DATA'!B483,'RAW DATA'!H:H)=0,"",SUMIF('RAW DATA'!M:M,'RAW DATA'!B483,'RAW DATA'!H:H))))</f>
        <v/>
      </c>
      <c r="F483" s="4" t="str">
        <f>IF($D482="TOTAL:",FIXED(ROUND(((SUM($F$4:$F481)/'RAW DATA'!$E$2)*100),1),1)&amp;"%",IF($D483="TOTAL:",SUM($F$4:$F482),IF(SUMIF('RAW DATA'!M:M,'RAW DATA'!B483,'RAW DATA'!I:I)=0,"",SUMIF('RAW DATA'!M:M,'RAW DATA'!B483,'RAW DATA'!I:I))))</f>
        <v/>
      </c>
      <c r="G483" s="24" t="str">
        <f t="shared" si="7"/>
        <v/>
      </c>
    </row>
    <row r="484" spans="2:7" x14ac:dyDescent="0.25">
      <c r="B484" s="1" t="str">
        <f>IF('RAW DATA'!$C486&lt;&gt;"",'RAW DATA'!$C486,"")</f>
        <v/>
      </c>
      <c r="C484" s="1" t="str">
        <f>IF('RAW DATA'!$D486&lt;&gt;"",'RAW DATA'!$D486,"")</f>
        <v/>
      </c>
      <c r="D484" s="1" t="str">
        <f>IF(AND($B483&lt;&gt;"", $B484=""), "TOTAL:", IF($D483="TOTAL:","VESSEL TARGET "&amp;'RAW DATA'!$E$2&amp;":",IF('RAW DATA'!$E484&lt;&gt;"",'RAW DATA'!$E484,"")))</f>
        <v/>
      </c>
      <c r="E484" s="4" t="str">
        <f>IF($D483="TOTAL:",FIXED(ROUND(((SUM($E$4:$E482)/'RAW DATA'!$E$2)*100),1),1)&amp;"%",IF($D484="TOTAL:",SUM($E$4:$E483),IF(SUMIF('RAW DATA'!M:M,'RAW DATA'!B484,'RAW DATA'!H:H)=0,"",SUMIF('RAW DATA'!M:M,'RAW DATA'!B484,'RAW DATA'!H:H))))</f>
        <v/>
      </c>
      <c r="F484" s="4" t="str">
        <f>IF($D483="TOTAL:",FIXED(ROUND(((SUM($F$4:$F482)/'RAW DATA'!$E$2)*100),1),1)&amp;"%",IF($D484="TOTAL:",SUM($F$4:$F483),IF(SUMIF('RAW DATA'!M:M,'RAW DATA'!B484,'RAW DATA'!I:I)=0,"",SUMIF('RAW DATA'!M:M,'RAW DATA'!B484,'RAW DATA'!I:I))))</f>
        <v/>
      </c>
      <c r="G484" s="24" t="str">
        <f t="shared" si="7"/>
        <v/>
      </c>
    </row>
    <row r="485" spans="2:7" x14ac:dyDescent="0.25">
      <c r="B485" s="1" t="str">
        <f>IF('RAW DATA'!$C487&lt;&gt;"",'RAW DATA'!$C487,"")</f>
        <v/>
      </c>
      <c r="C485" s="1" t="str">
        <f>IF('RAW DATA'!$D487&lt;&gt;"",'RAW DATA'!$D487,"")</f>
        <v/>
      </c>
      <c r="D485" s="1" t="str">
        <f>IF(AND($B484&lt;&gt;"", $B485=""), "TOTAL:", IF($D484="TOTAL:","VESSEL TARGET "&amp;'RAW DATA'!$E$2&amp;":",IF('RAW DATA'!$E485&lt;&gt;"",'RAW DATA'!$E485,"")))</f>
        <v/>
      </c>
      <c r="E485" s="4" t="str">
        <f>IF($D484="TOTAL:",FIXED(ROUND(((SUM($E$4:$E483)/'RAW DATA'!$E$2)*100),1),1)&amp;"%",IF($D485="TOTAL:",SUM($E$4:$E484),IF(SUMIF('RAW DATA'!M:M,'RAW DATA'!B485,'RAW DATA'!H:H)=0,"",SUMIF('RAW DATA'!M:M,'RAW DATA'!B485,'RAW DATA'!H:H))))</f>
        <v/>
      </c>
      <c r="F485" s="4" t="str">
        <f>IF($D484="TOTAL:",FIXED(ROUND(((SUM($F$4:$F483)/'RAW DATA'!$E$2)*100),1),1)&amp;"%",IF($D485="TOTAL:",SUM($F$4:$F484),IF(SUMIF('RAW DATA'!M:M,'RAW DATA'!B485,'RAW DATA'!I:I)=0,"",SUMIF('RAW DATA'!M:M,'RAW DATA'!B485,'RAW DATA'!I:I))))</f>
        <v/>
      </c>
      <c r="G485" s="24" t="str">
        <f t="shared" si="7"/>
        <v/>
      </c>
    </row>
    <row r="486" spans="2:7" x14ac:dyDescent="0.25">
      <c r="B486" s="1" t="str">
        <f>IF('RAW DATA'!$C488&lt;&gt;"",'RAW DATA'!$C488,"")</f>
        <v/>
      </c>
      <c r="C486" s="1" t="str">
        <f>IF('RAW DATA'!$D488&lt;&gt;"",'RAW DATA'!$D488,"")</f>
        <v/>
      </c>
      <c r="D486" s="1" t="str">
        <f>IF(AND($B485&lt;&gt;"", $B486=""), "TOTAL:", IF($D485="TOTAL:","VESSEL TARGET "&amp;'RAW DATA'!$E$2&amp;":",IF('RAW DATA'!$E486&lt;&gt;"",'RAW DATA'!$E486,"")))</f>
        <v/>
      </c>
      <c r="E486" s="4" t="str">
        <f>IF($D485="TOTAL:",FIXED(ROUND(((SUM($E$4:$E484)/'RAW DATA'!$E$2)*100),1),1)&amp;"%",IF($D486="TOTAL:",SUM($E$4:$E485),IF(SUMIF('RAW DATA'!M:M,'RAW DATA'!B486,'RAW DATA'!H:H)=0,"",SUMIF('RAW DATA'!M:M,'RAW DATA'!B486,'RAW DATA'!H:H))))</f>
        <v/>
      </c>
      <c r="F486" s="4" t="str">
        <f>IF($D485="TOTAL:",FIXED(ROUND(((SUM($F$4:$F484)/'RAW DATA'!$E$2)*100),1),1)&amp;"%",IF($D486="TOTAL:",SUM($F$4:$F485),IF(SUMIF('RAW DATA'!M:M,'RAW DATA'!B486,'RAW DATA'!I:I)=0,"",SUMIF('RAW DATA'!M:M,'RAW DATA'!B486,'RAW DATA'!I:I))))</f>
        <v/>
      </c>
      <c r="G486" s="24" t="str">
        <f t="shared" si="7"/>
        <v/>
      </c>
    </row>
    <row r="487" spans="2:7" x14ac:dyDescent="0.25">
      <c r="B487" s="1" t="str">
        <f>IF('RAW DATA'!$C489&lt;&gt;"",'RAW DATA'!$C489,"")</f>
        <v/>
      </c>
      <c r="C487" s="1" t="str">
        <f>IF('RAW DATA'!$D489&lt;&gt;"",'RAW DATA'!$D489,"")</f>
        <v/>
      </c>
      <c r="D487" s="1" t="str">
        <f>IF(AND($B486&lt;&gt;"", $B487=""), "TOTAL:", IF($D486="TOTAL:","VESSEL TARGET "&amp;'RAW DATA'!$E$2&amp;":",IF('RAW DATA'!$E487&lt;&gt;"",'RAW DATA'!$E487,"")))</f>
        <v/>
      </c>
      <c r="E487" s="4" t="str">
        <f>IF($D486="TOTAL:",FIXED(ROUND(((SUM($E$4:$E485)/'RAW DATA'!$E$2)*100),1),1)&amp;"%",IF($D487="TOTAL:",SUM($E$4:$E486),IF(SUMIF('RAW DATA'!M:M,'RAW DATA'!B487,'RAW DATA'!H:H)=0,"",SUMIF('RAW DATA'!M:M,'RAW DATA'!B487,'RAW DATA'!H:H))))</f>
        <v/>
      </c>
      <c r="F487" s="4" t="str">
        <f>IF($D486="TOTAL:",FIXED(ROUND(((SUM($F$4:$F485)/'RAW DATA'!$E$2)*100),1),1)&amp;"%",IF($D487="TOTAL:",SUM($F$4:$F486),IF(SUMIF('RAW DATA'!M:M,'RAW DATA'!B487,'RAW DATA'!I:I)=0,"",SUMIF('RAW DATA'!M:M,'RAW DATA'!B487,'RAW DATA'!I:I))))</f>
        <v/>
      </c>
      <c r="G487" s="24" t="str">
        <f t="shared" si="7"/>
        <v/>
      </c>
    </row>
    <row r="488" spans="2:7" x14ac:dyDescent="0.25">
      <c r="B488" s="1" t="str">
        <f>IF('RAW DATA'!$C490&lt;&gt;"",'RAW DATA'!$C490,"")</f>
        <v/>
      </c>
      <c r="C488" s="1" t="str">
        <f>IF('RAW DATA'!$D490&lt;&gt;"",'RAW DATA'!$D490,"")</f>
        <v/>
      </c>
      <c r="D488" s="1" t="str">
        <f>IF(AND($B487&lt;&gt;"", $B488=""), "TOTAL:", IF($D487="TOTAL:","VESSEL TARGET "&amp;'RAW DATA'!$E$2&amp;":",IF('RAW DATA'!$E488&lt;&gt;"",'RAW DATA'!$E488,"")))</f>
        <v/>
      </c>
      <c r="E488" s="4" t="str">
        <f>IF($D487="TOTAL:",FIXED(ROUND(((SUM($E$4:$E486)/'RAW DATA'!$E$2)*100),1),1)&amp;"%",IF($D488="TOTAL:",SUM($E$4:$E487),IF(SUMIF('RAW DATA'!M:M,'RAW DATA'!B488,'RAW DATA'!H:H)=0,"",SUMIF('RAW DATA'!M:M,'RAW DATA'!B488,'RAW DATA'!H:H))))</f>
        <v/>
      </c>
      <c r="F488" s="4" t="str">
        <f>IF($D487="TOTAL:",FIXED(ROUND(((SUM($F$4:$F486)/'RAW DATA'!$E$2)*100),1),1)&amp;"%",IF($D488="TOTAL:",SUM($F$4:$F487),IF(SUMIF('RAW DATA'!M:M,'RAW DATA'!B488,'RAW DATA'!I:I)=0,"",SUMIF('RAW DATA'!M:M,'RAW DATA'!B488,'RAW DATA'!I:I))))</f>
        <v/>
      </c>
      <c r="G488" s="24" t="str">
        <f t="shared" si="7"/>
        <v/>
      </c>
    </row>
    <row r="489" spans="2:7" x14ac:dyDescent="0.25">
      <c r="B489" s="1" t="str">
        <f>IF('RAW DATA'!$C491&lt;&gt;"",'RAW DATA'!$C491,"")</f>
        <v/>
      </c>
      <c r="C489" s="1" t="str">
        <f>IF('RAW DATA'!$D491&lt;&gt;"",'RAW DATA'!$D491,"")</f>
        <v/>
      </c>
      <c r="D489" s="1" t="str">
        <f>IF(AND($B488&lt;&gt;"", $B489=""), "TOTAL:", IF($D488="TOTAL:","VESSEL TARGET "&amp;'RAW DATA'!$E$2&amp;":",IF('RAW DATA'!$E489&lt;&gt;"",'RAW DATA'!$E489,"")))</f>
        <v/>
      </c>
      <c r="E489" s="4" t="str">
        <f>IF($D488="TOTAL:",FIXED(ROUND(((SUM($E$4:$E487)/'RAW DATA'!$E$2)*100),1),1)&amp;"%",IF($D489="TOTAL:",SUM($E$4:$E488),IF(SUMIF('RAW DATA'!M:M,'RAW DATA'!B489,'RAW DATA'!H:H)=0,"",SUMIF('RAW DATA'!M:M,'RAW DATA'!B489,'RAW DATA'!H:H))))</f>
        <v/>
      </c>
      <c r="F489" s="4" t="str">
        <f>IF($D488="TOTAL:",FIXED(ROUND(((SUM($F$4:$F487)/'RAW DATA'!$E$2)*100),1),1)&amp;"%",IF($D489="TOTAL:",SUM($F$4:$F488),IF(SUMIF('RAW DATA'!M:M,'RAW DATA'!B489,'RAW DATA'!I:I)=0,"",SUMIF('RAW DATA'!M:M,'RAW DATA'!B489,'RAW DATA'!I:I))))</f>
        <v/>
      </c>
      <c r="G489" s="24" t="str">
        <f t="shared" si="7"/>
        <v/>
      </c>
    </row>
    <row r="490" spans="2:7" x14ac:dyDescent="0.25">
      <c r="B490" s="1" t="str">
        <f>IF('RAW DATA'!$C492&lt;&gt;"",'RAW DATA'!$C492,"")</f>
        <v/>
      </c>
      <c r="C490" s="1" t="str">
        <f>IF('RAW DATA'!$D492&lt;&gt;"",'RAW DATA'!$D492,"")</f>
        <v/>
      </c>
      <c r="D490" s="1" t="str">
        <f>IF(AND($B489&lt;&gt;"", $B490=""), "TOTAL:", IF($D489="TOTAL:","VESSEL TARGET "&amp;'RAW DATA'!$E$2&amp;":",IF('RAW DATA'!$E490&lt;&gt;"",'RAW DATA'!$E490,"")))</f>
        <v/>
      </c>
      <c r="E490" s="4" t="str">
        <f>IF($D489="TOTAL:",FIXED(ROUND(((SUM($E$4:$E488)/'RAW DATA'!$E$2)*100),1),1)&amp;"%",IF($D490="TOTAL:",SUM($E$4:$E489),IF(SUMIF('RAW DATA'!M:M,'RAW DATA'!B490,'RAW DATA'!H:H)=0,"",SUMIF('RAW DATA'!M:M,'RAW DATA'!B490,'RAW DATA'!H:H))))</f>
        <v/>
      </c>
      <c r="F490" s="4" t="str">
        <f>IF($D489="TOTAL:",FIXED(ROUND(((SUM($F$4:$F488)/'RAW DATA'!$E$2)*100),1),1)&amp;"%",IF($D490="TOTAL:",SUM($F$4:$F489),IF(SUMIF('RAW DATA'!M:M,'RAW DATA'!B490,'RAW DATA'!I:I)=0,"",SUMIF('RAW DATA'!M:M,'RAW DATA'!B490,'RAW DATA'!I:I))))</f>
        <v/>
      </c>
      <c r="G490" s="24" t="str">
        <f t="shared" si="7"/>
        <v/>
      </c>
    </row>
    <row r="491" spans="2:7" x14ac:dyDescent="0.25">
      <c r="B491" s="1" t="str">
        <f>IF('RAW DATA'!$C493&lt;&gt;"",'RAW DATA'!$C493,"")</f>
        <v/>
      </c>
      <c r="C491" s="1" t="str">
        <f>IF('RAW DATA'!$D493&lt;&gt;"",'RAW DATA'!$D493,"")</f>
        <v/>
      </c>
      <c r="D491" s="1" t="str">
        <f>IF(AND($B490&lt;&gt;"", $B491=""), "TOTAL:", IF($D490="TOTAL:","VESSEL TARGET "&amp;'RAW DATA'!$E$2&amp;":",IF('RAW DATA'!$E491&lt;&gt;"",'RAW DATA'!$E491,"")))</f>
        <v/>
      </c>
      <c r="E491" s="4" t="str">
        <f>IF($D490="TOTAL:",FIXED(ROUND(((SUM($E$4:$E489)/'RAW DATA'!$E$2)*100),1),1)&amp;"%",IF($D491="TOTAL:",SUM($E$4:$E490),IF(SUMIF('RAW DATA'!M:M,'RAW DATA'!B491,'RAW DATA'!H:H)=0,"",SUMIF('RAW DATA'!M:M,'RAW DATA'!B491,'RAW DATA'!H:H))))</f>
        <v/>
      </c>
      <c r="F491" s="4" t="str">
        <f>IF($D490="TOTAL:",FIXED(ROUND(((SUM($F$4:$F489)/'RAW DATA'!$E$2)*100),1),1)&amp;"%",IF($D491="TOTAL:",SUM($F$4:$F490),IF(SUMIF('RAW DATA'!M:M,'RAW DATA'!B491,'RAW DATA'!I:I)=0,"",SUMIF('RAW DATA'!M:M,'RAW DATA'!B491,'RAW DATA'!I:I))))</f>
        <v/>
      </c>
      <c r="G491" s="24" t="str">
        <f t="shared" si="7"/>
        <v/>
      </c>
    </row>
    <row r="492" spans="2:7" x14ac:dyDescent="0.25">
      <c r="B492" s="1" t="str">
        <f>IF('RAW DATA'!$C494&lt;&gt;"",'RAW DATA'!$C494,"")</f>
        <v/>
      </c>
      <c r="C492" s="1" t="str">
        <f>IF('RAW DATA'!$D494&lt;&gt;"",'RAW DATA'!$D494,"")</f>
        <v/>
      </c>
      <c r="D492" s="1" t="str">
        <f>IF(AND($B491&lt;&gt;"", $B492=""), "TOTAL:", IF($D491="TOTAL:","VESSEL TARGET "&amp;'RAW DATA'!$E$2&amp;":",IF('RAW DATA'!$E492&lt;&gt;"",'RAW DATA'!$E492,"")))</f>
        <v/>
      </c>
      <c r="E492" s="4" t="str">
        <f>IF($D491="TOTAL:",FIXED(ROUND(((SUM($E$4:$E490)/'RAW DATA'!$E$2)*100),1),1)&amp;"%",IF($D492="TOTAL:",SUM($E$4:$E491),IF(SUMIF('RAW DATA'!M:M,'RAW DATA'!B492,'RAW DATA'!H:H)=0,"",SUMIF('RAW DATA'!M:M,'RAW DATA'!B492,'RAW DATA'!H:H))))</f>
        <v/>
      </c>
      <c r="F492" s="4" t="str">
        <f>IF($D491="TOTAL:",FIXED(ROUND(((SUM($F$4:$F490)/'RAW DATA'!$E$2)*100),1),1)&amp;"%",IF($D492="TOTAL:",SUM($F$4:$F491),IF(SUMIF('RAW DATA'!M:M,'RAW DATA'!B492,'RAW DATA'!I:I)=0,"",SUMIF('RAW DATA'!M:M,'RAW DATA'!B492,'RAW DATA'!I:I))))</f>
        <v/>
      </c>
      <c r="G492" s="24" t="str">
        <f t="shared" si="7"/>
        <v/>
      </c>
    </row>
    <row r="493" spans="2:7" x14ac:dyDescent="0.25">
      <c r="B493" s="1" t="str">
        <f>IF('RAW DATA'!$C495&lt;&gt;"",'RAW DATA'!$C495,"")</f>
        <v/>
      </c>
      <c r="C493" s="1" t="str">
        <f>IF('RAW DATA'!$D495&lt;&gt;"",'RAW DATA'!$D495,"")</f>
        <v/>
      </c>
      <c r="D493" s="1" t="str">
        <f>IF(AND($B492&lt;&gt;"", $B493=""), "TOTAL:", IF($D492="TOTAL:","VESSEL TARGET "&amp;'RAW DATA'!$E$2&amp;":",IF('RAW DATA'!$E493&lt;&gt;"",'RAW DATA'!$E493,"")))</f>
        <v/>
      </c>
      <c r="E493" s="4" t="str">
        <f>IF($D492="TOTAL:",FIXED(ROUND(((SUM($E$4:$E491)/'RAW DATA'!$E$2)*100),1),1)&amp;"%",IF($D493="TOTAL:",SUM($E$4:$E492),IF(SUMIF('RAW DATA'!M:M,'RAW DATA'!B493,'RAW DATA'!H:H)=0,"",SUMIF('RAW DATA'!M:M,'RAW DATA'!B493,'RAW DATA'!H:H))))</f>
        <v/>
      </c>
      <c r="F493" s="4" t="str">
        <f>IF($D492="TOTAL:",FIXED(ROUND(((SUM($F$4:$F491)/'RAW DATA'!$E$2)*100),1),1)&amp;"%",IF($D493="TOTAL:",SUM($F$4:$F492),IF(SUMIF('RAW DATA'!M:M,'RAW DATA'!B493,'RAW DATA'!I:I)=0,"",SUMIF('RAW DATA'!M:M,'RAW DATA'!B493,'RAW DATA'!I:I))))</f>
        <v/>
      </c>
      <c r="G493" s="24" t="str">
        <f t="shared" si="7"/>
        <v/>
      </c>
    </row>
    <row r="494" spans="2:7" x14ac:dyDescent="0.25">
      <c r="B494" s="1" t="str">
        <f>IF('RAW DATA'!$C496&lt;&gt;"",'RAW DATA'!$C496,"")</f>
        <v/>
      </c>
      <c r="C494" s="1" t="str">
        <f>IF('RAW DATA'!$D496&lt;&gt;"",'RAW DATA'!$D496,"")</f>
        <v/>
      </c>
      <c r="D494" s="1" t="str">
        <f>IF(AND($B493&lt;&gt;"", $B494=""), "TOTAL:", IF($D493="TOTAL:","VESSEL TARGET "&amp;'RAW DATA'!$E$2&amp;":",IF('RAW DATA'!$E494&lt;&gt;"",'RAW DATA'!$E494,"")))</f>
        <v/>
      </c>
      <c r="E494" s="4" t="str">
        <f>IF($D493="TOTAL:",FIXED(ROUND(((SUM($E$4:$E492)/'RAW DATA'!$E$2)*100),1),1)&amp;"%",IF($D494="TOTAL:",SUM($E$4:$E493),IF(SUMIF('RAW DATA'!M:M,'RAW DATA'!B494,'RAW DATA'!H:H)=0,"",SUMIF('RAW DATA'!M:M,'RAW DATA'!B494,'RAW DATA'!H:H))))</f>
        <v/>
      </c>
      <c r="F494" s="4" t="str">
        <f>IF($D493="TOTAL:",FIXED(ROUND(((SUM($F$4:$F492)/'RAW DATA'!$E$2)*100),1),1)&amp;"%",IF($D494="TOTAL:",SUM($F$4:$F493),IF(SUMIF('RAW DATA'!M:M,'RAW DATA'!B494,'RAW DATA'!I:I)=0,"",SUMIF('RAW DATA'!M:M,'RAW DATA'!B494,'RAW DATA'!I:I))))</f>
        <v/>
      </c>
      <c r="G494" s="24" t="str">
        <f t="shared" si="7"/>
        <v/>
      </c>
    </row>
    <row r="495" spans="2:7" x14ac:dyDescent="0.25">
      <c r="B495" s="1" t="str">
        <f>IF('RAW DATA'!$C497&lt;&gt;"",'RAW DATA'!$C497,"")</f>
        <v/>
      </c>
      <c r="C495" s="1" t="str">
        <f>IF('RAW DATA'!$D497&lt;&gt;"",'RAW DATA'!$D497,"")</f>
        <v/>
      </c>
      <c r="D495" s="1" t="str">
        <f>IF(AND($B494&lt;&gt;"", $B495=""), "TOTAL:", IF($D494="TOTAL:","VESSEL TARGET "&amp;'RAW DATA'!$E$2&amp;":",IF('RAW DATA'!$E495&lt;&gt;"",'RAW DATA'!$E495,"")))</f>
        <v/>
      </c>
      <c r="E495" s="4" t="str">
        <f>IF($D494="TOTAL:",FIXED(ROUND(((SUM($E$4:$E493)/'RAW DATA'!$E$2)*100),1),1)&amp;"%",IF($D495="TOTAL:",SUM($E$4:$E494),IF(SUMIF('RAW DATA'!M:M,'RAW DATA'!B495,'RAW DATA'!H:H)=0,"",SUMIF('RAW DATA'!M:M,'RAW DATA'!B495,'RAW DATA'!H:H))))</f>
        <v/>
      </c>
      <c r="F495" s="4" t="str">
        <f>IF($D494="TOTAL:",FIXED(ROUND(((SUM($F$4:$F493)/'RAW DATA'!$E$2)*100),1),1)&amp;"%",IF($D495="TOTAL:",SUM($F$4:$F494),IF(SUMIF('RAW DATA'!M:M,'RAW DATA'!B495,'RAW DATA'!I:I)=0,"",SUMIF('RAW DATA'!M:M,'RAW DATA'!B495,'RAW DATA'!I:I))))</f>
        <v/>
      </c>
      <c r="G495" s="24" t="str">
        <f t="shared" si="7"/>
        <v/>
      </c>
    </row>
    <row r="496" spans="2:7" x14ac:dyDescent="0.25">
      <c r="B496" s="1" t="str">
        <f>IF('RAW DATA'!$C498&lt;&gt;"",'RAW DATA'!$C498,"")</f>
        <v/>
      </c>
      <c r="C496" s="1" t="str">
        <f>IF('RAW DATA'!$D498&lt;&gt;"",'RAW DATA'!$D498,"")</f>
        <v/>
      </c>
      <c r="D496" s="1" t="str">
        <f>IF(AND($B495&lt;&gt;"", $B496=""), "TOTAL:", IF($D495="TOTAL:","VESSEL TARGET "&amp;'RAW DATA'!$E$2&amp;":",IF('RAW DATA'!$E496&lt;&gt;"",'RAW DATA'!$E496,"")))</f>
        <v/>
      </c>
      <c r="E496" s="4" t="str">
        <f>IF($D495="TOTAL:",FIXED(ROUND(((SUM($E$4:$E494)/'RAW DATA'!$E$2)*100),1),1)&amp;"%",IF($D496="TOTAL:",SUM($E$4:$E495),IF(SUMIF('RAW DATA'!M:M,'RAW DATA'!B496,'RAW DATA'!H:H)=0,"",SUMIF('RAW DATA'!M:M,'RAW DATA'!B496,'RAW DATA'!H:H))))</f>
        <v/>
      </c>
      <c r="F496" s="4" t="str">
        <f>IF($D495="TOTAL:",FIXED(ROUND(((SUM($F$4:$F494)/'RAW DATA'!$E$2)*100),1),1)&amp;"%",IF($D496="TOTAL:",SUM($F$4:$F495),IF(SUMIF('RAW DATA'!M:M,'RAW DATA'!B496,'RAW DATA'!I:I)=0,"",SUMIF('RAW DATA'!M:M,'RAW DATA'!B496,'RAW DATA'!I:I))))</f>
        <v/>
      </c>
      <c r="G496" s="24" t="str">
        <f t="shared" si="7"/>
        <v/>
      </c>
    </row>
    <row r="497" spans="2:7" x14ac:dyDescent="0.25">
      <c r="B497" s="1" t="str">
        <f>IF('RAW DATA'!$C499&lt;&gt;"",'RAW DATA'!$C499,"")</f>
        <v/>
      </c>
      <c r="C497" s="1" t="str">
        <f>IF('RAW DATA'!$D499&lt;&gt;"",'RAW DATA'!$D499,"")</f>
        <v/>
      </c>
      <c r="D497" s="1" t="str">
        <f>IF(AND($B496&lt;&gt;"", $B497=""), "TOTAL:", IF($D496="TOTAL:","VESSEL TARGET "&amp;'RAW DATA'!$E$2&amp;":",IF('RAW DATA'!$E497&lt;&gt;"",'RAW DATA'!$E497,"")))</f>
        <v/>
      </c>
      <c r="E497" s="4" t="str">
        <f>IF($D496="TOTAL:",FIXED(ROUND(((SUM($E$4:$E495)/'RAW DATA'!$E$2)*100),1),1)&amp;"%",IF($D497="TOTAL:",SUM($E$4:$E496),IF(SUMIF('RAW DATA'!M:M,'RAW DATA'!B497,'RAW DATA'!H:H)=0,"",SUMIF('RAW DATA'!M:M,'RAW DATA'!B497,'RAW DATA'!H:H))))</f>
        <v/>
      </c>
      <c r="F497" s="4" t="str">
        <f>IF($D496="TOTAL:",FIXED(ROUND(((SUM($F$4:$F495)/'RAW DATA'!$E$2)*100),1),1)&amp;"%",IF($D497="TOTAL:",SUM($F$4:$F496),IF(SUMIF('RAW DATA'!M:M,'RAW DATA'!B497,'RAW DATA'!I:I)=0,"",SUMIF('RAW DATA'!M:M,'RAW DATA'!B497,'RAW DATA'!I:I))))</f>
        <v/>
      </c>
      <c r="G497" s="24" t="str">
        <f t="shared" si="7"/>
        <v/>
      </c>
    </row>
    <row r="498" spans="2:7" x14ac:dyDescent="0.25">
      <c r="B498" s="1" t="str">
        <f>IF('RAW DATA'!$C500&lt;&gt;"",'RAW DATA'!$C500,"")</f>
        <v/>
      </c>
      <c r="C498" s="1" t="str">
        <f>IF('RAW DATA'!$D500&lt;&gt;"",'RAW DATA'!$D500,"")</f>
        <v/>
      </c>
      <c r="D498" s="1" t="str">
        <f>IF(AND($B497&lt;&gt;"", $B498=""), "TOTAL:", IF($D497="TOTAL:","VESSEL TARGET "&amp;'RAW DATA'!$E$2&amp;":",IF('RAW DATA'!$E498&lt;&gt;"",'RAW DATA'!$E498,"")))</f>
        <v/>
      </c>
      <c r="E498" s="4" t="str">
        <f>IF($D497="TOTAL:",FIXED(ROUND(((SUM($E$4:$E496)/'RAW DATA'!$E$2)*100),1),1)&amp;"%",IF($D498="TOTAL:",SUM($E$4:$E497),IF(SUMIF('RAW DATA'!M:M,'RAW DATA'!B498,'RAW DATA'!H:H)=0,"",SUMIF('RAW DATA'!M:M,'RAW DATA'!B498,'RAW DATA'!H:H))))</f>
        <v/>
      </c>
      <c r="F498" s="4" t="str">
        <f>IF($D497="TOTAL:",FIXED(ROUND(((SUM($F$4:$F496)/'RAW DATA'!$E$2)*100),1),1)&amp;"%",IF($D498="TOTAL:",SUM($F$4:$F497),IF(SUMIF('RAW DATA'!M:M,'RAW DATA'!B498,'RAW DATA'!I:I)=0,"",SUMIF('RAW DATA'!M:M,'RAW DATA'!B498,'RAW DATA'!I:I))))</f>
        <v/>
      </c>
      <c r="G498" s="24" t="str">
        <f t="shared" si="7"/>
        <v/>
      </c>
    </row>
    <row r="499" spans="2:7" x14ac:dyDescent="0.25">
      <c r="B499" s="1" t="str">
        <f>IF('RAW DATA'!$C501&lt;&gt;"",'RAW DATA'!$C501,"")</f>
        <v/>
      </c>
      <c r="C499" s="1" t="str">
        <f>IF('RAW DATA'!$D501&lt;&gt;"",'RAW DATA'!$D501,"")</f>
        <v/>
      </c>
      <c r="D499" s="1" t="str">
        <f>IF(AND($B498&lt;&gt;"", $B499=""), "TOTAL:", IF($D498="TOTAL:","VESSEL TARGET "&amp;'RAW DATA'!$E$2&amp;":",IF('RAW DATA'!$E499&lt;&gt;"",'RAW DATA'!$E499,"")))</f>
        <v/>
      </c>
      <c r="E499" s="4" t="str">
        <f>IF($D498="TOTAL:",FIXED(ROUND(((SUM($E$4:$E497)/'RAW DATA'!$E$2)*100),1),1)&amp;"%",IF($D499="TOTAL:",SUM($E$4:$E498),IF(SUMIF('RAW DATA'!M:M,'RAW DATA'!B499,'RAW DATA'!H:H)=0,"",SUMIF('RAW DATA'!M:M,'RAW DATA'!B499,'RAW DATA'!H:H))))</f>
        <v/>
      </c>
      <c r="F499" s="4" t="str">
        <f>IF($D498="TOTAL:",FIXED(ROUND(((SUM($F$4:$F497)/'RAW DATA'!$E$2)*100),1),1)&amp;"%",IF($D499="TOTAL:",SUM($F$4:$F498),IF(SUMIF('RAW DATA'!M:M,'RAW DATA'!B499,'RAW DATA'!I:I)=0,"",SUMIF('RAW DATA'!M:M,'RAW DATA'!B499,'RAW DATA'!I:I))))</f>
        <v/>
      </c>
      <c r="G499" s="24" t="str">
        <f t="shared" si="7"/>
        <v/>
      </c>
    </row>
    <row r="500" spans="2:7" x14ac:dyDescent="0.25">
      <c r="B500" s="1" t="str">
        <f>IF('RAW DATA'!$C502&lt;&gt;"",'RAW DATA'!$C502,"")</f>
        <v/>
      </c>
      <c r="C500" s="1" t="str">
        <f>IF('RAW DATA'!$D502&lt;&gt;"",'RAW DATA'!$D502,"")</f>
        <v/>
      </c>
      <c r="D500" s="1" t="str">
        <f>IF(AND($B499&lt;&gt;"", $B500=""), "TOTAL:", IF($D499="TOTAL:","VESSEL TARGET "&amp;'RAW DATA'!$E$2&amp;":",IF('RAW DATA'!$E500&lt;&gt;"",'RAW DATA'!$E500,"")))</f>
        <v/>
      </c>
      <c r="E500" s="4" t="str">
        <f>IF($D499="TOTAL:",FIXED(ROUND(((SUM($E$4:$E498)/'RAW DATA'!$E$2)*100),1),1)&amp;"%",IF($D500="TOTAL:",SUM($E$4:$E499),IF(SUMIF('RAW DATA'!M:M,'RAW DATA'!B500,'RAW DATA'!H:H)=0,"",SUMIF('RAW DATA'!M:M,'RAW DATA'!B500,'RAW DATA'!H:H))))</f>
        <v/>
      </c>
      <c r="F500" s="4" t="str">
        <f>IF($D499="TOTAL:",FIXED(ROUND(((SUM($F$4:$F498)/'RAW DATA'!$E$2)*100),1),1)&amp;"%",IF($D500="TOTAL:",SUM($F$4:$F499),IF(SUMIF('RAW DATA'!M:M,'RAW DATA'!B500,'RAW DATA'!I:I)=0,"",SUMIF('RAW DATA'!M:M,'RAW DATA'!B500,'RAW DATA'!I:I))))</f>
        <v/>
      </c>
      <c r="G500" s="24" t="str">
        <f t="shared" si="7"/>
        <v/>
      </c>
    </row>
    <row r="501" spans="2:7" x14ac:dyDescent="0.25">
      <c r="D501" s="1" t="str">
        <f>IF(AND($B500&lt;&gt;"", $B501=""), "TOTAL:", IF($D500="TOTAL:","VESSEL TARGET "&amp;'RAW DATA'!$E$2&amp;":",IF('RAW DATA'!$E501&lt;&gt;"",'RAW DATA'!$E501,"")))</f>
        <v/>
      </c>
      <c r="E501" s="4" t="str">
        <f>IF($D500="TOTAL:",FIXED(ROUND(((SUM($E$4:$E499)/'RAW DATA'!$E$2)*100),1),1)&amp;"%",IF($D501="TOTAL:",SUM($E$4:$E500),IF(SUMIF('RAW DATA'!M:M,'RAW DATA'!B501,'RAW DATA'!H:H)=0,"",SUMIF('RAW DATA'!M:M,'RAW DATA'!B501,'RAW DATA'!H:H))))</f>
        <v/>
      </c>
      <c r="F501" s="4" t="str">
        <f>IF($D500="TOTAL:",FIXED(ROUND(((SUM($F$4:$F499)/'RAW DATA'!$E$2)*100),1),1)&amp;"%",IF($D501="TOTAL:",SUM($F$4:$F500),IF(SUMIF('RAW DATA'!M:M,'RAW DATA'!B501,'RAW DATA'!I:I)=0,"",SUMIF('RAW DATA'!M:M,'RAW DATA'!B501,'RAW DATA'!I:I))))</f>
        <v/>
      </c>
      <c r="G501" s="24" t="str">
        <f t="shared" si="7"/>
        <v/>
      </c>
    </row>
    <row r="502" spans="2:7" x14ac:dyDescent="0.25">
      <c r="D502" s="1" t="str">
        <f>IF(AND($B501&lt;&gt;"", $B502=""), "TOTAL:", IF($D501="TOTAL:","VESSEL TARGET "&amp;'RAW DATA'!$E$2&amp;":",IF('RAW DATA'!$E502&lt;&gt;"",'RAW DATA'!$E502,"")))</f>
        <v/>
      </c>
      <c r="E502" s="4" t="str">
        <f>IF($D501="TOTAL:",FIXED(ROUND(((SUM($E$4:$E500)/'RAW DATA'!$E$2)*100),1),1)&amp;"%",IF($D502="TOTAL:",SUM($E$4:$E501),IF(SUMIF('RAW DATA'!M:M,'RAW DATA'!B502,'RAW DATA'!H:H)=0,"",SUMIF('RAW DATA'!M:M,'RAW DATA'!B502,'RAW DATA'!H:H))))</f>
        <v/>
      </c>
      <c r="F502" s="4" t="str">
        <f>IF($D501="TOTAL:",FIXED(ROUND(((SUM($F$4:$F500)/'RAW DATA'!$E$2)*100),1),1)&amp;"%",IF($D502="TOTAL:",SUM($F$4:$F501),IF(SUMIF('RAW DATA'!M:M,'RAW DATA'!B502,'RAW DATA'!I:I)=0,"",SUMIF('RAW DATA'!M:M,'RAW DATA'!B502,'RAW DATA'!I:I))))</f>
        <v/>
      </c>
      <c r="G502" s="24" t="str">
        <f t="shared" si="7"/>
        <v/>
      </c>
    </row>
    <row r="503" spans="2:7" x14ac:dyDescent="0.25">
      <c r="D503" s="1" t="str">
        <f>IF(AND($B502&lt;&gt;"", $B503=""), "TOTAL:", IF($D502="TOTAL:","VESSEL TARGET "&amp;'RAW DATA'!$E$2&amp;":",IF('RAW DATA'!$E503&lt;&gt;"",'RAW DATA'!$E503,"")))</f>
        <v/>
      </c>
      <c r="E503" s="4" t="str">
        <f>IF($D502="TOTAL:",FIXED(ROUND(((SUM($E$4:$E501)/'RAW DATA'!$E$2)*100),1),1)&amp;"%",IF($D503="TOTAL:",SUM($E$4:$E502),IF(SUMIF('RAW DATA'!M:M,'RAW DATA'!B503,'RAW DATA'!H:H)=0,"",SUMIF('RAW DATA'!M:M,'RAW DATA'!B503,'RAW DATA'!H:H))))</f>
        <v/>
      </c>
      <c r="F503" s="4" t="str">
        <f>IF($D502="TOTAL:",FIXED(ROUND(((SUM($F$4:$F501)/'RAW DATA'!$E$2)*100),1),1)&amp;"%",IF($D503="TOTAL:",SUM($F$4:$F502),IF(SUMIF('RAW DATA'!M:M,'RAW DATA'!B503,'RAW DATA'!I:I)=0,"",SUMIF('RAW DATA'!M:M,'RAW DATA'!B503,'RAW DATA'!I:I))))</f>
        <v/>
      </c>
      <c r="G503" s="24" t="str">
        <f t="shared" si="7"/>
        <v/>
      </c>
    </row>
    <row r="504" spans="2:7" x14ac:dyDescent="0.25">
      <c r="D504" s="1" t="str">
        <f>IF(AND($B503&lt;&gt;"", $B504=""), "TOTAL:", IF($D503="TOTAL:","VESSEL TARGET "&amp;'RAW DATA'!$E$2&amp;":",IF('RAW DATA'!$E504&lt;&gt;"",'RAW DATA'!$E504,"")))</f>
        <v/>
      </c>
      <c r="E504" s="4" t="str">
        <f>IF($D503="TOTAL:",FIXED(ROUND(((SUM($E$4:$E502)/'RAW DATA'!$E$2)*100),1),1)&amp;"%",IF($D504="TOTAL:",SUM($E$4:$E503),IF(SUMIF('RAW DATA'!M:M,'RAW DATA'!B504,'RAW DATA'!H:H)=0,"",SUMIF('RAW DATA'!M:M,'RAW DATA'!B504,'RAW DATA'!H:H))))</f>
        <v/>
      </c>
      <c r="F504" s="4" t="str">
        <f>IF($D503="TOTAL:",FIXED(ROUND(((SUM($F$4:$F502)/'RAW DATA'!$E$2)*100),1),1)&amp;"%",IF($D504="TOTAL:",SUM($F$4:$F503),IF(SUMIF('RAW DATA'!M:M,'RAW DATA'!B504,'RAW DATA'!I:I)=0,"",SUMIF('RAW DATA'!M:M,'RAW DATA'!B504,'RAW DATA'!I:I))))</f>
        <v/>
      </c>
      <c r="G504" s="24" t="str">
        <f t="shared" si="7"/>
        <v/>
      </c>
    </row>
    <row r="505" spans="2:7" x14ac:dyDescent="0.25">
      <c r="D505" s="1" t="str">
        <f>IF(AND($B504&lt;&gt;"", $B505=""), "TOTAL:", IF($D504="TOTAL:","VESSEL TARGET "&amp;'RAW DATA'!$E$2&amp;":",IF('RAW DATA'!$E505&lt;&gt;"",'RAW DATA'!$E505,"")))</f>
        <v/>
      </c>
      <c r="E505" s="4" t="str">
        <f>IF($D504="TOTAL:",FIXED(ROUND(((SUM($E$4:$E503)/'RAW DATA'!$E$2)*100),1),1)&amp;"%",IF($D505="TOTAL:",SUM($E$4:$E504),IF(SUMIF('RAW DATA'!M:M,'RAW DATA'!B505,'RAW DATA'!H:H)=0,"",SUMIF('RAW DATA'!M:M,'RAW DATA'!B505,'RAW DATA'!H:H))))</f>
        <v/>
      </c>
      <c r="F505" s="4" t="str">
        <f>IF($D504="TOTAL:",FIXED(ROUND(((SUM($F$4:$F503)/'RAW DATA'!$E$2)*100),1),1)&amp;"%",IF($D505="TOTAL:",SUM($F$4:$F504),IF(SUMIF('RAW DATA'!M:M,'RAW DATA'!B505,'RAW DATA'!I:I)=0,"",SUMIF('RAW DATA'!M:M,'RAW DATA'!B505,'RAW DATA'!I:I))))</f>
        <v/>
      </c>
      <c r="G505" s="24" t="str">
        <f t="shared" si="7"/>
        <v/>
      </c>
    </row>
    <row r="506" spans="2:7" x14ac:dyDescent="0.25">
      <c r="D506" s="1" t="str">
        <f>IF(AND($B505&lt;&gt;"", $B506=""), "TOTAL:", IF($D505="TOTAL:","VESSEL TARGET "&amp;'RAW DATA'!$E$2&amp;":",IF('RAW DATA'!$E506&lt;&gt;"",'RAW DATA'!$E506,"")))</f>
        <v/>
      </c>
      <c r="E506" s="4" t="str">
        <f>IF($D505="TOTAL:",FIXED(ROUND(((SUM($E$4:$E504)/'RAW DATA'!$E$2)*100),1),1)&amp;"%",IF($D506="TOTAL:",SUM($E$4:$E505),IF(SUMIF('RAW DATA'!M:M,'RAW DATA'!B506,'RAW DATA'!H:H)=0,"",SUMIF('RAW DATA'!M:M,'RAW DATA'!B506,'RAW DATA'!H:H))))</f>
        <v/>
      </c>
      <c r="F506" s="4" t="str">
        <f>IF($D505="TOTAL:",FIXED(ROUND(((SUM($F$4:$F504)/'RAW DATA'!$E$2)*100),1),1)&amp;"%",IF($D506="TOTAL:",SUM($F$4:$F505),IF(SUMIF('RAW DATA'!M:M,'RAW DATA'!B506,'RAW DATA'!I:I)=0,"",SUMIF('RAW DATA'!M:M,'RAW DATA'!B506,'RAW DATA'!I:I))))</f>
        <v/>
      </c>
      <c r="G506" s="24" t="str">
        <f t="shared" si="7"/>
        <v/>
      </c>
    </row>
    <row r="507" spans="2:7" x14ac:dyDescent="0.25">
      <c r="D507" s="1" t="str">
        <f>IF(AND($B506&lt;&gt;"", $B507=""), "TOTAL:", IF($D506="TOTAL:","VESSEL TARGET "&amp;'RAW DATA'!$E$2&amp;":",IF('RAW DATA'!$E507&lt;&gt;"",'RAW DATA'!$E507,"")))</f>
        <v/>
      </c>
      <c r="E507" s="4" t="str">
        <f>IF($D506="TOTAL:",FIXED(ROUND(((SUM($E$4:$E505)/'RAW DATA'!$E$2)*100),1),1)&amp;"%",IF($D507="TOTAL:",SUM($E$4:$E506),IF(SUMIF('RAW DATA'!M:M,'RAW DATA'!B507,'RAW DATA'!H:H)=0,"",SUMIF('RAW DATA'!M:M,'RAW DATA'!B507,'RAW DATA'!H:H))))</f>
        <v/>
      </c>
      <c r="F507" s="4" t="str">
        <f>IF($D506="TOTAL:",FIXED(ROUND(((SUM($F$4:$F505)/'RAW DATA'!$E$2)*100),1),1)&amp;"%",IF($D507="TOTAL:",SUM($F$4:$F506),IF(SUMIF('RAW DATA'!M:M,'RAW DATA'!B507,'RAW DATA'!I:I)=0,"",SUMIF('RAW DATA'!M:M,'RAW DATA'!B507,'RAW DATA'!I:I))))</f>
        <v/>
      </c>
      <c r="G507" s="24" t="str">
        <f t="shared" si="7"/>
        <v/>
      </c>
    </row>
    <row r="508" spans="2:7" x14ac:dyDescent="0.25">
      <c r="D508" s="1" t="str">
        <f>IF(AND($B507&lt;&gt;"", $B508=""), "TOTAL:", IF($D507="TOTAL:","VESSEL TARGET "&amp;'RAW DATA'!$E$2&amp;":",IF('RAW DATA'!$E508&lt;&gt;"",'RAW DATA'!$E508,"")))</f>
        <v/>
      </c>
      <c r="E508" s="4" t="str">
        <f>IF($D507="TOTAL:",FIXED(ROUND(((SUM($E$4:$E506)/'RAW DATA'!$E$2)*100),1),1)&amp;"%",IF($D508="TOTAL:",SUM($E$4:$E507),IF(SUMIF('RAW DATA'!M:M,'RAW DATA'!B508,'RAW DATA'!H:H)=0,"",SUMIF('RAW DATA'!M:M,'RAW DATA'!B508,'RAW DATA'!H:H))))</f>
        <v/>
      </c>
      <c r="F508" s="4" t="str">
        <f>IF($D507="TOTAL:",FIXED(ROUND(((SUM($F$4:$F506)/'RAW DATA'!$E$2)*100),1),1)&amp;"%",IF($D508="TOTAL:",SUM($F$4:$F507),IF(SUMIF('RAW DATA'!M:M,'RAW DATA'!B508,'RAW DATA'!I:I)=0,"",SUMIF('RAW DATA'!M:M,'RAW DATA'!B508,'RAW DATA'!I:I))))</f>
        <v/>
      </c>
      <c r="G508" s="24" t="str">
        <f t="shared" si="7"/>
        <v/>
      </c>
    </row>
    <row r="509" spans="2:7" x14ac:dyDescent="0.25">
      <c r="D509" s="1" t="str">
        <f>IF(AND($B508&lt;&gt;"", $B509=""), "TOTAL:", IF($D508="TOTAL:","VESSEL TARGET "&amp;'RAW DATA'!$E$2&amp;":",IF('RAW DATA'!$E509&lt;&gt;"",'RAW DATA'!$E509,"")))</f>
        <v/>
      </c>
      <c r="E509" s="4" t="str">
        <f>IF($D508="TOTAL:",FIXED(ROUND(((SUM($E$4:$E507)/'RAW DATA'!$E$2)*100),1),1)&amp;"%",IF($D509="TOTAL:",SUM($E$4:$E508),IF(SUMIF('RAW DATA'!M:M,'RAW DATA'!B509,'RAW DATA'!H:H)=0,"",SUMIF('RAW DATA'!M:M,'RAW DATA'!B509,'RAW DATA'!H:H))))</f>
        <v/>
      </c>
      <c r="F509" s="4" t="str">
        <f>IF($D508="TOTAL:",FIXED(ROUND(((SUM($F$4:$F507)/'RAW DATA'!$E$2)*100),1),1)&amp;"%",IF($D509="TOTAL:",SUM($F$4:$F508),IF(SUMIF('RAW DATA'!M:M,'RAW DATA'!B509,'RAW DATA'!I:I)=0,"",SUMIF('RAW DATA'!M:M,'RAW DATA'!B509,'RAW DATA'!I:I))))</f>
        <v/>
      </c>
      <c r="G509" s="24" t="str">
        <f t="shared" si="7"/>
        <v/>
      </c>
    </row>
    <row r="510" spans="2:7" x14ac:dyDescent="0.25">
      <c r="D510" s="1" t="str">
        <f>IF(AND($B509&lt;&gt;"", $B510=""), "TOTAL:", IF($D509="TOTAL:","VESSEL TARGET "&amp;'RAW DATA'!$E$2&amp;":",IF('RAW DATA'!$E510&lt;&gt;"",'RAW DATA'!$E510,"")))</f>
        <v/>
      </c>
      <c r="E510" s="4" t="str">
        <f>IF($D509="TOTAL:",FIXED(ROUND(((SUM($E$4:$E508)/'RAW DATA'!$E$2)*100),1),1)&amp;"%",IF($D510="TOTAL:",SUM($E$4:$E509),IF(SUMIF('RAW DATA'!M:M,'RAW DATA'!B510,'RAW DATA'!H:H)=0,"",SUMIF('RAW DATA'!M:M,'RAW DATA'!B510,'RAW DATA'!H:H))))</f>
        <v/>
      </c>
      <c r="F510" s="4" t="str">
        <f>IF($D509="TOTAL:",FIXED(ROUND(((SUM($F$4:$F508)/'RAW DATA'!$E$2)*100),1),1)&amp;"%",IF($D510="TOTAL:",SUM($F$4:$F509),IF(SUMIF('RAW DATA'!M:M,'RAW DATA'!B510,'RAW DATA'!I:I)=0,"",SUMIF('RAW DATA'!M:M,'RAW DATA'!B510,'RAW DATA'!I:I))))</f>
        <v/>
      </c>
      <c r="G510" s="24" t="str">
        <f t="shared" si="7"/>
        <v/>
      </c>
    </row>
    <row r="511" spans="2:7" x14ac:dyDescent="0.25">
      <c r="D511" s="1" t="str">
        <f>IF(AND($B510&lt;&gt;"", $B511=""), "TOTAL:", IF($D510="TOTAL:","VESSEL TARGET "&amp;'RAW DATA'!$E$2&amp;":",IF('RAW DATA'!$E511&lt;&gt;"",'RAW DATA'!$E511,"")))</f>
        <v/>
      </c>
      <c r="E511" s="4" t="str">
        <f>IF($D510="TOTAL:",FIXED(ROUND(((SUM($E$4:$E509)/'RAW DATA'!$E$2)*100),1),1)&amp;"%",IF($D511="TOTAL:",SUM($E$4:$E510),IF(SUMIF('RAW DATA'!M:M,'RAW DATA'!B511,'RAW DATA'!H:H)=0,"",SUMIF('RAW DATA'!M:M,'RAW DATA'!B511,'RAW DATA'!H:H))))</f>
        <v/>
      </c>
      <c r="F511" s="4" t="str">
        <f>IF($D510="TOTAL:",FIXED(ROUND(((SUM($F$4:$F509)/'RAW DATA'!$E$2)*100),1),1)&amp;"%",IF($D511="TOTAL:",SUM($F$4:$F510),IF(SUMIF('RAW DATA'!M:M,'RAW DATA'!B511,'RAW DATA'!I:I)=0,"",SUMIF('RAW DATA'!M:M,'RAW DATA'!B511,'RAW DATA'!I:I))))</f>
        <v/>
      </c>
      <c r="G511" s="24" t="str">
        <f t="shared" si="7"/>
        <v/>
      </c>
    </row>
    <row r="512" spans="2:7" x14ac:dyDescent="0.25">
      <c r="D512" s="1" t="str">
        <f>IF(AND($B511&lt;&gt;"", $B512=""), "TOTAL:", IF($D511="TOTAL:","VESSEL TARGET "&amp;'RAW DATA'!$E$2&amp;":",IF('RAW DATA'!$E512&lt;&gt;"",'RAW DATA'!$E512,"")))</f>
        <v/>
      </c>
      <c r="E512" s="4" t="str">
        <f>IF($D511="TOTAL:",FIXED(ROUND(((SUM($E$4:$E510)/'RAW DATA'!$E$2)*100),1),1)&amp;"%",IF($D512="TOTAL:",SUM($E$4:$E511),IF(SUMIF('RAW DATA'!M:M,'RAW DATA'!B512,'RAW DATA'!H:H)=0,"",SUMIF('RAW DATA'!M:M,'RAW DATA'!B512,'RAW DATA'!H:H))))</f>
        <v/>
      </c>
      <c r="F512" s="4" t="str">
        <f>IF($D511="TOTAL:",FIXED(ROUND(((SUM($F$4:$F510)/'RAW DATA'!$E$2)*100),1),1)&amp;"%",IF($D512="TOTAL:",SUM($F$4:$F511),IF(SUMIF('RAW DATA'!M:M,'RAW DATA'!B512,'RAW DATA'!I:I)=0,"",SUMIF('RAW DATA'!M:M,'RAW DATA'!B512,'RAW DATA'!I:I))))</f>
        <v/>
      </c>
      <c r="G512" s="24" t="str">
        <f t="shared" si="7"/>
        <v/>
      </c>
    </row>
    <row r="513" spans="4:7" x14ac:dyDescent="0.25">
      <c r="D513" s="1" t="str">
        <f>IF(AND($B512&lt;&gt;"", $B513=""), "TOTAL:", IF($D512="TOTAL:","VESSEL TARGET "&amp;'RAW DATA'!$E$2&amp;":",IF('RAW DATA'!$E513&lt;&gt;"",'RAW DATA'!$E513,"")))</f>
        <v/>
      </c>
      <c r="E513" s="4" t="str">
        <f>IF($D512="TOTAL:",FIXED(ROUND(((SUM($E$4:$E511)/'RAW DATA'!$E$2)*100),1),1)&amp;"%",IF($D513="TOTAL:",SUM($E$4:$E512),IF(SUMIF('RAW DATA'!M:M,'RAW DATA'!B513,'RAW DATA'!H:H)=0,"",SUMIF('RAW DATA'!M:M,'RAW DATA'!B513,'RAW DATA'!H:H))))</f>
        <v/>
      </c>
      <c r="F513" s="4" t="str">
        <f>IF($D512="TOTAL:",FIXED(ROUND(((SUM($F$4:$F511)/'RAW DATA'!$E$2)*100),1),1)&amp;"%",IF($D513="TOTAL:",SUM($F$4:$F512),IF(SUMIF('RAW DATA'!M:M,'RAW DATA'!B513,'RAW DATA'!I:I)=0,"",SUMIF('RAW DATA'!M:M,'RAW DATA'!B513,'RAW DATA'!I:I))))</f>
        <v/>
      </c>
      <c r="G513" s="24" t="str">
        <f t="shared" si="7"/>
        <v/>
      </c>
    </row>
    <row r="514" spans="4:7" x14ac:dyDescent="0.25">
      <c r="D514" s="1" t="str">
        <f>IF(AND($B513&lt;&gt;"", $B514=""), "TOTAL:", IF($D513="TOTAL:","VESSEL TARGET "&amp;'RAW DATA'!$E$2&amp;":",IF('RAW DATA'!$E514&lt;&gt;"",'RAW DATA'!$E514,"")))</f>
        <v/>
      </c>
      <c r="E514" s="4" t="str">
        <f>IF($D513="TOTAL:",FIXED(ROUND(((SUM($E$4:$E512)/'RAW DATA'!$E$2)*100),1),1)&amp;"%",IF($D514="TOTAL:",SUM($E$4:$E513),IF(SUMIF('RAW DATA'!M:M,'RAW DATA'!B514,'RAW DATA'!H:H)=0,"",SUMIF('RAW DATA'!M:M,'RAW DATA'!B514,'RAW DATA'!H:H))))</f>
        <v/>
      </c>
      <c r="F514" s="4" t="str">
        <f>IF($D513="TOTAL:",FIXED(ROUND(((SUM($F$4:$F512)/'RAW DATA'!$E$2)*100),1),1)&amp;"%",IF($D514="TOTAL:",SUM($F$4:$F513),IF(SUMIF('RAW DATA'!M:M,'RAW DATA'!B514,'RAW DATA'!I:I)=0,"",SUMIF('RAW DATA'!M:M,'RAW DATA'!B514,'RAW DATA'!I:I))))</f>
        <v/>
      </c>
      <c r="G514" s="24" t="str">
        <f t="shared" si="7"/>
        <v/>
      </c>
    </row>
    <row r="515" spans="4:7" x14ac:dyDescent="0.25">
      <c r="D515" s="1" t="str">
        <f>IF(AND($B514&lt;&gt;"", $B515=""), "TOTAL:", IF($D514="TOTAL:","VESSEL TARGET "&amp;'RAW DATA'!$E$2&amp;":",IF('RAW DATA'!$E515&lt;&gt;"",'RAW DATA'!$E515,"")))</f>
        <v/>
      </c>
      <c r="E515" s="4" t="str">
        <f>IF($D514="TOTAL:",FIXED(ROUND(((SUM($E$4:$E513)/'RAW DATA'!$E$2)*100),1),1)&amp;"%",IF($D515="TOTAL:",SUM($E$4:$E514),IF(SUMIF('RAW DATA'!M:M,'RAW DATA'!B515,'RAW DATA'!H:H)=0,"",SUMIF('RAW DATA'!M:M,'RAW DATA'!B515,'RAW DATA'!H:H))))</f>
        <v/>
      </c>
      <c r="F515" s="4" t="str">
        <f>IF($D514="TOTAL:",FIXED(ROUND(((SUM($F$4:$F513)/'RAW DATA'!$E$2)*100),1),1)&amp;"%",IF($D515="TOTAL:",SUM($F$4:$F514),IF(SUMIF('RAW DATA'!M:M,'RAW DATA'!B515,'RAW DATA'!I:I)=0,"",SUMIF('RAW DATA'!M:M,'RAW DATA'!B515,'RAW DATA'!I:I))))</f>
        <v/>
      </c>
      <c r="G515" s="24" t="str">
        <f t="shared" si="7"/>
        <v/>
      </c>
    </row>
    <row r="516" spans="4:7" x14ac:dyDescent="0.25">
      <c r="D516" s="1" t="str">
        <f>IF(AND($B515&lt;&gt;"", $B516=""), "TOTAL:", IF($D515="TOTAL:","VESSEL TARGET "&amp;'RAW DATA'!$E$2&amp;":",IF('RAW DATA'!$E516&lt;&gt;"",'RAW DATA'!$E516,"")))</f>
        <v/>
      </c>
      <c r="E516" s="4" t="str">
        <f>IF($D515="TOTAL:",FIXED(ROUND(((SUM($E$4:$E514)/'RAW DATA'!$E$2)*100),1),1)&amp;"%",IF($D516="TOTAL:",SUM($E$4:$E515),IF(SUMIF('RAW DATA'!M:M,'RAW DATA'!B516,'RAW DATA'!H:H)=0,"",SUMIF('RAW DATA'!M:M,'RAW DATA'!B516,'RAW DATA'!H:H))))</f>
        <v/>
      </c>
      <c r="F516" s="4" t="str">
        <f>IF($D515="TOTAL:",FIXED(ROUND(((SUM($F$4:$F514)/'RAW DATA'!$E$2)*100),1),1)&amp;"%",IF($D516="TOTAL:",SUM($F$4:$F515),IF(SUMIF('RAW DATA'!M:M,'RAW DATA'!B516,'RAW DATA'!I:I)=0,"",SUMIF('RAW DATA'!M:M,'RAW DATA'!B516,'RAW DATA'!I:I))))</f>
        <v/>
      </c>
      <c r="G516" s="24" t="str">
        <f t="shared" si="7"/>
        <v/>
      </c>
    </row>
    <row r="517" spans="4:7" x14ac:dyDescent="0.25">
      <c r="D517" s="1" t="str">
        <f>IF(AND($B516&lt;&gt;"", $B517=""), "TOTAL:", IF($D516="TOTAL:","VESSEL TARGET "&amp;'RAW DATA'!$E$2&amp;":",IF('RAW DATA'!$E517&lt;&gt;"",'RAW DATA'!$E517,"")))</f>
        <v/>
      </c>
      <c r="E517" s="4" t="str">
        <f>IF($D516="TOTAL:",FIXED(ROUND(((SUM($E$4:$E515)/'RAW DATA'!$E$2)*100),1),1)&amp;"%",IF($D517="TOTAL:",SUM($E$4:$E516),IF(SUMIF('RAW DATA'!M:M,'RAW DATA'!B517,'RAW DATA'!H:H)=0,"",SUMIF('RAW DATA'!M:M,'RAW DATA'!B517,'RAW DATA'!H:H))))</f>
        <v/>
      </c>
      <c r="F517" s="4" t="str">
        <f>IF($D516="TOTAL:",FIXED(ROUND(((SUM($F$4:$F515)/'RAW DATA'!$E$2)*100),1),1)&amp;"%",IF($D517="TOTAL:",SUM($F$4:$F516),IF(SUMIF('RAW DATA'!M:M,'RAW DATA'!B517,'RAW DATA'!I:I)=0,"",SUMIF('RAW DATA'!M:M,'RAW DATA'!B517,'RAW DATA'!I:I))))</f>
        <v/>
      </c>
      <c r="G517" s="24" t="str">
        <f t="shared" si="7"/>
        <v/>
      </c>
    </row>
    <row r="518" spans="4:7" x14ac:dyDescent="0.25">
      <c r="D518" s="1" t="str">
        <f>IF(AND($B517&lt;&gt;"", $B518=""), "TOTAL:", IF($D517="TOTAL:","VESSEL TARGET "&amp;'RAW DATA'!$E$2&amp;":",IF('RAW DATA'!$E518&lt;&gt;"",'RAW DATA'!$E518,"")))</f>
        <v/>
      </c>
      <c r="E518" s="4" t="str">
        <f>IF($D517="TOTAL:",FIXED(ROUND(((SUM($E$4:$E516)/'RAW DATA'!$E$2)*100),1),1)&amp;"%",IF($D518="TOTAL:",SUM($E$4:$E517),IF(SUMIF('RAW DATA'!M:M,'RAW DATA'!B518,'RAW DATA'!H:H)=0,"",SUMIF('RAW DATA'!M:M,'RAW DATA'!B518,'RAW DATA'!H:H))))</f>
        <v/>
      </c>
      <c r="F518" s="4" t="str">
        <f>IF($D517="TOTAL:",FIXED(ROUND(((SUM($F$4:$F516)/'RAW DATA'!$E$2)*100),1),1)&amp;"%",IF($D518="TOTAL:",SUM($F$4:$F517),IF(SUMIF('RAW DATA'!M:M,'RAW DATA'!B518,'RAW DATA'!I:I)=0,"",SUMIF('RAW DATA'!M:M,'RAW DATA'!B518,'RAW DATA'!I:I))))</f>
        <v/>
      </c>
      <c r="G518" s="24" t="str">
        <f t="shared" ref="G518:G581" si="8">IF(OR($B518="", $E518="",$F518=""),"",IF(AND($E518&gt;=2,$F518&gt;=2),1,""))</f>
        <v/>
      </c>
    </row>
    <row r="519" spans="4:7" x14ac:dyDescent="0.25">
      <c r="D519" s="1" t="str">
        <f>IF(AND($B518&lt;&gt;"", $B519=""), "TOTAL:", IF($D518="TOTAL:","VESSEL TARGET "&amp;'RAW DATA'!$E$2&amp;":",IF('RAW DATA'!$E519&lt;&gt;"",'RAW DATA'!$E519,"")))</f>
        <v/>
      </c>
      <c r="E519" s="4" t="str">
        <f>IF($D518="TOTAL:",FIXED(ROUND(((SUM($E$4:$E517)/'RAW DATA'!$E$2)*100),1),1)&amp;"%",IF($D519="TOTAL:",SUM($E$4:$E518),IF(SUMIF('RAW DATA'!M:M,'RAW DATA'!B519,'RAW DATA'!H:H)=0,"",SUMIF('RAW DATA'!M:M,'RAW DATA'!B519,'RAW DATA'!H:H))))</f>
        <v/>
      </c>
      <c r="F519" s="4" t="str">
        <f>IF($D518="TOTAL:",FIXED(ROUND(((SUM($F$4:$F517)/'RAW DATA'!$E$2)*100),1),1)&amp;"%",IF($D519="TOTAL:",SUM($F$4:$F518),IF(SUMIF('RAW DATA'!M:M,'RAW DATA'!B519,'RAW DATA'!I:I)=0,"",SUMIF('RAW DATA'!M:M,'RAW DATA'!B519,'RAW DATA'!I:I))))</f>
        <v/>
      </c>
      <c r="G519" s="24" t="str">
        <f t="shared" si="8"/>
        <v/>
      </c>
    </row>
    <row r="520" spans="4:7" x14ac:dyDescent="0.25">
      <c r="D520" s="1" t="str">
        <f>IF(AND($B519&lt;&gt;"", $B520=""), "TOTAL:", IF($D519="TOTAL:","VESSEL TARGET "&amp;'RAW DATA'!$E$2&amp;":",IF('RAW DATA'!$E520&lt;&gt;"",'RAW DATA'!$E520,"")))</f>
        <v/>
      </c>
      <c r="E520" s="4" t="str">
        <f>IF($D519="TOTAL:",FIXED(ROUND(((SUM($E$4:$E518)/'RAW DATA'!$E$2)*100),1),1)&amp;"%",IF($D520="TOTAL:",SUM($E$4:$E519),IF(SUMIF('RAW DATA'!M:M,'RAW DATA'!B520,'RAW DATA'!H:H)=0,"",SUMIF('RAW DATA'!M:M,'RAW DATA'!B520,'RAW DATA'!H:H))))</f>
        <v/>
      </c>
      <c r="F520" s="4" t="str">
        <f>IF($D519="TOTAL:",FIXED(ROUND(((SUM($F$4:$F518)/'RAW DATA'!$E$2)*100),1),1)&amp;"%",IF($D520="TOTAL:",SUM($F$4:$F519),IF(SUMIF('RAW DATA'!M:M,'RAW DATA'!B520,'RAW DATA'!I:I)=0,"",SUMIF('RAW DATA'!M:M,'RAW DATA'!B520,'RAW DATA'!I:I))))</f>
        <v/>
      </c>
      <c r="G520" s="24" t="str">
        <f t="shared" si="8"/>
        <v/>
      </c>
    </row>
    <row r="521" spans="4:7" x14ac:dyDescent="0.25">
      <c r="D521" s="1" t="str">
        <f>IF(AND($B520&lt;&gt;"", $B521=""), "TOTAL:", IF($D520="TOTAL:","VESSEL TARGET "&amp;'RAW DATA'!$E$2&amp;":",IF('RAW DATA'!$E521&lt;&gt;"",'RAW DATA'!$E521,"")))</f>
        <v/>
      </c>
      <c r="E521" s="4" t="str">
        <f>IF($D520="TOTAL:",FIXED(ROUND(((SUM($E$4:$E519)/'RAW DATA'!$E$2)*100),1),1)&amp;"%",IF($D521="TOTAL:",SUM($E$4:$E520),IF(SUMIF('RAW DATA'!M:M,'RAW DATA'!B521,'RAW DATA'!H:H)=0,"",SUMIF('RAW DATA'!M:M,'RAW DATA'!B521,'RAW DATA'!H:H))))</f>
        <v/>
      </c>
      <c r="F521" s="4" t="str">
        <f>IF($D520="TOTAL:",FIXED(ROUND(((SUM($F$4:$F519)/'RAW DATA'!$E$2)*100),1),1)&amp;"%",IF($D521="TOTAL:",SUM($F$4:$F520),IF(SUMIF('RAW DATA'!M:M,'RAW DATA'!B521,'RAW DATA'!I:I)=0,"",SUMIF('RAW DATA'!M:M,'RAW DATA'!B521,'RAW DATA'!I:I))))</f>
        <v/>
      </c>
      <c r="G521" s="24" t="str">
        <f t="shared" si="8"/>
        <v/>
      </c>
    </row>
    <row r="522" spans="4:7" x14ac:dyDescent="0.25">
      <c r="D522" s="1" t="str">
        <f>IF(AND($B521&lt;&gt;"", $B522=""), "TOTAL:", IF($D521="TOTAL:","VESSEL TARGET "&amp;'RAW DATA'!$E$2&amp;":",IF('RAW DATA'!$E522&lt;&gt;"",'RAW DATA'!$E522,"")))</f>
        <v/>
      </c>
      <c r="E522" s="4" t="str">
        <f>IF($D521="TOTAL:",FIXED(ROUND(((SUM($E$4:$E520)/'RAW DATA'!$E$2)*100),1),1)&amp;"%",IF($D522="TOTAL:",SUM($E$4:$E521),IF(SUMIF('RAW DATA'!M:M,'RAW DATA'!B522,'RAW DATA'!H:H)=0,"",SUMIF('RAW DATA'!M:M,'RAW DATA'!B522,'RAW DATA'!H:H))))</f>
        <v/>
      </c>
      <c r="F522" s="4" t="str">
        <f>IF($D521="TOTAL:",FIXED(ROUND(((SUM($F$4:$F520)/'RAW DATA'!$E$2)*100),1),1)&amp;"%",IF($D522="TOTAL:",SUM($F$4:$F521),IF(SUMIF('RAW DATA'!M:M,'RAW DATA'!B522,'RAW DATA'!I:I)=0,"",SUMIF('RAW DATA'!M:M,'RAW DATA'!B522,'RAW DATA'!I:I))))</f>
        <v/>
      </c>
      <c r="G522" s="24" t="str">
        <f t="shared" si="8"/>
        <v/>
      </c>
    </row>
    <row r="523" spans="4:7" x14ac:dyDescent="0.25">
      <c r="D523" s="1" t="str">
        <f>IF(AND($B522&lt;&gt;"", $B523=""), "TOTAL:", IF($D522="TOTAL:","VESSEL TARGET "&amp;'RAW DATA'!$E$2&amp;":",IF('RAW DATA'!$E523&lt;&gt;"",'RAW DATA'!$E523,"")))</f>
        <v/>
      </c>
      <c r="E523" s="4" t="str">
        <f>IF($D522="TOTAL:",FIXED(ROUND(((SUM($E$4:$E521)/'RAW DATA'!$E$2)*100),1),1)&amp;"%",IF($D523="TOTAL:",SUM($E$4:$E522),IF(SUMIF('RAW DATA'!M:M,'RAW DATA'!B523,'RAW DATA'!H:H)=0,"",SUMIF('RAW DATA'!M:M,'RAW DATA'!B523,'RAW DATA'!H:H))))</f>
        <v/>
      </c>
      <c r="F523" s="4" t="str">
        <f>IF($D522="TOTAL:",FIXED(ROUND(((SUM($F$4:$F521)/'RAW DATA'!$E$2)*100),1),1)&amp;"%",IF($D523="TOTAL:",SUM($F$4:$F522),IF(SUMIF('RAW DATA'!M:M,'RAW DATA'!B523,'RAW DATA'!I:I)=0,"",SUMIF('RAW DATA'!M:M,'RAW DATA'!B523,'RAW DATA'!I:I))))</f>
        <v/>
      </c>
      <c r="G523" s="24" t="str">
        <f t="shared" si="8"/>
        <v/>
      </c>
    </row>
    <row r="524" spans="4:7" x14ac:dyDescent="0.25">
      <c r="D524" s="1" t="str">
        <f>IF(AND($B523&lt;&gt;"", $B524=""), "TOTAL:", IF($D523="TOTAL:","VESSEL TARGET "&amp;'RAW DATA'!$E$2&amp;":",IF('RAW DATA'!$E524&lt;&gt;"",'RAW DATA'!$E524,"")))</f>
        <v/>
      </c>
      <c r="E524" s="4" t="str">
        <f>IF($D523="TOTAL:",FIXED(ROUND(((SUM($E$4:$E522)/'RAW DATA'!$E$2)*100),1),1)&amp;"%",IF($D524="TOTAL:",SUM($E$4:$E523),IF(SUMIF('RAW DATA'!M:M,'RAW DATA'!B524,'RAW DATA'!H:H)=0,"",SUMIF('RAW DATA'!M:M,'RAW DATA'!B524,'RAW DATA'!H:H))))</f>
        <v/>
      </c>
      <c r="F524" s="4" t="str">
        <f>IF($D523="TOTAL:",FIXED(ROUND(((SUM($F$4:$F522)/'RAW DATA'!$E$2)*100),1),1)&amp;"%",IF($D524="TOTAL:",SUM($F$4:$F523),IF(SUMIF('RAW DATA'!M:M,'RAW DATA'!B524,'RAW DATA'!I:I)=0,"",SUMIF('RAW DATA'!M:M,'RAW DATA'!B524,'RAW DATA'!I:I))))</f>
        <v/>
      </c>
      <c r="G524" s="24" t="str">
        <f t="shared" si="8"/>
        <v/>
      </c>
    </row>
    <row r="525" spans="4:7" x14ac:dyDescent="0.25">
      <c r="D525" s="1" t="str">
        <f>IF(AND($B524&lt;&gt;"", $B525=""), "TOTAL:", IF($D524="TOTAL:","VESSEL TARGET "&amp;'RAW DATA'!$E$2&amp;":",IF('RAW DATA'!$E525&lt;&gt;"",'RAW DATA'!$E525,"")))</f>
        <v/>
      </c>
      <c r="E525" s="4" t="str">
        <f>IF($D524="TOTAL:",FIXED(ROUND(((SUM($E$4:$E523)/'RAW DATA'!$E$2)*100),1),1)&amp;"%",IF($D525="TOTAL:",SUM($E$4:$E524),IF(SUMIF('RAW DATA'!M:M,'RAW DATA'!B525,'RAW DATA'!H:H)=0,"",SUMIF('RAW DATA'!M:M,'RAW DATA'!B525,'RAW DATA'!H:H))))</f>
        <v/>
      </c>
      <c r="F525" s="4" t="str">
        <f>IF($D524="TOTAL:",FIXED(ROUND(((SUM($F$4:$F523)/'RAW DATA'!$E$2)*100),1),1)&amp;"%",IF($D525="TOTAL:",SUM($F$4:$F524),IF(SUMIF('RAW DATA'!M:M,'RAW DATA'!B525,'RAW DATA'!I:I)=0,"",SUMIF('RAW DATA'!M:M,'RAW DATA'!B525,'RAW DATA'!I:I))))</f>
        <v/>
      </c>
      <c r="G525" s="24" t="str">
        <f t="shared" si="8"/>
        <v/>
      </c>
    </row>
    <row r="526" spans="4:7" x14ac:dyDescent="0.25">
      <c r="D526" s="1" t="str">
        <f>IF(AND($B525&lt;&gt;"", $B526=""), "TOTAL:", IF($D525="TOTAL:","VESSEL TARGET "&amp;'RAW DATA'!$E$2&amp;":",IF('RAW DATA'!$E526&lt;&gt;"",'RAW DATA'!$E526,"")))</f>
        <v/>
      </c>
      <c r="E526" s="4" t="str">
        <f>IF($D525="TOTAL:",FIXED(ROUND(((SUM($E$4:$E524)/'RAW DATA'!$E$2)*100),1),1)&amp;"%",IF($D526="TOTAL:",SUM($E$4:$E525),IF(SUMIF('RAW DATA'!M:M,'RAW DATA'!B526,'RAW DATA'!H:H)=0,"",SUMIF('RAW DATA'!M:M,'RAW DATA'!B526,'RAW DATA'!H:H))))</f>
        <v/>
      </c>
      <c r="F526" s="4" t="str">
        <f>IF($D525="TOTAL:",FIXED(ROUND(((SUM($F$4:$F524)/'RAW DATA'!$E$2)*100),1),1)&amp;"%",IF($D526="TOTAL:",SUM($F$4:$F525),IF(SUMIF('RAW DATA'!M:M,'RAW DATA'!B526,'RAW DATA'!I:I)=0,"",SUMIF('RAW DATA'!M:M,'RAW DATA'!B526,'RAW DATA'!I:I))))</f>
        <v/>
      </c>
      <c r="G526" s="24" t="str">
        <f t="shared" si="8"/>
        <v/>
      </c>
    </row>
    <row r="527" spans="4:7" x14ac:dyDescent="0.25">
      <c r="D527" s="1" t="str">
        <f>IF(AND($B526&lt;&gt;"", $B527=""), "TOTAL:", IF($D526="TOTAL:","VESSEL TARGET "&amp;'RAW DATA'!$E$2&amp;":",IF('RAW DATA'!$E527&lt;&gt;"",'RAW DATA'!$E527,"")))</f>
        <v/>
      </c>
      <c r="E527" s="4" t="str">
        <f>IF($D526="TOTAL:",FIXED(ROUND(((SUM($E$4:$E525)/'RAW DATA'!$E$2)*100),1),1)&amp;"%",IF($D527="TOTAL:",SUM($E$4:$E526),IF(SUMIF('RAW DATA'!M:M,'RAW DATA'!B527,'RAW DATA'!H:H)=0,"",SUMIF('RAW DATA'!M:M,'RAW DATA'!B527,'RAW DATA'!H:H))))</f>
        <v/>
      </c>
      <c r="F527" s="4" t="str">
        <f>IF($D526="TOTAL:",FIXED(ROUND(((SUM($F$4:$F525)/'RAW DATA'!$E$2)*100),1),1)&amp;"%",IF($D527="TOTAL:",SUM($F$4:$F526),IF(SUMIF('RAW DATA'!M:M,'RAW DATA'!B527,'RAW DATA'!I:I)=0,"",SUMIF('RAW DATA'!M:M,'RAW DATA'!B527,'RAW DATA'!I:I))))</f>
        <v/>
      </c>
      <c r="G527" s="24" t="str">
        <f t="shared" si="8"/>
        <v/>
      </c>
    </row>
    <row r="528" spans="4:7" x14ac:dyDescent="0.25">
      <c r="D528" s="1" t="str">
        <f>IF(AND($B527&lt;&gt;"", $B528=""), "TOTAL:", IF($D527="TOTAL:","VESSEL TARGET "&amp;'RAW DATA'!$E$2&amp;":",IF('RAW DATA'!$E528&lt;&gt;"",'RAW DATA'!$E528,"")))</f>
        <v/>
      </c>
      <c r="E528" s="4" t="str">
        <f>IF($D527="TOTAL:",FIXED(ROUND(((SUM($E$4:$E526)/'RAW DATA'!$E$2)*100),1),1)&amp;"%",IF($D528="TOTAL:",SUM($E$4:$E527),IF(SUMIF('RAW DATA'!M:M,'RAW DATA'!B528,'RAW DATA'!H:H)=0,"",SUMIF('RAW DATA'!M:M,'RAW DATA'!B528,'RAW DATA'!H:H))))</f>
        <v/>
      </c>
      <c r="F528" s="4" t="str">
        <f>IF($D527="TOTAL:",FIXED(ROUND(((SUM($F$4:$F526)/'RAW DATA'!$E$2)*100),1),1)&amp;"%",IF($D528="TOTAL:",SUM($F$4:$F527),IF(SUMIF('RAW DATA'!M:M,'RAW DATA'!B528,'RAW DATA'!I:I)=0,"",SUMIF('RAW DATA'!M:M,'RAW DATA'!B528,'RAW DATA'!I:I))))</f>
        <v/>
      </c>
      <c r="G528" s="24" t="str">
        <f t="shared" si="8"/>
        <v/>
      </c>
    </row>
    <row r="529" spans="4:7" x14ac:dyDescent="0.25">
      <c r="D529" s="1" t="str">
        <f>IF(AND($B528&lt;&gt;"", $B529=""), "TOTAL:", IF($D528="TOTAL:","VESSEL TARGET "&amp;'RAW DATA'!$E$2&amp;":",IF('RAW DATA'!$E529&lt;&gt;"",'RAW DATA'!$E529,"")))</f>
        <v/>
      </c>
      <c r="E529" s="4" t="str">
        <f>IF($D528="TOTAL:",FIXED(ROUND(((SUM($E$4:$E527)/'RAW DATA'!$E$2)*100),1),1)&amp;"%",IF($D529="TOTAL:",SUM($E$4:$E528),IF(SUMIF('RAW DATA'!M:M,'RAW DATA'!B529,'RAW DATA'!H:H)=0,"",SUMIF('RAW DATA'!M:M,'RAW DATA'!B529,'RAW DATA'!H:H))))</f>
        <v/>
      </c>
      <c r="F529" s="4" t="str">
        <f>IF($D528="TOTAL:",FIXED(ROUND(((SUM($F$4:$F527)/'RAW DATA'!$E$2)*100),1),1)&amp;"%",IF($D529="TOTAL:",SUM($F$4:$F528),IF(SUMIF('RAW DATA'!M:M,'RAW DATA'!B529,'RAW DATA'!I:I)=0,"",SUMIF('RAW DATA'!M:M,'RAW DATA'!B529,'RAW DATA'!I:I))))</f>
        <v/>
      </c>
      <c r="G529" s="24" t="str">
        <f t="shared" si="8"/>
        <v/>
      </c>
    </row>
    <row r="530" spans="4:7" x14ac:dyDescent="0.25">
      <c r="D530" s="1" t="str">
        <f>IF(AND($B529&lt;&gt;"", $B530=""), "TOTAL:", IF($D529="TOTAL:","VESSEL TARGET "&amp;'RAW DATA'!$E$2&amp;":",IF('RAW DATA'!$E530&lt;&gt;"",'RAW DATA'!$E530,"")))</f>
        <v/>
      </c>
      <c r="E530" s="4" t="str">
        <f>IF($D529="TOTAL:",FIXED(ROUND(((SUM($E$4:$E528)/'RAW DATA'!$E$2)*100),1),1)&amp;"%",IF($D530="TOTAL:",SUM($E$4:$E529),IF(SUMIF('RAW DATA'!M:M,'RAW DATA'!B530,'RAW DATA'!H:H)=0,"",SUMIF('RAW DATA'!M:M,'RAW DATA'!B530,'RAW DATA'!H:H))))</f>
        <v/>
      </c>
      <c r="F530" s="4" t="str">
        <f>IF($D529="TOTAL:",FIXED(ROUND(((SUM($F$4:$F528)/'RAW DATA'!$E$2)*100),1),1)&amp;"%",IF($D530="TOTAL:",SUM($F$4:$F529),IF(SUMIF('RAW DATA'!M:M,'RAW DATA'!B530,'RAW DATA'!I:I)=0,"",SUMIF('RAW DATA'!M:M,'RAW DATA'!B530,'RAW DATA'!I:I))))</f>
        <v/>
      </c>
      <c r="G530" s="24" t="str">
        <f t="shared" si="8"/>
        <v/>
      </c>
    </row>
    <row r="531" spans="4:7" x14ac:dyDescent="0.25">
      <c r="D531" s="1" t="str">
        <f>IF(AND($B530&lt;&gt;"", $B531=""), "TOTAL:", IF($D530="TOTAL:","VESSEL TARGET "&amp;'RAW DATA'!$E$2&amp;":",IF('RAW DATA'!$E531&lt;&gt;"",'RAW DATA'!$E531,"")))</f>
        <v/>
      </c>
      <c r="E531" s="4" t="str">
        <f>IF($D530="TOTAL:",FIXED(ROUND(((SUM($E$4:$E529)/'RAW DATA'!$E$2)*100),1),1)&amp;"%",IF($D531="TOTAL:",SUM($E$4:$E530),IF(SUMIF('RAW DATA'!M:M,'RAW DATA'!B531,'RAW DATA'!H:H)=0,"",SUMIF('RAW DATA'!M:M,'RAW DATA'!B531,'RAW DATA'!H:H))))</f>
        <v/>
      </c>
      <c r="F531" s="4" t="str">
        <f>IF($D530="TOTAL:",FIXED(ROUND(((SUM($F$4:$F529)/'RAW DATA'!$E$2)*100),1),1)&amp;"%",IF($D531="TOTAL:",SUM($F$4:$F530),IF(SUMIF('RAW DATA'!M:M,'RAW DATA'!B531,'RAW DATA'!I:I)=0,"",SUMIF('RAW DATA'!M:M,'RAW DATA'!B531,'RAW DATA'!I:I))))</f>
        <v/>
      </c>
      <c r="G531" s="24" t="str">
        <f t="shared" si="8"/>
        <v/>
      </c>
    </row>
    <row r="532" spans="4:7" x14ac:dyDescent="0.25">
      <c r="D532" s="1" t="str">
        <f>IF(AND($B531&lt;&gt;"", $B532=""), "TOTAL:", IF($D531="TOTAL:","VESSEL TARGET "&amp;'RAW DATA'!$E$2&amp;":",IF('RAW DATA'!$E532&lt;&gt;"",'RAW DATA'!$E532,"")))</f>
        <v/>
      </c>
      <c r="E532" s="4" t="str">
        <f>IF($D531="TOTAL:",FIXED(ROUND(((SUM($E$4:$E530)/'RAW DATA'!$E$2)*100),1),1)&amp;"%",IF($D532="TOTAL:",SUM($E$4:$E531),IF(SUMIF('RAW DATA'!M:M,'RAW DATA'!B532,'RAW DATA'!H:H)=0,"",SUMIF('RAW DATA'!M:M,'RAW DATA'!B532,'RAW DATA'!H:H))))</f>
        <v/>
      </c>
      <c r="F532" s="4" t="str">
        <f>IF($D531="TOTAL:",FIXED(ROUND(((SUM($F$4:$F530)/'RAW DATA'!$E$2)*100),1),1)&amp;"%",IF($D532="TOTAL:",SUM($F$4:$F531),IF(SUMIF('RAW DATA'!M:M,'RAW DATA'!B532,'RAW DATA'!I:I)=0,"",SUMIF('RAW DATA'!M:M,'RAW DATA'!B532,'RAW DATA'!I:I))))</f>
        <v/>
      </c>
      <c r="G532" s="24" t="str">
        <f t="shared" si="8"/>
        <v/>
      </c>
    </row>
    <row r="533" spans="4:7" x14ac:dyDescent="0.25">
      <c r="D533" s="1" t="str">
        <f>IF(AND($B532&lt;&gt;"", $B533=""), "TOTAL:", IF($D532="TOTAL:","VESSEL TARGET "&amp;'RAW DATA'!$E$2&amp;":",IF('RAW DATA'!$E533&lt;&gt;"",'RAW DATA'!$E533,"")))</f>
        <v/>
      </c>
      <c r="E533" s="4" t="str">
        <f>IF($D532="TOTAL:",FIXED(ROUND(((SUM($E$4:$E531)/'RAW DATA'!$E$2)*100),1),1)&amp;"%",IF($D533="TOTAL:",SUM($E$4:$E532),IF(SUMIF('RAW DATA'!M:M,'RAW DATA'!B533,'RAW DATA'!H:H)=0,"",SUMIF('RAW DATA'!M:M,'RAW DATA'!B533,'RAW DATA'!H:H))))</f>
        <v/>
      </c>
      <c r="F533" s="4" t="str">
        <f>IF($D532="TOTAL:",FIXED(ROUND(((SUM($F$4:$F531)/'RAW DATA'!$E$2)*100),1),1)&amp;"%",IF($D533="TOTAL:",SUM($F$4:$F532),IF(SUMIF('RAW DATA'!M:M,'RAW DATA'!B533,'RAW DATA'!I:I)=0,"",SUMIF('RAW DATA'!M:M,'RAW DATA'!B533,'RAW DATA'!I:I))))</f>
        <v/>
      </c>
      <c r="G533" s="24" t="str">
        <f t="shared" si="8"/>
        <v/>
      </c>
    </row>
    <row r="534" spans="4:7" x14ac:dyDescent="0.25">
      <c r="D534" s="1" t="str">
        <f>IF(AND($B533&lt;&gt;"", $B534=""), "TOTAL:", IF($D533="TOTAL:","VESSEL TARGET "&amp;'RAW DATA'!$E$2&amp;":",IF('RAW DATA'!$E534&lt;&gt;"",'RAW DATA'!$E534,"")))</f>
        <v/>
      </c>
      <c r="E534" s="4" t="str">
        <f>IF($D533="TOTAL:",FIXED(ROUND(((SUM($E$4:$E532)/'RAW DATA'!$E$2)*100),1),1)&amp;"%",IF($D534="TOTAL:",SUM($E$4:$E533),IF(SUMIF('RAW DATA'!M:M,'RAW DATA'!B534,'RAW DATA'!H:H)=0,"",SUMIF('RAW DATA'!M:M,'RAW DATA'!B534,'RAW DATA'!H:H))))</f>
        <v/>
      </c>
      <c r="F534" s="4" t="str">
        <f>IF($D533="TOTAL:",FIXED(ROUND(((SUM($F$4:$F532)/'RAW DATA'!$E$2)*100),1),1)&amp;"%",IF($D534="TOTAL:",SUM($F$4:$F533),IF(SUMIF('RAW DATA'!M:M,'RAW DATA'!B534,'RAW DATA'!I:I)=0,"",SUMIF('RAW DATA'!M:M,'RAW DATA'!B534,'RAW DATA'!I:I))))</f>
        <v/>
      </c>
      <c r="G534" s="24" t="str">
        <f t="shared" si="8"/>
        <v/>
      </c>
    </row>
    <row r="535" spans="4:7" x14ac:dyDescent="0.25">
      <c r="D535" s="1" t="str">
        <f>IF(AND($B534&lt;&gt;"", $B535=""), "TOTAL:", IF($D534="TOTAL:","VESSEL TARGET "&amp;'RAW DATA'!$E$2&amp;":",IF('RAW DATA'!$E535&lt;&gt;"",'RAW DATA'!$E535,"")))</f>
        <v/>
      </c>
      <c r="E535" s="4" t="str">
        <f>IF($D534="TOTAL:",FIXED(ROUND(((SUM($E$4:$E533)/'RAW DATA'!$E$2)*100),1),1)&amp;"%",IF($D535="TOTAL:",SUM($E$4:$E534),IF(SUMIF('RAW DATA'!M:M,'RAW DATA'!B535,'RAW DATA'!H:H)=0,"",SUMIF('RAW DATA'!M:M,'RAW DATA'!B535,'RAW DATA'!H:H))))</f>
        <v/>
      </c>
      <c r="F535" s="4" t="str">
        <f>IF($D534="TOTAL:",FIXED(ROUND(((SUM($F$4:$F533)/'RAW DATA'!$E$2)*100),1),1)&amp;"%",IF($D535="TOTAL:",SUM($F$4:$F534),IF(SUMIF('RAW DATA'!M:M,'RAW DATA'!B535,'RAW DATA'!I:I)=0,"",SUMIF('RAW DATA'!M:M,'RAW DATA'!B535,'RAW DATA'!I:I))))</f>
        <v/>
      </c>
      <c r="G535" s="24" t="str">
        <f t="shared" si="8"/>
        <v/>
      </c>
    </row>
    <row r="536" spans="4:7" x14ac:dyDescent="0.25">
      <c r="D536" s="1" t="str">
        <f>IF(AND($B535&lt;&gt;"", $B536=""), "TOTAL:", IF($D535="TOTAL:","VESSEL TARGET "&amp;'RAW DATA'!$E$2&amp;":",IF('RAW DATA'!$E536&lt;&gt;"",'RAW DATA'!$E536,"")))</f>
        <v/>
      </c>
      <c r="E536" s="4" t="str">
        <f>IF($D535="TOTAL:",FIXED(ROUND(((SUM($E$4:$E534)/'RAW DATA'!$E$2)*100),1),1)&amp;"%",IF($D536="TOTAL:",SUM($E$4:$E535),IF(SUMIF('RAW DATA'!M:M,'RAW DATA'!B536,'RAW DATA'!H:H)=0,"",SUMIF('RAW DATA'!M:M,'RAW DATA'!B536,'RAW DATA'!H:H))))</f>
        <v/>
      </c>
      <c r="F536" s="4" t="str">
        <f>IF($D535="TOTAL:",FIXED(ROUND(((SUM($F$4:$F534)/'RAW DATA'!$E$2)*100),1),1)&amp;"%",IF($D536="TOTAL:",SUM($F$4:$F535),IF(SUMIF('RAW DATA'!M:M,'RAW DATA'!B536,'RAW DATA'!I:I)=0,"",SUMIF('RAW DATA'!M:M,'RAW DATA'!B536,'RAW DATA'!I:I))))</f>
        <v/>
      </c>
      <c r="G536" s="24" t="str">
        <f t="shared" si="8"/>
        <v/>
      </c>
    </row>
    <row r="537" spans="4:7" x14ac:dyDescent="0.25">
      <c r="D537" s="1" t="str">
        <f>IF(AND($B536&lt;&gt;"", $B537=""), "TOTAL:", IF($D536="TOTAL:","VESSEL TARGET "&amp;'RAW DATA'!$E$2&amp;":",IF('RAW DATA'!$E537&lt;&gt;"",'RAW DATA'!$E537,"")))</f>
        <v/>
      </c>
      <c r="E537" s="4" t="str">
        <f>IF($D536="TOTAL:",FIXED(ROUND(((SUM($E$4:$E535)/'RAW DATA'!$E$2)*100),1),1)&amp;"%",IF($D537="TOTAL:",SUM($E$4:$E536),IF(SUMIF('RAW DATA'!M:M,'RAW DATA'!B537,'RAW DATA'!H:H)=0,"",SUMIF('RAW DATA'!M:M,'RAW DATA'!B537,'RAW DATA'!H:H))))</f>
        <v/>
      </c>
      <c r="F537" s="4" t="str">
        <f>IF($D536="TOTAL:",FIXED(ROUND(((SUM($F$4:$F535)/'RAW DATA'!$E$2)*100),1),1)&amp;"%",IF($D537="TOTAL:",SUM($F$4:$F536),IF(SUMIF('RAW DATA'!M:M,'RAW DATA'!B537,'RAW DATA'!I:I)=0,"",SUMIF('RAW DATA'!M:M,'RAW DATA'!B537,'RAW DATA'!I:I))))</f>
        <v/>
      </c>
      <c r="G537" s="24" t="str">
        <f t="shared" si="8"/>
        <v/>
      </c>
    </row>
    <row r="538" spans="4:7" x14ac:dyDescent="0.25">
      <c r="D538" s="1" t="str">
        <f>IF(AND($B537&lt;&gt;"", $B538=""), "TOTAL:", IF($D537="TOTAL:","VESSEL TARGET "&amp;'RAW DATA'!$E$2&amp;":",IF('RAW DATA'!$E538&lt;&gt;"",'RAW DATA'!$E538,"")))</f>
        <v/>
      </c>
      <c r="E538" s="4" t="str">
        <f>IF($D537="TOTAL:",FIXED(ROUND(((SUM($E$4:$E536)/'RAW DATA'!$E$2)*100),1),1)&amp;"%",IF($D538="TOTAL:",SUM($E$4:$E537),IF(SUMIF('RAW DATA'!M:M,'RAW DATA'!B538,'RAW DATA'!H:H)=0,"",SUMIF('RAW DATA'!M:M,'RAW DATA'!B538,'RAW DATA'!H:H))))</f>
        <v/>
      </c>
      <c r="F538" s="4" t="str">
        <f>IF($D537="TOTAL:",FIXED(ROUND(((SUM($F$4:$F536)/'RAW DATA'!$E$2)*100),1),1)&amp;"%",IF($D538="TOTAL:",SUM($F$4:$F537),IF(SUMIF('RAW DATA'!M:M,'RAW DATA'!B538,'RAW DATA'!I:I)=0,"",SUMIF('RAW DATA'!M:M,'RAW DATA'!B538,'RAW DATA'!I:I))))</f>
        <v/>
      </c>
      <c r="G538" s="24" t="str">
        <f t="shared" si="8"/>
        <v/>
      </c>
    </row>
    <row r="539" spans="4:7" x14ac:dyDescent="0.25">
      <c r="D539" s="1" t="str">
        <f>IF(AND($B538&lt;&gt;"", $B539=""), "TOTAL:", IF($D538="TOTAL:","VESSEL TARGET "&amp;'RAW DATA'!$E$2&amp;":",IF('RAW DATA'!$E539&lt;&gt;"",'RAW DATA'!$E539,"")))</f>
        <v/>
      </c>
      <c r="E539" s="4" t="str">
        <f>IF($D538="TOTAL:",FIXED(ROUND(((SUM($E$4:$E537)/'RAW DATA'!$E$2)*100),1),1)&amp;"%",IF($D539="TOTAL:",SUM($E$4:$E538),IF(SUMIF('RAW DATA'!M:M,'RAW DATA'!B539,'RAW DATA'!H:H)=0,"",SUMIF('RAW DATA'!M:M,'RAW DATA'!B539,'RAW DATA'!H:H))))</f>
        <v/>
      </c>
      <c r="F539" s="4" t="str">
        <f>IF($D538="TOTAL:",FIXED(ROUND(((SUM($F$4:$F537)/'RAW DATA'!$E$2)*100),1),1)&amp;"%",IF($D539="TOTAL:",SUM($F$4:$F538),IF(SUMIF('RAW DATA'!M:M,'RAW DATA'!B539,'RAW DATA'!I:I)=0,"",SUMIF('RAW DATA'!M:M,'RAW DATA'!B539,'RAW DATA'!I:I))))</f>
        <v/>
      </c>
      <c r="G539" s="24" t="str">
        <f t="shared" si="8"/>
        <v/>
      </c>
    </row>
    <row r="540" spans="4:7" x14ac:dyDescent="0.25">
      <c r="D540" s="1" t="str">
        <f>IF(AND($B539&lt;&gt;"", $B540=""), "TOTAL:", IF($D539="TOTAL:","VESSEL TARGET "&amp;'RAW DATA'!$E$2&amp;":",IF('RAW DATA'!$E540&lt;&gt;"",'RAW DATA'!$E540,"")))</f>
        <v/>
      </c>
      <c r="E540" s="4" t="str">
        <f>IF($D539="TOTAL:",FIXED(ROUND(((SUM($E$4:$E538)/'RAW DATA'!$E$2)*100),1),1)&amp;"%",IF($D540="TOTAL:",SUM($E$4:$E539),IF(SUMIF('RAW DATA'!M:M,'RAW DATA'!B540,'RAW DATA'!H:H)=0,"",SUMIF('RAW DATA'!M:M,'RAW DATA'!B540,'RAW DATA'!H:H))))</f>
        <v/>
      </c>
      <c r="F540" s="4" t="str">
        <f>IF($D539="TOTAL:",FIXED(ROUND(((SUM($F$4:$F538)/'RAW DATA'!$E$2)*100),1),1)&amp;"%",IF($D540="TOTAL:",SUM($F$4:$F539),IF(SUMIF('RAW DATA'!M:M,'RAW DATA'!B540,'RAW DATA'!I:I)=0,"",SUMIF('RAW DATA'!M:M,'RAW DATA'!B540,'RAW DATA'!I:I))))</f>
        <v/>
      </c>
      <c r="G540" s="24" t="str">
        <f t="shared" si="8"/>
        <v/>
      </c>
    </row>
    <row r="541" spans="4:7" x14ac:dyDescent="0.25">
      <c r="D541" s="1" t="str">
        <f>IF(AND($B540&lt;&gt;"", $B541=""), "TOTAL:", IF($D540="TOTAL:","VESSEL TARGET "&amp;'RAW DATA'!$E$2&amp;":",IF('RAW DATA'!$E541&lt;&gt;"",'RAW DATA'!$E541,"")))</f>
        <v/>
      </c>
      <c r="E541" s="4" t="str">
        <f>IF($D540="TOTAL:",FIXED(ROUND(((SUM($E$4:$E539)/'RAW DATA'!$E$2)*100),1),1)&amp;"%",IF($D541="TOTAL:",SUM($E$4:$E540),IF(SUMIF('RAW DATA'!M:M,'RAW DATA'!B541,'RAW DATA'!H:H)=0,"",SUMIF('RAW DATA'!M:M,'RAW DATA'!B541,'RAW DATA'!H:H))))</f>
        <v/>
      </c>
      <c r="F541" s="4" t="str">
        <f>IF($D540="TOTAL:",FIXED(ROUND(((SUM($F$4:$F539)/'RAW DATA'!$E$2)*100),1),1)&amp;"%",IF($D541="TOTAL:",SUM($F$4:$F540),IF(SUMIF('RAW DATA'!M:M,'RAW DATA'!B541,'RAW DATA'!I:I)=0,"",SUMIF('RAW DATA'!M:M,'RAW DATA'!B541,'RAW DATA'!I:I))))</f>
        <v/>
      </c>
      <c r="G541" s="24" t="str">
        <f t="shared" si="8"/>
        <v/>
      </c>
    </row>
    <row r="542" spans="4:7" x14ac:dyDescent="0.25">
      <c r="D542" s="1" t="str">
        <f>IF(AND($B541&lt;&gt;"", $B542=""), "TOTAL:", IF($D541="TOTAL:","VESSEL TARGET "&amp;'RAW DATA'!$E$2&amp;":",IF('RAW DATA'!$E542&lt;&gt;"",'RAW DATA'!$E542,"")))</f>
        <v/>
      </c>
      <c r="E542" s="4" t="str">
        <f>IF($D541="TOTAL:",FIXED(ROUND(((SUM($E$4:$E540)/'RAW DATA'!$E$2)*100),1),1)&amp;"%",IF($D542="TOTAL:",SUM($E$4:$E541),IF(SUMIF('RAW DATA'!M:M,'RAW DATA'!B542,'RAW DATA'!H:H)=0,"",SUMIF('RAW DATA'!M:M,'RAW DATA'!B542,'RAW DATA'!H:H))))</f>
        <v/>
      </c>
      <c r="F542" s="4" t="str">
        <f>IF($D541="TOTAL:",FIXED(ROUND(((SUM($F$4:$F540)/'RAW DATA'!$E$2)*100),1),1)&amp;"%",IF($D542="TOTAL:",SUM($F$4:$F541),IF(SUMIF('RAW DATA'!M:M,'RAW DATA'!B542,'RAW DATA'!I:I)=0,"",SUMIF('RAW DATA'!M:M,'RAW DATA'!B542,'RAW DATA'!I:I))))</f>
        <v/>
      </c>
      <c r="G542" s="24" t="str">
        <f t="shared" si="8"/>
        <v/>
      </c>
    </row>
    <row r="543" spans="4:7" x14ac:dyDescent="0.25">
      <c r="D543" s="1" t="str">
        <f>IF(AND($B542&lt;&gt;"", $B543=""), "TOTAL:", IF($D542="TOTAL:","VESSEL TARGET "&amp;'RAW DATA'!$E$2&amp;":",IF('RAW DATA'!$E543&lt;&gt;"",'RAW DATA'!$E543,"")))</f>
        <v/>
      </c>
      <c r="E543" s="4" t="str">
        <f>IF($D542="TOTAL:",FIXED(ROUND(((SUM($E$4:$E541)/'RAW DATA'!$E$2)*100),1),1)&amp;"%",IF($D543="TOTAL:",SUM($E$4:$E542),IF(SUMIF('RAW DATA'!M:M,'RAW DATA'!B543,'RAW DATA'!H:H)=0,"",SUMIF('RAW DATA'!M:M,'RAW DATA'!B543,'RAW DATA'!H:H))))</f>
        <v/>
      </c>
      <c r="F543" s="4" t="str">
        <f>IF($D542="TOTAL:",FIXED(ROUND(((SUM($F$4:$F541)/'RAW DATA'!$E$2)*100),1),1)&amp;"%",IF($D543="TOTAL:",SUM($F$4:$F542),IF(SUMIF('RAW DATA'!M:M,'RAW DATA'!B543,'RAW DATA'!I:I)=0,"",SUMIF('RAW DATA'!M:M,'RAW DATA'!B543,'RAW DATA'!I:I))))</f>
        <v/>
      </c>
      <c r="G543" s="24" t="str">
        <f t="shared" si="8"/>
        <v/>
      </c>
    </row>
    <row r="544" spans="4:7" x14ac:dyDescent="0.25">
      <c r="D544" s="1" t="str">
        <f>IF(AND($B543&lt;&gt;"", $B544=""), "TOTAL:", IF($D543="TOTAL:","VESSEL TARGET "&amp;'RAW DATA'!$E$2&amp;":",IF('RAW DATA'!$E544&lt;&gt;"",'RAW DATA'!$E544,"")))</f>
        <v/>
      </c>
      <c r="E544" s="4" t="str">
        <f>IF($D543="TOTAL:",FIXED(ROUND(((SUM($E$4:$E542)/'RAW DATA'!$E$2)*100),1),1)&amp;"%",IF($D544="TOTAL:",SUM($E$4:$E543),IF(SUMIF('RAW DATA'!M:M,'RAW DATA'!B544,'RAW DATA'!H:H)=0,"",SUMIF('RAW DATA'!M:M,'RAW DATA'!B544,'RAW DATA'!H:H))))</f>
        <v/>
      </c>
      <c r="F544" s="4" t="str">
        <f>IF($D543="TOTAL:",FIXED(ROUND(((SUM($F$4:$F542)/'RAW DATA'!$E$2)*100),1),1)&amp;"%",IF($D544="TOTAL:",SUM($F$4:$F543),IF(SUMIF('RAW DATA'!M:M,'RAW DATA'!B544,'RAW DATA'!I:I)=0,"",SUMIF('RAW DATA'!M:M,'RAW DATA'!B544,'RAW DATA'!I:I))))</f>
        <v/>
      </c>
      <c r="G544" s="24" t="str">
        <f t="shared" si="8"/>
        <v/>
      </c>
    </row>
    <row r="545" spans="4:7" x14ac:dyDescent="0.25">
      <c r="D545" s="1" t="str">
        <f>IF(AND($B544&lt;&gt;"", $B545=""), "TOTAL:", IF($D544="TOTAL:","VESSEL TARGET "&amp;'RAW DATA'!$E$2&amp;":",IF('RAW DATA'!$E545&lt;&gt;"",'RAW DATA'!$E545,"")))</f>
        <v/>
      </c>
      <c r="E545" s="4" t="str">
        <f>IF($D544="TOTAL:",FIXED(ROUND(((SUM($E$4:$E543)/'RAW DATA'!$E$2)*100),1),1)&amp;"%",IF($D545="TOTAL:",SUM($E$4:$E544),IF(SUMIF('RAW DATA'!M:M,'RAW DATA'!B545,'RAW DATA'!H:H)=0,"",SUMIF('RAW DATA'!M:M,'RAW DATA'!B545,'RAW DATA'!H:H))))</f>
        <v/>
      </c>
      <c r="F545" s="4" t="str">
        <f>IF($D544="TOTAL:",FIXED(ROUND(((SUM($F$4:$F543)/'RAW DATA'!$E$2)*100),1),1)&amp;"%",IF($D545="TOTAL:",SUM($F$4:$F544),IF(SUMIF('RAW DATA'!M:M,'RAW DATA'!B545,'RAW DATA'!I:I)=0,"",SUMIF('RAW DATA'!M:M,'RAW DATA'!B545,'RAW DATA'!I:I))))</f>
        <v/>
      </c>
      <c r="G545" s="24" t="str">
        <f t="shared" si="8"/>
        <v/>
      </c>
    </row>
    <row r="546" spans="4:7" x14ac:dyDescent="0.25">
      <c r="D546" s="1" t="str">
        <f>IF(AND($B545&lt;&gt;"", $B546=""), "TOTAL:", IF($D545="TOTAL:","VESSEL TARGET "&amp;'RAW DATA'!$E$2&amp;":",IF('RAW DATA'!$E546&lt;&gt;"",'RAW DATA'!$E546,"")))</f>
        <v/>
      </c>
      <c r="E546" s="4" t="str">
        <f>IF($D545="TOTAL:",FIXED(ROUND(((SUM($E$4:$E544)/'RAW DATA'!$E$2)*100),1),1)&amp;"%",IF($D546="TOTAL:",SUM($E$4:$E545),IF(SUMIF('RAW DATA'!M:M,'RAW DATA'!B546,'RAW DATA'!H:H)=0,"",SUMIF('RAW DATA'!M:M,'RAW DATA'!B546,'RAW DATA'!H:H))))</f>
        <v/>
      </c>
      <c r="F546" s="4" t="str">
        <f>IF($D545="TOTAL:",FIXED(ROUND(((SUM($F$4:$F544)/'RAW DATA'!$E$2)*100),1),1)&amp;"%",IF($D546="TOTAL:",SUM($F$4:$F545),IF(SUMIF('RAW DATA'!M:M,'RAW DATA'!B546,'RAW DATA'!I:I)=0,"",SUMIF('RAW DATA'!M:M,'RAW DATA'!B546,'RAW DATA'!I:I))))</f>
        <v/>
      </c>
      <c r="G546" s="24" t="str">
        <f t="shared" si="8"/>
        <v/>
      </c>
    </row>
    <row r="547" spans="4:7" x14ac:dyDescent="0.25">
      <c r="D547" s="1" t="str">
        <f>IF(AND($B546&lt;&gt;"", $B547=""), "TOTAL:", IF($D546="TOTAL:","VESSEL TARGET "&amp;'RAW DATA'!$E$2&amp;":",IF('RAW DATA'!$E547&lt;&gt;"",'RAW DATA'!$E547,"")))</f>
        <v/>
      </c>
      <c r="E547" s="4" t="str">
        <f>IF($D546="TOTAL:",FIXED(ROUND(((SUM($E$4:$E545)/'RAW DATA'!$E$2)*100),1),1)&amp;"%",IF($D547="TOTAL:",SUM($E$4:$E546),IF(SUMIF('RAW DATA'!M:M,'RAW DATA'!B547,'RAW DATA'!H:H)=0,"",SUMIF('RAW DATA'!M:M,'RAW DATA'!B547,'RAW DATA'!H:H))))</f>
        <v/>
      </c>
      <c r="F547" s="4" t="str">
        <f>IF($D546="TOTAL:",FIXED(ROUND(((SUM($F$4:$F545)/'RAW DATA'!$E$2)*100),1),1)&amp;"%",IF($D547="TOTAL:",SUM($F$4:$F546),IF(SUMIF('RAW DATA'!M:M,'RAW DATA'!B547,'RAW DATA'!I:I)=0,"",SUMIF('RAW DATA'!M:M,'RAW DATA'!B547,'RAW DATA'!I:I))))</f>
        <v/>
      </c>
      <c r="G547" s="24" t="str">
        <f t="shared" si="8"/>
        <v/>
      </c>
    </row>
    <row r="548" spans="4:7" x14ac:dyDescent="0.25">
      <c r="D548" s="1" t="str">
        <f>IF(AND($B547&lt;&gt;"", $B548=""), "TOTAL:", IF($D547="TOTAL:","VESSEL TARGET "&amp;'RAW DATA'!$E$2&amp;":",IF('RAW DATA'!$E548&lt;&gt;"",'RAW DATA'!$E548,"")))</f>
        <v/>
      </c>
      <c r="E548" s="4" t="str">
        <f>IF($D547="TOTAL:",FIXED(ROUND(((SUM($E$4:$E546)/'RAW DATA'!$E$2)*100),1),1)&amp;"%",IF($D548="TOTAL:",SUM($E$4:$E547),IF(SUMIF('RAW DATA'!M:M,'RAW DATA'!B548,'RAW DATA'!H:H)=0,"",SUMIF('RAW DATA'!M:M,'RAW DATA'!B548,'RAW DATA'!H:H))))</f>
        <v/>
      </c>
      <c r="F548" s="4" t="str">
        <f>IF($D547="TOTAL:",FIXED(ROUND(((SUM($F$4:$F546)/'RAW DATA'!$E$2)*100),1),1)&amp;"%",IF($D548="TOTAL:",SUM($F$4:$F547),IF(SUMIF('RAW DATA'!M:M,'RAW DATA'!B548,'RAW DATA'!I:I)=0,"",SUMIF('RAW DATA'!M:M,'RAW DATA'!B548,'RAW DATA'!I:I))))</f>
        <v/>
      </c>
      <c r="G548" s="24" t="str">
        <f t="shared" si="8"/>
        <v/>
      </c>
    </row>
    <row r="549" spans="4:7" x14ac:dyDescent="0.25">
      <c r="D549" s="1" t="str">
        <f>IF(AND($B548&lt;&gt;"", $B549=""), "TOTAL:", IF($D548="TOTAL:","VESSEL TARGET "&amp;'RAW DATA'!$E$2&amp;":",IF('RAW DATA'!$E549&lt;&gt;"",'RAW DATA'!$E549,"")))</f>
        <v/>
      </c>
      <c r="E549" s="4" t="str">
        <f>IF($D548="TOTAL:",FIXED(ROUND(((SUM($E$4:$E547)/'RAW DATA'!$E$2)*100),1),1)&amp;"%",IF($D549="TOTAL:",SUM($E$4:$E548),IF(SUMIF('RAW DATA'!M:M,'RAW DATA'!B549,'RAW DATA'!H:H)=0,"",SUMIF('RAW DATA'!M:M,'RAW DATA'!B549,'RAW DATA'!H:H))))</f>
        <v/>
      </c>
      <c r="F549" s="4" t="str">
        <f>IF($D548="TOTAL:",FIXED(ROUND(((SUM($F$4:$F547)/'RAW DATA'!$E$2)*100),1),1)&amp;"%",IF($D549="TOTAL:",SUM($F$4:$F548),IF(SUMIF('RAW DATA'!M:M,'RAW DATA'!B549,'RAW DATA'!I:I)=0,"",SUMIF('RAW DATA'!M:M,'RAW DATA'!B549,'RAW DATA'!I:I))))</f>
        <v/>
      </c>
      <c r="G549" s="24" t="str">
        <f t="shared" si="8"/>
        <v/>
      </c>
    </row>
    <row r="550" spans="4:7" x14ac:dyDescent="0.25">
      <c r="D550" s="1" t="str">
        <f>IF(AND($B549&lt;&gt;"", $B550=""), "TOTAL:", IF($D549="TOTAL:","VESSEL TARGET "&amp;'RAW DATA'!$E$2&amp;":",IF('RAW DATA'!$E550&lt;&gt;"",'RAW DATA'!$E550,"")))</f>
        <v/>
      </c>
      <c r="E550" s="4" t="str">
        <f>IF($D549="TOTAL:",FIXED(ROUND(((SUM($E$4:$E548)/'RAW DATA'!$E$2)*100),1),1)&amp;"%",IF($D550="TOTAL:",SUM($E$4:$E549),IF(SUMIF('RAW DATA'!M:M,'RAW DATA'!B550,'RAW DATA'!H:H)=0,"",SUMIF('RAW DATA'!M:M,'RAW DATA'!B550,'RAW DATA'!H:H))))</f>
        <v/>
      </c>
      <c r="F550" s="4" t="str">
        <f>IF($D549="TOTAL:",FIXED(ROUND(((SUM($F$4:$F548)/'RAW DATA'!$E$2)*100),1),1)&amp;"%",IF($D550="TOTAL:",SUM($F$4:$F549),IF(SUMIF('RAW DATA'!M:M,'RAW DATA'!B550,'RAW DATA'!I:I)=0,"",SUMIF('RAW DATA'!M:M,'RAW DATA'!B550,'RAW DATA'!I:I))))</f>
        <v/>
      </c>
      <c r="G550" s="24" t="str">
        <f t="shared" si="8"/>
        <v/>
      </c>
    </row>
    <row r="551" spans="4:7" x14ac:dyDescent="0.25">
      <c r="D551" s="1" t="str">
        <f>IF(AND($B550&lt;&gt;"", $B551=""), "TOTAL:", IF($D550="TOTAL:","VESSEL TARGET "&amp;'RAW DATA'!$E$2&amp;":",IF('RAW DATA'!$E551&lt;&gt;"",'RAW DATA'!$E551,"")))</f>
        <v/>
      </c>
      <c r="E551" s="4" t="str">
        <f>IF($D550="TOTAL:",FIXED(ROUND(((SUM($E$4:$E549)/'RAW DATA'!$E$2)*100),1),1)&amp;"%",IF($D551="TOTAL:",SUM($E$4:$E550),IF(SUMIF('RAW DATA'!M:M,'RAW DATA'!B551,'RAW DATA'!H:H)=0,"",SUMIF('RAW DATA'!M:M,'RAW DATA'!B551,'RAW DATA'!H:H))))</f>
        <v/>
      </c>
      <c r="F551" s="4" t="str">
        <f>IF($D550="TOTAL:",FIXED(ROUND(((SUM($F$4:$F549)/'RAW DATA'!$E$2)*100),1),1)&amp;"%",IF($D551="TOTAL:",SUM($F$4:$F550),IF(SUMIF('RAW DATA'!M:M,'RAW DATA'!B551,'RAW DATA'!I:I)=0,"",SUMIF('RAW DATA'!M:M,'RAW DATA'!B551,'RAW DATA'!I:I))))</f>
        <v/>
      </c>
      <c r="G551" s="24" t="str">
        <f t="shared" si="8"/>
        <v/>
      </c>
    </row>
    <row r="552" spans="4:7" x14ac:dyDescent="0.25">
      <c r="D552" s="1" t="str">
        <f>IF(AND($B551&lt;&gt;"", $B552=""), "TOTAL:", IF($D551="TOTAL:","VESSEL TARGET "&amp;'RAW DATA'!$E$2&amp;":",IF('RAW DATA'!$E552&lt;&gt;"",'RAW DATA'!$E552,"")))</f>
        <v/>
      </c>
      <c r="E552" s="4" t="str">
        <f>IF($D551="TOTAL:",FIXED(ROUND(((SUM($E$4:$E550)/'RAW DATA'!$E$2)*100),1),1)&amp;"%",IF($D552="TOTAL:",SUM($E$4:$E551),IF(SUMIF('RAW DATA'!M:M,'RAW DATA'!B552,'RAW DATA'!H:H)=0,"",SUMIF('RAW DATA'!M:M,'RAW DATA'!B552,'RAW DATA'!H:H))))</f>
        <v/>
      </c>
      <c r="F552" s="4" t="str">
        <f>IF($D551="TOTAL:",FIXED(ROUND(((SUM($F$4:$F550)/'RAW DATA'!$E$2)*100),1),1)&amp;"%",IF($D552="TOTAL:",SUM($F$4:$F551),IF(SUMIF('RAW DATA'!M:M,'RAW DATA'!B552,'RAW DATA'!I:I)=0,"",SUMIF('RAW DATA'!M:M,'RAW DATA'!B552,'RAW DATA'!I:I))))</f>
        <v/>
      </c>
      <c r="G552" s="24" t="str">
        <f t="shared" si="8"/>
        <v/>
      </c>
    </row>
    <row r="553" spans="4:7" x14ac:dyDescent="0.25">
      <c r="D553" s="1" t="str">
        <f>IF(AND($B552&lt;&gt;"", $B553=""), "TOTAL:", IF($D552="TOTAL:","VESSEL TARGET "&amp;'RAW DATA'!$E$2&amp;":",IF('RAW DATA'!$E553&lt;&gt;"",'RAW DATA'!$E553,"")))</f>
        <v/>
      </c>
      <c r="E553" s="4" t="str">
        <f>IF($D552="TOTAL:",FIXED(ROUND(((SUM($E$4:$E551)/'RAW DATA'!$E$2)*100),1),1)&amp;"%",IF($D553="TOTAL:",SUM($E$4:$E552),IF(SUMIF('RAW DATA'!M:M,'RAW DATA'!B553,'RAW DATA'!H:H)=0,"",SUMIF('RAW DATA'!M:M,'RAW DATA'!B553,'RAW DATA'!H:H))))</f>
        <v/>
      </c>
      <c r="F553" s="4" t="str">
        <f>IF($D552="TOTAL:",FIXED(ROUND(((SUM($F$4:$F551)/'RAW DATA'!$E$2)*100),1),1)&amp;"%",IF($D553="TOTAL:",SUM($F$4:$F552),IF(SUMIF('RAW DATA'!M:M,'RAW DATA'!B553,'RAW DATA'!I:I)=0,"",SUMIF('RAW DATA'!M:M,'RAW DATA'!B553,'RAW DATA'!I:I))))</f>
        <v/>
      </c>
      <c r="G553" s="24" t="str">
        <f t="shared" si="8"/>
        <v/>
      </c>
    </row>
    <row r="554" spans="4:7" x14ac:dyDescent="0.25">
      <c r="D554" s="1" t="str">
        <f>IF(AND($B553&lt;&gt;"", $B554=""), "TOTAL:", IF($D553="TOTAL:","VESSEL TARGET "&amp;'RAW DATA'!$E$2&amp;":",IF('RAW DATA'!$E554&lt;&gt;"",'RAW DATA'!$E554,"")))</f>
        <v/>
      </c>
      <c r="E554" s="4" t="str">
        <f>IF($D553="TOTAL:",FIXED(ROUND(((SUM($E$4:$E552)/'RAW DATA'!$E$2)*100),1),1)&amp;"%",IF($D554="TOTAL:",SUM($E$4:$E553),IF(SUMIF('RAW DATA'!M:M,'RAW DATA'!B554,'RAW DATA'!H:H)=0,"",SUMIF('RAW DATA'!M:M,'RAW DATA'!B554,'RAW DATA'!H:H))))</f>
        <v/>
      </c>
      <c r="F554" s="4" t="str">
        <f>IF($D553="TOTAL:",FIXED(ROUND(((SUM($F$4:$F552)/'RAW DATA'!$E$2)*100),1),1)&amp;"%",IF($D554="TOTAL:",SUM($F$4:$F553),IF(SUMIF('RAW DATA'!M:M,'RAW DATA'!B554,'RAW DATA'!I:I)=0,"",SUMIF('RAW DATA'!M:M,'RAW DATA'!B554,'RAW DATA'!I:I))))</f>
        <v/>
      </c>
      <c r="G554" s="24" t="str">
        <f t="shared" si="8"/>
        <v/>
      </c>
    </row>
    <row r="555" spans="4:7" x14ac:dyDescent="0.25">
      <c r="D555" s="1" t="str">
        <f>IF(AND($B554&lt;&gt;"", $B555=""), "TOTAL:", IF($D554="TOTAL:","VESSEL TARGET "&amp;'RAW DATA'!$E$2&amp;":",IF('RAW DATA'!$E555&lt;&gt;"",'RAW DATA'!$E555,"")))</f>
        <v/>
      </c>
      <c r="E555" s="4" t="str">
        <f>IF($D554="TOTAL:",FIXED(ROUND(((SUM($E$4:$E553)/'RAW DATA'!$E$2)*100),1),1)&amp;"%",IF($D555="TOTAL:",SUM($E$4:$E554),IF(SUMIF('RAW DATA'!M:M,'RAW DATA'!B555,'RAW DATA'!H:H)=0,"",SUMIF('RAW DATA'!M:M,'RAW DATA'!B555,'RAW DATA'!H:H))))</f>
        <v/>
      </c>
      <c r="F555" s="4" t="str">
        <f>IF($D554="TOTAL:",FIXED(ROUND(((SUM($F$4:$F553)/'RAW DATA'!$E$2)*100),1),1)&amp;"%",IF($D555="TOTAL:",SUM($F$4:$F554),IF(SUMIF('RAW DATA'!M:M,'RAW DATA'!B555,'RAW DATA'!I:I)=0,"",SUMIF('RAW DATA'!M:M,'RAW DATA'!B555,'RAW DATA'!I:I))))</f>
        <v/>
      </c>
      <c r="G555" s="24" t="str">
        <f t="shared" si="8"/>
        <v/>
      </c>
    </row>
    <row r="556" spans="4:7" x14ac:dyDescent="0.25">
      <c r="D556" s="1" t="str">
        <f>IF(AND($B555&lt;&gt;"", $B556=""), "TOTAL:", IF($D555="TOTAL:","VESSEL TARGET "&amp;'RAW DATA'!$E$2&amp;":",IF('RAW DATA'!$E556&lt;&gt;"",'RAW DATA'!$E556,"")))</f>
        <v/>
      </c>
      <c r="E556" s="4" t="str">
        <f>IF($D555="TOTAL:",FIXED(ROUND(((SUM($E$4:$E554)/'RAW DATA'!$E$2)*100),1),1)&amp;"%",IF($D556="TOTAL:",SUM($E$4:$E555),IF(SUMIF('RAW DATA'!M:M,'RAW DATA'!B556,'RAW DATA'!H:H)=0,"",SUMIF('RAW DATA'!M:M,'RAW DATA'!B556,'RAW DATA'!H:H))))</f>
        <v/>
      </c>
      <c r="F556" s="4" t="str">
        <f>IF($D555="TOTAL:",FIXED(ROUND(((SUM($F$4:$F554)/'RAW DATA'!$E$2)*100),1),1)&amp;"%",IF($D556="TOTAL:",SUM($F$4:$F555),IF(SUMIF('RAW DATA'!M:M,'RAW DATA'!B556,'RAW DATA'!I:I)=0,"",SUMIF('RAW DATA'!M:M,'RAW DATA'!B556,'RAW DATA'!I:I))))</f>
        <v/>
      </c>
      <c r="G556" s="24" t="str">
        <f t="shared" si="8"/>
        <v/>
      </c>
    </row>
    <row r="557" spans="4:7" x14ac:dyDescent="0.25">
      <c r="D557" s="1" t="str">
        <f>IF(AND($B556&lt;&gt;"", $B557=""), "TOTAL:", IF($D556="TOTAL:","VESSEL TARGET "&amp;'RAW DATA'!$E$2&amp;":",IF('RAW DATA'!$E557&lt;&gt;"",'RAW DATA'!$E557,"")))</f>
        <v/>
      </c>
      <c r="E557" s="4" t="str">
        <f>IF($D556="TOTAL:",FIXED(ROUND(((SUM($E$4:$E555)/'RAW DATA'!$E$2)*100),1),1)&amp;"%",IF($D557="TOTAL:",SUM($E$4:$E556),IF(SUMIF('RAW DATA'!M:M,'RAW DATA'!B557,'RAW DATA'!H:H)=0,"",SUMIF('RAW DATA'!M:M,'RAW DATA'!B557,'RAW DATA'!H:H))))</f>
        <v/>
      </c>
      <c r="F557" s="4" t="str">
        <f>IF($D556="TOTAL:",FIXED(ROUND(((SUM($F$4:$F555)/'RAW DATA'!$E$2)*100),1),1)&amp;"%",IF($D557="TOTAL:",SUM($F$4:$F556),IF(SUMIF('RAW DATA'!M:M,'RAW DATA'!B557,'RAW DATA'!I:I)=0,"",SUMIF('RAW DATA'!M:M,'RAW DATA'!B557,'RAW DATA'!I:I))))</f>
        <v/>
      </c>
      <c r="G557" s="24" t="str">
        <f t="shared" si="8"/>
        <v/>
      </c>
    </row>
    <row r="558" spans="4:7" x14ac:dyDescent="0.25">
      <c r="D558" s="1" t="str">
        <f>IF(AND($B557&lt;&gt;"", $B558=""), "TOTAL:", IF($D557="TOTAL:","VESSEL TARGET "&amp;'RAW DATA'!$E$2&amp;":",IF('RAW DATA'!$E558&lt;&gt;"",'RAW DATA'!$E558,"")))</f>
        <v/>
      </c>
      <c r="E558" s="4" t="str">
        <f>IF($D557="TOTAL:",FIXED(ROUND(((SUM($E$4:$E556)/'RAW DATA'!$E$2)*100),1),1)&amp;"%",IF($D558="TOTAL:",SUM($E$4:$E557),IF(SUMIF('RAW DATA'!M:M,'RAW DATA'!B558,'RAW DATA'!H:H)=0,"",SUMIF('RAW DATA'!M:M,'RAW DATA'!B558,'RAW DATA'!H:H))))</f>
        <v/>
      </c>
      <c r="F558" s="4" t="str">
        <f>IF($D557="TOTAL:",FIXED(ROUND(((SUM($F$4:$F556)/'RAW DATA'!$E$2)*100),1),1)&amp;"%",IF($D558="TOTAL:",SUM($F$4:$F557),IF(SUMIF('RAW DATA'!M:M,'RAW DATA'!B558,'RAW DATA'!I:I)=0,"",SUMIF('RAW DATA'!M:M,'RAW DATA'!B558,'RAW DATA'!I:I))))</f>
        <v/>
      </c>
      <c r="G558" s="24" t="str">
        <f t="shared" si="8"/>
        <v/>
      </c>
    </row>
    <row r="559" spans="4:7" x14ac:dyDescent="0.25">
      <c r="D559" s="1" t="str">
        <f>IF(AND($B558&lt;&gt;"", $B559=""), "TOTAL:", IF($D558="TOTAL:","VESSEL TARGET "&amp;'RAW DATA'!$E$2&amp;":",IF('RAW DATA'!$E559&lt;&gt;"",'RAW DATA'!$E559,"")))</f>
        <v/>
      </c>
      <c r="E559" s="4" t="str">
        <f>IF($D558="TOTAL:",FIXED(ROUND(((SUM($E$4:$E557)/'RAW DATA'!$E$2)*100),1),1)&amp;"%",IF($D559="TOTAL:",SUM($E$4:$E558),IF(SUMIF('RAW DATA'!M:M,'RAW DATA'!B559,'RAW DATA'!H:H)=0,"",SUMIF('RAW DATA'!M:M,'RAW DATA'!B559,'RAW DATA'!H:H))))</f>
        <v/>
      </c>
      <c r="F559" s="4" t="str">
        <f>IF($D558="TOTAL:",FIXED(ROUND(((SUM($F$4:$F557)/'RAW DATA'!$E$2)*100),1),1)&amp;"%",IF($D559="TOTAL:",SUM($F$4:$F558),IF(SUMIF('RAW DATA'!M:M,'RAW DATA'!B559,'RAW DATA'!I:I)=0,"",SUMIF('RAW DATA'!M:M,'RAW DATA'!B559,'RAW DATA'!I:I))))</f>
        <v/>
      </c>
      <c r="G559" s="24" t="str">
        <f t="shared" si="8"/>
        <v/>
      </c>
    </row>
    <row r="560" spans="4:7" x14ac:dyDescent="0.25">
      <c r="D560" s="1" t="str">
        <f>IF(AND($B559&lt;&gt;"", $B560=""), "TOTAL:", IF($D559="TOTAL:","VESSEL TARGET "&amp;'RAW DATA'!$E$2&amp;":",IF('RAW DATA'!$E560&lt;&gt;"",'RAW DATA'!$E560,"")))</f>
        <v/>
      </c>
      <c r="E560" s="4" t="str">
        <f>IF($D559="TOTAL:",FIXED(ROUND(((SUM($E$4:$E558)/'RAW DATA'!$E$2)*100),1),1)&amp;"%",IF($D560="TOTAL:",SUM($E$4:$E559),IF(SUMIF('RAW DATA'!M:M,'RAW DATA'!B560,'RAW DATA'!H:H)=0,"",SUMIF('RAW DATA'!M:M,'RAW DATA'!B560,'RAW DATA'!H:H))))</f>
        <v/>
      </c>
      <c r="F560" s="4" t="str">
        <f>IF($D559="TOTAL:",FIXED(ROUND(((SUM($F$4:$F558)/'RAW DATA'!$E$2)*100),1),1)&amp;"%",IF($D560="TOTAL:",SUM($F$4:$F559),IF(SUMIF('RAW DATA'!M:M,'RAW DATA'!B560,'RAW DATA'!I:I)=0,"",SUMIF('RAW DATA'!M:M,'RAW DATA'!B560,'RAW DATA'!I:I))))</f>
        <v/>
      </c>
      <c r="G560" s="24" t="str">
        <f t="shared" si="8"/>
        <v/>
      </c>
    </row>
    <row r="561" spans="4:7" x14ac:dyDescent="0.25">
      <c r="D561" s="1" t="str">
        <f>IF(AND($B560&lt;&gt;"", $B561=""), "TOTAL:", IF($D560="TOTAL:","VESSEL TARGET "&amp;'RAW DATA'!$E$2&amp;":",IF('RAW DATA'!$E561&lt;&gt;"",'RAW DATA'!$E561,"")))</f>
        <v/>
      </c>
      <c r="E561" s="4" t="str">
        <f>IF($D560="TOTAL:",FIXED(ROUND(((SUM($E$4:$E559)/'RAW DATA'!$E$2)*100),1),1)&amp;"%",IF($D561="TOTAL:",SUM($E$4:$E560),IF(SUMIF('RAW DATA'!M:M,'RAW DATA'!B561,'RAW DATA'!H:H)=0,"",SUMIF('RAW DATA'!M:M,'RAW DATA'!B561,'RAW DATA'!H:H))))</f>
        <v/>
      </c>
      <c r="F561" s="4" t="str">
        <f>IF($D560="TOTAL:",FIXED(ROUND(((SUM($F$4:$F559)/'RAW DATA'!$E$2)*100),1),1)&amp;"%",IF($D561="TOTAL:",SUM($F$4:$F560),IF(SUMIF('RAW DATA'!M:M,'RAW DATA'!B561,'RAW DATA'!I:I)=0,"",SUMIF('RAW DATA'!M:M,'RAW DATA'!B561,'RAW DATA'!I:I))))</f>
        <v/>
      </c>
      <c r="G561" s="24" t="str">
        <f t="shared" si="8"/>
        <v/>
      </c>
    </row>
    <row r="562" spans="4:7" x14ac:dyDescent="0.25">
      <c r="D562" s="1" t="str">
        <f>IF(AND($B561&lt;&gt;"", $B562=""), "TOTAL:", IF($D561="TOTAL:","VESSEL TARGET "&amp;'RAW DATA'!$E$2&amp;":",IF('RAW DATA'!$E562&lt;&gt;"",'RAW DATA'!$E562,"")))</f>
        <v/>
      </c>
      <c r="E562" s="4" t="str">
        <f>IF($D561="TOTAL:",FIXED(ROUND(((SUM($E$4:$E560)/'RAW DATA'!$E$2)*100),1),1)&amp;"%",IF($D562="TOTAL:",SUM($E$4:$E561),IF(SUMIF('RAW DATA'!M:M,'RAW DATA'!B562,'RAW DATA'!H:H)=0,"",SUMIF('RAW DATA'!M:M,'RAW DATA'!B562,'RAW DATA'!H:H))))</f>
        <v/>
      </c>
      <c r="F562" s="4" t="str">
        <f>IF($D561="TOTAL:",FIXED(ROUND(((SUM($F$4:$F560)/'RAW DATA'!$E$2)*100),1),1)&amp;"%",IF($D562="TOTAL:",SUM($F$4:$F561),IF(SUMIF('RAW DATA'!M:M,'RAW DATA'!B562,'RAW DATA'!I:I)=0,"",SUMIF('RAW DATA'!M:M,'RAW DATA'!B562,'RAW DATA'!I:I))))</f>
        <v/>
      </c>
      <c r="G562" s="24" t="str">
        <f t="shared" si="8"/>
        <v/>
      </c>
    </row>
    <row r="563" spans="4:7" x14ac:dyDescent="0.25">
      <c r="D563" s="1" t="str">
        <f>IF(AND($B562&lt;&gt;"", $B563=""), "TOTAL:", IF($D562="TOTAL:","VESSEL TARGET "&amp;'RAW DATA'!$E$2&amp;":",IF('RAW DATA'!$E563&lt;&gt;"",'RAW DATA'!$E563,"")))</f>
        <v/>
      </c>
      <c r="E563" s="4" t="str">
        <f>IF($D562="TOTAL:",FIXED(ROUND(((SUM($E$4:$E561)/'RAW DATA'!$E$2)*100),1),1)&amp;"%",IF($D563="TOTAL:",SUM($E$4:$E562),IF(SUMIF('RAW DATA'!M:M,'RAW DATA'!B563,'RAW DATA'!H:H)=0,"",SUMIF('RAW DATA'!M:M,'RAW DATA'!B563,'RAW DATA'!H:H))))</f>
        <v/>
      </c>
      <c r="F563" s="4" t="str">
        <f>IF($D562="TOTAL:",FIXED(ROUND(((SUM($F$4:$F561)/'RAW DATA'!$E$2)*100),1),1)&amp;"%",IF($D563="TOTAL:",SUM($F$4:$F562),IF(SUMIF('RAW DATA'!M:M,'RAW DATA'!B563,'RAW DATA'!I:I)=0,"",SUMIF('RAW DATA'!M:M,'RAW DATA'!B563,'RAW DATA'!I:I))))</f>
        <v/>
      </c>
      <c r="G563" s="24" t="str">
        <f t="shared" si="8"/>
        <v/>
      </c>
    </row>
    <row r="564" spans="4:7" x14ac:dyDescent="0.25">
      <c r="D564" s="1" t="str">
        <f>IF(AND($B563&lt;&gt;"", $B564=""), "TOTAL:", IF($D563="TOTAL:","VESSEL TARGET "&amp;'RAW DATA'!$E$2&amp;":",IF('RAW DATA'!$E564&lt;&gt;"",'RAW DATA'!$E564,"")))</f>
        <v/>
      </c>
      <c r="E564" s="4" t="str">
        <f>IF($D563="TOTAL:",FIXED(ROUND(((SUM($E$4:$E562)/'RAW DATA'!$E$2)*100),1),1)&amp;"%",IF($D564="TOTAL:",SUM($E$4:$E563),IF(SUMIF('RAW DATA'!M:M,'RAW DATA'!B564,'RAW DATA'!H:H)=0,"",SUMIF('RAW DATA'!M:M,'RAW DATA'!B564,'RAW DATA'!H:H))))</f>
        <v/>
      </c>
      <c r="F564" s="4" t="str">
        <f>IF($D563="TOTAL:",FIXED(ROUND(((SUM($F$4:$F562)/'RAW DATA'!$E$2)*100),1),1)&amp;"%",IF($D564="TOTAL:",SUM($F$4:$F563),IF(SUMIF('RAW DATA'!M:M,'RAW DATA'!B564,'RAW DATA'!I:I)=0,"",SUMIF('RAW DATA'!M:M,'RAW DATA'!B564,'RAW DATA'!I:I))))</f>
        <v/>
      </c>
      <c r="G564" s="24" t="str">
        <f t="shared" si="8"/>
        <v/>
      </c>
    </row>
    <row r="565" spans="4:7" x14ac:dyDescent="0.25">
      <c r="D565" s="1" t="str">
        <f>IF(AND($B564&lt;&gt;"", $B565=""), "TOTAL:", IF($D564="TOTAL:","VESSEL TARGET "&amp;'RAW DATA'!$E$2&amp;":",IF('RAW DATA'!$E565&lt;&gt;"",'RAW DATA'!$E565,"")))</f>
        <v/>
      </c>
      <c r="E565" s="4" t="str">
        <f>IF($D564="TOTAL:",FIXED(ROUND(((SUM($E$4:$E563)/'RAW DATA'!$E$2)*100),1),1)&amp;"%",IF($D565="TOTAL:",SUM($E$4:$E564),IF(SUMIF('RAW DATA'!M:M,'RAW DATA'!B565,'RAW DATA'!H:H)=0,"",SUMIF('RAW DATA'!M:M,'RAW DATA'!B565,'RAW DATA'!H:H))))</f>
        <v/>
      </c>
      <c r="F565" s="4" t="str">
        <f>IF($D564="TOTAL:",FIXED(ROUND(((SUM($F$4:$F563)/'RAW DATA'!$E$2)*100),1),1)&amp;"%",IF($D565="TOTAL:",SUM($F$4:$F564),IF(SUMIF('RAW DATA'!M:M,'RAW DATA'!B565,'RAW DATA'!I:I)=0,"",SUMIF('RAW DATA'!M:M,'RAW DATA'!B565,'RAW DATA'!I:I))))</f>
        <v/>
      </c>
      <c r="G565" s="24" t="str">
        <f t="shared" si="8"/>
        <v/>
      </c>
    </row>
    <row r="566" spans="4:7" x14ac:dyDescent="0.25">
      <c r="D566" s="1" t="str">
        <f>IF(AND($B565&lt;&gt;"", $B566=""), "TOTAL:", IF($D565="TOTAL:","VESSEL TARGET "&amp;'RAW DATA'!$E$2&amp;":",IF('RAW DATA'!$E566&lt;&gt;"",'RAW DATA'!$E566,"")))</f>
        <v/>
      </c>
      <c r="E566" s="4" t="str">
        <f>IF($D565="TOTAL:",FIXED(ROUND(((SUM($E$4:$E564)/'RAW DATA'!$E$2)*100),1),1)&amp;"%",IF($D566="TOTAL:",SUM($E$4:$E565),IF(SUMIF('RAW DATA'!M:M,'RAW DATA'!B566,'RAW DATA'!H:H)=0,"",SUMIF('RAW DATA'!M:M,'RAW DATA'!B566,'RAW DATA'!H:H))))</f>
        <v/>
      </c>
      <c r="F566" s="4" t="str">
        <f>IF($D565="TOTAL:",FIXED(ROUND(((SUM($F$4:$F564)/'RAW DATA'!$E$2)*100),1),1)&amp;"%",IF($D566="TOTAL:",SUM($F$4:$F565),IF(SUMIF('RAW DATA'!M:M,'RAW DATA'!B566,'RAW DATA'!I:I)=0,"",SUMIF('RAW DATA'!M:M,'RAW DATA'!B566,'RAW DATA'!I:I))))</f>
        <v/>
      </c>
      <c r="G566" s="24" t="str">
        <f t="shared" si="8"/>
        <v/>
      </c>
    </row>
    <row r="567" spans="4:7" x14ac:dyDescent="0.25">
      <c r="D567" s="1" t="str">
        <f>IF(AND($B566&lt;&gt;"", $B567=""), "TOTAL:", IF($D566="TOTAL:","VESSEL TARGET "&amp;'RAW DATA'!$E$2&amp;":",IF('RAW DATA'!$E567&lt;&gt;"",'RAW DATA'!$E567,"")))</f>
        <v/>
      </c>
      <c r="E567" s="4" t="str">
        <f>IF($D566="TOTAL:",FIXED(ROUND(((SUM($E$4:$E565)/'RAW DATA'!$E$2)*100),1),1)&amp;"%",IF($D567="TOTAL:",SUM($E$4:$E566),IF(SUMIF('RAW DATA'!M:M,'RAW DATA'!B567,'RAW DATA'!H:H)=0,"",SUMIF('RAW DATA'!M:M,'RAW DATA'!B567,'RAW DATA'!H:H))))</f>
        <v/>
      </c>
      <c r="F567" s="4" t="str">
        <f>IF($D566="TOTAL:",FIXED(ROUND(((SUM($F$4:$F565)/'RAW DATA'!$E$2)*100),1),1)&amp;"%",IF($D567="TOTAL:",SUM($F$4:$F566),IF(SUMIF('RAW DATA'!M:M,'RAW DATA'!B567,'RAW DATA'!I:I)=0,"",SUMIF('RAW DATA'!M:M,'RAW DATA'!B567,'RAW DATA'!I:I))))</f>
        <v/>
      </c>
      <c r="G567" s="24" t="str">
        <f t="shared" si="8"/>
        <v/>
      </c>
    </row>
    <row r="568" spans="4:7" x14ac:dyDescent="0.25">
      <c r="D568" s="1" t="str">
        <f>IF(AND($B567&lt;&gt;"", $B568=""), "TOTAL:", IF($D567="TOTAL:","VESSEL TARGET "&amp;'RAW DATA'!$E$2&amp;":",IF('RAW DATA'!$E568&lt;&gt;"",'RAW DATA'!$E568,"")))</f>
        <v/>
      </c>
      <c r="E568" s="4" t="str">
        <f>IF($D567="TOTAL:",FIXED(ROUND(((SUM($E$4:$E566)/'RAW DATA'!$E$2)*100),1),1)&amp;"%",IF($D568="TOTAL:",SUM($E$4:$E567),IF(SUMIF('RAW DATA'!M:M,'RAW DATA'!B568,'RAW DATA'!H:H)=0,"",SUMIF('RAW DATA'!M:M,'RAW DATA'!B568,'RAW DATA'!H:H))))</f>
        <v/>
      </c>
      <c r="F568" s="4" t="str">
        <f>IF($D567="TOTAL:",FIXED(ROUND(((SUM($F$4:$F566)/'RAW DATA'!$E$2)*100),1),1)&amp;"%",IF($D568="TOTAL:",SUM($F$4:$F567),IF(SUMIF('RAW DATA'!M:M,'RAW DATA'!B568,'RAW DATA'!I:I)=0,"",SUMIF('RAW DATA'!M:M,'RAW DATA'!B568,'RAW DATA'!I:I))))</f>
        <v/>
      </c>
      <c r="G568" s="24" t="str">
        <f t="shared" si="8"/>
        <v/>
      </c>
    </row>
    <row r="569" spans="4:7" x14ac:dyDescent="0.25">
      <c r="D569" s="1" t="str">
        <f>IF(AND($B568&lt;&gt;"", $B569=""), "TOTAL:", IF($D568="TOTAL:","VESSEL TARGET "&amp;'RAW DATA'!$E$2&amp;":",IF('RAW DATA'!$E569&lt;&gt;"",'RAW DATA'!$E569,"")))</f>
        <v/>
      </c>
      <c r="E569" s="4" t="str">
        <f>IF($D568="TOTAL:",FIXED(ROUND(((SUM($E$4:$E567)/'RAW DATA'!$E$2)*100),1),1)&amp;"%",IF($D569="TOTAL:",SUM($E$4:$E568),IF(SUMIF('RAW DATA'!M:M,'RAW DATA'!B569,'RAW DATA'!H:H)=0,"",SUMIF('RAW DATA'!M:M,'RAW DATA'!B569,'RAW DATA'!H:H))))</f>
        <v/>
      </c>
      <c r="F569" s="4" t="str">
        <f>IF($D568="TOTAL:",FIXED(ROUND(((SUM($F$4:$F567)/'RAW DATA'!$E$2)*100),1),1)&amp;"%",IF($D569="TOTAL:",SUM($F$4:$F568),IF(SUMIF('RAW DATA'!M:M,'RAW DATA'!B569,'RAW DATA'!I:I)=0,"",SUMIF('RAW DATA'!M:M,'RAW DATA'!B569,'RAW DATA'!I:I))))</f>
        <v/>
      </c>
      <c r="G569" s="24" t="str">
        <f t="shared" si="8"/>
        <v/>
      </c>
    </row>
    <row r="570" spans="4:7" x14ac:dyDescent="0.25">
      <c r="D570" s="1" t="str">
        <f>IF(AND($B569&lt;&gt;"", $B570=""), "TOTAL:", IF($D569="TOTAL:","VESSEL TARGET "&amp;'RAW DATA'!$E$2&amp;":",IF('RAW DATA'!$E570&lt;&gt;"",'RAW DATA'!$E570,"")))</f>
        <v/>
      </c>
      <c r="E570" s="4" t="str">
        <f>IF($D569="TOTAL:",FIXED(ROUND(((SUM($E$4:$E568)/'RAW DATA'!$E$2)*100),1),1)&amp;"%",IF($D570="TOTAL:",SUM($E$4:$E569),IF(SUMIF('RAW DATA'!M:M,'RAW DATA'!B570,'RAW DATA'!H:H)=0,"",SUMIF('RAW DATA'!M:M,'RAW DATA'!B570,'RAW DATA'!H:H))))</f>
        <v/>
      </c>
      <c r="F570" s="4" t="str">
        <f>IF($D569="TOTAL:",FIXED(ROUND(((SUM($F$4:$F568)/'RAW DATA'!$E$2)*100),1),1)&amp;"%",IF($D570="TOTAL:",SUM($F$4:$F569),IF(SUMIF('RAW DATA'!M:M,'RAW DATA'!B570,'RAW DATA'!I:I)=0,"",SUMIF('RAW DATA'!M:M,'RAW DATA'!B570,'RAW DATA'!I:I))))</f>
        <v/>
      </c>
      <c r="G570" s="24" t="str">
        <f t="shared" si="8"/>
        <v/>
      </c>
    </row>
    <row r="571" spans="4:7" x14ac:dyDescent="0.25">
      <c r="D571" s="1" t="str">
        <f>IF(AND($B570&lt;&gt;"", $B571=""), "TOTAL:", IF($D570="TOTAL:","VESSEL TARGET "&amp;'RAW DATA'!$E$2&amp;":",IF('RAW DATA'!$E571&lt;&gt;"",'RAW DATA'!$E571,"")))</f>
        <v/>
      </c>
      <c r="E571" s="4" t="str">
        <f>IF($D570="TOTAL:",FIXED(ROUND(((SUM($E$4:$E569)/'RAW DATA'!$E$2)*100),1),1)&amp;"%",IF($D571="TOTAL:",SUM($E$4:$E570),IF(SUMIF('RAW DATA'!M:M,'RAW DATA'!B571,'RAW DATA'!H:H)=0,"",SUMIF('RAW DATA'!M:M,'RAW DATA'!B571,'RAW DATA'!H:H))))</f>
        <v/>
      </c>
      <c r="F571" s="4" t="str">
        <f>IF($D570="TOTAL:",FIXED(ROUND(((SUM($F$4:$F569)/'RAW DATA'!$E$2)*100),1),1)&amp;"%",IF($D571="TOTAL:",SUM($F$4:$F570),IF(SUMIF('RAW DATA'!M:M,'RAW DATA'!B571,'RAW DATA'!I:I)=0,"",SUMIF('RAW DATA'!M:M,'RAW DATA'!B571,'RAW DATA'!I:I))))</f>
        <v/>
      </c>
      <c r="G571" s="24" t="str">
        <f t="shared" si="8"/>
        <v/>
      </c>
    </row>
    <row r="572" spans="4:7" x14ac:dyDescent="0.25">
      <c r="D572" s="1" t="str">
        <f>IF(AND($B571&lt;&gt;"", $B572=""), "TOTAL:", IF($D571="TOTAL:","VESSEL TARGET "&amp;'RAW DATA'!$E$2&amp;":",IF('RAW DATA'!$E572&lt;&gt;"",'RAW DATA'!$E572,"")))</f>
        <v/>
      </c>
      <c r="E572" s="4" t="str">
        <f>IF($D571="TOTAL:",FIXED(ROUND(((SUM($E$4:$E570)/'RAW DATA'!$E$2)*100),1),1)&amp;"%",IF($D572="TOTAL:",SUM($E$4:$E571),IF(SUMIF('RAW DATA'!M:M,'RAW DATA'!B572,'RAW DATA'!H:H)=0,"",SUMIF('RAW DATA'!M:M,'RAW DATA'!B572,'RAW DATA'!H:H))))</f>
        <v/>
      </c>
      <c r="F572" s="4" t="str">
        <f>IF($D571="TOTAL:",FIXED(ROUND(((SUM($F$4:$F570)/'RAW DATA'!$E$2)*100),1),1)&amp;"%",IF($D572="TOTAL:",SUM($F$4:$F571),IF(SUMIF('RAW DATA'!M:M,'RAW DATA'!B572,'RAW DATA'!I:I)=0,"",SUMIF('RAW DATA'!M:M,'RAW DATA'!B572,'RAW DATA'!I:I))))</f>
        <v/>
      </c>
      <c r="G572" s="24" t="str">
        <f t="shared" si="8"/>
        <v/>
      </c>
    </row>
    <row r="573" spans="4:7" x14ac:dyDescent="0.25">
      <c r="D573" s="1" t="str">
        <f>IF(AND($B572&lt;&gt;"", $B573=""), "TOTAL:", IF($D572="TOTAL:","VESSEL TARGET "&amp;'RAW DATA'!$E$2&amp;":",IF('RAW DATA'!$E573&lt;&gt;"",'RAW DATA'!$E573,"")))</f>
        <v/>
      </c>
      <c r="E573" s="4" t="str">
        <f>IF($D572="TOTAL:",FIXED(ROUND(((SUM($E$4:$E571)/'RAW DATA'!$E$2)*100),1),1)&amp;"%",IF($D573="TOTAL:",SUM($E$4:$E572),IF(SUMIF('RAW DATA'!M:M,'RAW DATA'!B573,'RAW DATA'!H:H)=0,"",SUMIF('RAW DATA'!M:M,'RAW DATA'!B573,'RAW DATA'!H:H))))</f>
        <v/>
      </c>
      <c r="F573" s="4" t="str">
        <f>IF($D572="TOTAL:",FIXED(ROUND(((SUM($F$4:$F571)/'RAW DATA'!$E$2)*100),1),1)&amp;"%",IF($D573="TOTAL:",SUM($F$4:$F572),IF(SUMIF('RAW DATA'!M:M,'RAW DATA'!B573,'RAW DATA'!I:I)=0,"",SUMIF('RAW DATA'!M:M,'RAW DATA'!B573,'RAW DATA'!I:I))))</f>
        <v/>
      </c>
      <c r="G573" s="24" t="str">
        <f t="shared" si="8"/>
        <v/>
      </c>
    </row>
    <row r="574" spans="4:7" x14ac:dyDescent="0.25">
      <c r="D574" s="1" t="str">
        <f>IF(AND($B573&lt;&gt;"", $B574=""), "TOTAL:", IF($D573="TOTAL:","VESSEL TARGET "&amp;'RAW DATA'!$E$2&amp;":",IF('RAW DATA'!$E574&lt;&gt;"",'RAW DATA'!$E574,"")))</f>
        <v/>
      </c>
      <c r="E574" s="4" t="str">
        <f>IF($D573="TOTAL:",FIXED(ROUND(((SUM($E$4:$E572)/'RAW DATA'!$E$2)*100),1),1)&amp;"%",IF($D574="TOTAL:",SUM($E$4:$E573),IF(SUMIF('RAW DATA'!M:M,'RAW DATA'!B574,'RAW DATA'!H:H)=0,"",SUMIF('RAW DATA'!M:M,'RAW DATA'!B574,'RAW DATA'!H:H))))</f>
        <v/>
      </c>
      <c r="F574" s="4" t="str">
        <f>IF($D573="TOTAL:",FIXED(ROUND(((SUM($F$4:$F572)/'RAW DATA'!$E$2)*100),1),1)&amp;"%",IF($D574="TOTAL:",SUM($F$4:$F573),IF(SUMIF('RAW DATA'!M:M,'RAW DATA'!B574,'RAW DATA'!I:I)=0,"",SUMIF('RAW DATA'!M:M,'RAW DATA'!B574,'RAW DATA'!I:I))))</f>
        <v/>
      </c>
      <c r="G574" s="24" t="str">
        <f t="shared" si="8"/>
        <v/>
      </c>
    </row>
    <row r="575" spans="4:7" x14ac:dyDescent="0.25">
      <c r="D575" s="1" t="str">
        <f>IF(AND($B574&lt;&gt;"", $B575=""), "TOTAL:", IF($D574="TOTAL:","VESSEL TARGET "&amp;'RAW DATA'!$E$2&amp;":",IF('RAW DATA'!$E575&lt;&gt;"",'RAW DATA'!$E575,"")))</f>
        <v/>
      </c>
      <c r="E575" s="4" t="str">
        <f>IF($D574="TOTAL:",FIXED(ROUND(((SUM($E$4:$E573)/'RAW DATA'!$E$2)*100),1),1)&amp;"%",IF($D575="TOTAL:",SUM($E$4:$E574),IF(SUMIF('RAW DATA'!M:M,'RAW DATA'!B575,'RAW DATA'!H:H)=0,"",SUMIF('RAW DATA'!M:M,'RAW DATA'!B575,'RAW DATA'!H:H))))</f>
        <v/>
      </c>
      <c r="F575" s="4" t="str">
        <f>IF($D574="TOTAL:",FIXED(ROUND(((SUM($F$4:$F573)/'RAW DATA'!$E$2)*100),1),1)&amp;"%",IF($D575="TOTAL:",SUM($F$4:$F574),IF(SUMIF('RAW DATA'!M:M,'RAW DATA'!B575,'RAW DATA'!I:I)=0,"",SUMIF('RAW DATA'!M:M,'RAW DATA'!B575,'RAW DATA'!I:I))))</f>
        <v/>
      </c>
      <c r="G575" s="24" t="str">
        <f t="shared" si="8"/>
        <v/>
      </c>
    </row>
    <row r="576" spans="4:7" x14ac:dyDescent="0.25">
      <c r="D576" s="1" t="str">
        <f>IF(AND($B575&lt;&gt;"", $B576=""), "TOTAL:", IF($D575="TOTAL:","VESSEL TARGET "&amp;'RAW DATA'!$E$2&amp;":",IF('RAW DATA'!$E576&lt;&gt;"",'RAW DATA'!$E576,"")))</f>
        <v/>
      </c>
      <c r="E576" s="4" t="str">
        <f>IF($D575="TOTAL:",FIXED(ROUND(((SUM($E$4:$E574)/'RAW DATA'!$E$2)*100),1),1)&amp;"%",IF($D576="TOTAL:",SUM($E$4:$E575),IF(SUMIF('RAW DATA'!M:M,'RAW DATA'!B576,'RAW DATA'!H:H)=0,"",SUMIF('RAW DATA'!M:M,'RAW DATA'!B576,'RAW DATA'!H:H))))</f>
        <v/>
      </c>
      <c r="F576" s="4" t="str">
        <f>IF($D575="TOTAL:",FIXED(ROUND(((SUM($F$4:$F574)/'RAW DATA'!$E$2)*100),1),1)&amp;"%",IF($D576="TOTAL:",SUM($F$4:$F575),IF(SUMIF('RAW DATA'!M:M,'RAW DATA'!B576,'RAW DATA'!I:I)=0,"",SUMIF('RAW DATA'!M:M,'RAW DATA'!B576,'RAW DATA'!I:I))))</f>
        <v/>
      </c>
      <c r="G576" s="24" t="str">
        <f t="shared" si="8"/>
        <v/>
      </c>
    </row>
    <row r="577" spans="4:7" x14ac:dyDescent="0.25">
      <c r="D577" s="1" t="str">
        <f>IF(AND($B576&lt;&gt;"", $B577=""), "TOTAL:", IF($D576="TOTAL:","VESSEL TARGET "&amp;'RAW DATA'!$E$2&amp;":",IF('RAW DATA'!$E577&lt;&gt;"",'RAW DATA'!$E577,"")))</f>
        <v/>
      </c>
      <c r="E577" s="4" t="str">
        <f>IF($D576="TOTAL:",FIXED(ROUND(((SUM($E$4:$E575)/'RAW DATA'!$E$2)*100),1),1)&amp;"%",IF($D577="TOTAL:",SUM($E$4:$E576),IF(SUMIF('RAW DATA'!M:M,'RAW DATA'!B577,'RAW DATA'!H:H)=0,"",SUMIF('RAW DATA'!M:M,'RAW DATA'!B577,'RAW DATA'!H:H))))</f>
        <v/>
      </c>
      <c r="F577" s="4" t="str">
        <f>IF($D576="TOTAL:",FIXED(ROUND(((SUM($F$4:$F575)/'RAW DATA'!$E$2)*100),1),1)&amp;"%",IF($D577="TOTAL:",SUM($F$4:$F576),IF(SUMIF('RAW DATA'!M:M,'RAW DATA'!B577,'RAW DATA'!I:I)=0,"",SUMIF('RAW DATA'!M:M,'RAW DATA'!B577,'RAW DATA'!I:I))))</f>
        <v/>
      </c>
      <c r="G577" s="24" t="str">
        <f t="shared" si="8"/>
        <v/>
      </c>
    </row>
    <row r="578" spans="4:7" x14ac:dyDescent="0.25">
      <c r="D578" s="1" t="str">
        <f>IF(AND($B577&lt;&gt;"", $B578=""), "TOTAL:", IF($D577="TOTAL:","VESSEL TARGET "&amp;'RAW DATA'!$E$2&amp;":",IF('RAW DATA'!$E578&lt;&gt;"",'RAW DATA'!$E578,"")))</f>
        <v/>
      </c>
      <c r="E578" s="4" t="str">
        <f>IF($D577="TOTAL:",FIXED(ROUND(((SUM($E$4:$E576)/'RAW DATA'!$E$2)*100),1),1)&amp;"%",IF($D578="TOTAL:",SUM($E$4:$E577),IF(SUMIF('RAW DATA'!M:M,'RAW DATA'!B578,'RAW DATA'!H:H)=0,"",SUMIF('RAW DATA'!M:M,'RAW DATA'!B578,'RAW DATA'!H:H))))</f>
        <v/>
      </c>
      <c r="F578" s="4" t="str">
        <f>IF($D577="TOTAL:",FIXED(ROUND(((SUM($F$4:$F576)/'RAW DATA'!$E$2)*100),1),1)&amp;"%",IF($D578="TOTAL:",SUM($F$4:$F577),IF(SUMIF('RAW DATA'!M:M,'RAW DATA'!B578,'RAW DATA'!I:I)=0,"",SUMIF('RAW DATA'!M:M,'RAW DATA'!B578,'RAW DATA'!I:I))))</f>
        <v/>
      </c>
      <c r="G578" s="24" t="str">
        <f t="shared" si="8"/>
        <v/>
      </c>
    </row>
    <row r="579" spans="4:7" x14ac:dyDescent="0.25">
      <c r="D579" s="1" t="str">
        <f>IF(AND($B578&lt;&gt;"", $B579=""), "TOTAL:", IF($D578="TOTAL:","VESSEL TARGET "&amp;'RAW DATA'!$E$2&amp;":",IF('RAW DATA'!$E579&lt;&gt;"",'RAW DATA'!$E579,"")))</f>
        <v/>
      </c>
      <c r="E579" s="4" t="str">
        <f>IF($D578="TOTAL:",FIXED(ROUND(((SUM($E$4:$E577)/'RAW DATA'!$E$2)*100),1),1)&amp;"%",IF($D579="TOTAL:",SUM($E$4:$E578),IF(SUMIF('RAW DATA'!M:M,'RAW DATA'!B579,'RAW DATA'!H:H)=0,"",SUMIF('RAW DATA'!M:M,'RAW DATA'!B579,'RAW DATA'!H:H))))</f>
        <v/>
      </c>
      <c r="F579" s="4" t="str">
        <f>IF($D578="TOTAL:",FIXED(ROUND(((SUM($F$4:$F577)/'RAW DATA'!$E$2)*100),1),1)&amp;"%",IF($D579="TOTAL:",SUM($F$4:$F578),IF(SUMIF('RAW DATA'!M:M,'RAW DATA'!B579,'RAW DATA'!I:I)=0,"",SUMIF('RAW DATA'!M:M,'RAW DATA'!B579,'RAW DATA'!I:I))))</f>
        <v/>
      </c>
      <c r="G579" s="24" t="str">
        <f t="shared" si="8"/>
        <v/>
      </c>
    </row>
    <row r="580" spans="4:7" x14ac:dyDescent="0.25">
      <c r="D580" s="1" t="str">
        <f>IF(AND($B579&lt;&gt;"", $B580=""), "TOTAL:", IF($D579="TOTAL:","VESSEL TARGET "&amp;'RAW DATA'!$E$2&amp;":",IF('RAW DATA'!$E580&lt;&gt;"",'RAW DATA'!$E580,"")))</f>
        <v/>
      </c>
      <c r="E580" s="4" t="str">
        <f>IF($D579="TOTAL:",FIXED(ROUND(((SUM($E$4:$E578)/'RAW DATA'!$E$2)*100),1),1)&amp;"%",IF($D580="TOTAL:",SUM($E$4:$E579),IF(SUMIF('RAW DATA'!M:M,'RAW DATA'!B580,'RAW DATA'!H:H)=0,"",SUMIF('RAW DATA'!M:M,'RAW DATA'!B580,'RAW DATA'!H:H))))</f>
        <v/>
      </c>
      <c r="F580" s="4" t="str">
        <f>IF($D579="TOTAL:",FIXED(ROUND(((SUM($F$4:$F578)/'RAW DATA'!$E$2)*100),1),1)&amp;"%",IF($D580="TOTAL:",SUM($F$4:$F579),IF(SUMIF('RAW DATA'!M:M,'RAW DATA'!B580,'RAW DATA'!I:I)=0,"",SUMIF('RAW DATA'!M:M,'RAW DATA'!B580,'RAW DATA'!I:I))))</f>
        <v/>
      </c>
      <c r="G580" s="24" t="str">
        <f t="shared" si="8"/>
        <v/>
      </c>
    </row>
    <row r="581" spans="4:7" x14ac:dyDescent="0.25">
      <c r="D581" s="1" t="str">
        <f>IF(AND($B580&lt;&gt;"", $B581=""), "TOTAL:", IF($D580="TOTAL:","VESSEL TARGET "&amp;'RAW DATA'!$E$2&amp;":",IF('RAW DATA'!$E581&lt;&gt;"",'RAW DATA'!$E581,"")))</f>
        <v/>
      </c>
      <c r="E581" s="4" t="str">
        <f>IF($D580="TOTAL:",FIXED(ROUND(((SUM($E$4:$E579)/'RAW DATA'!$E$2)*100),1),1)&amp;"%",IF($D581="TOTAL:",SUM($E$4:$E580),IF(SUMIF('RAW DATA'!M:M,'RAW DATA'!B581,'RAW DATA'!H:H)=0,"",SUMIF('RAW DATA'!M:M,'RAW DATA'!B581,'RAW DATA'!H:H))))</f>
        <v/>
      </c>
      <c r="F581" s="4" t="str">
        <f>IF($D580="TOTAL:",FIXED(ROUND(((SUM($F$4:$F579)/'RAW DATA'!$E$2)*100),1),1)&amp;"%",IF($D581="TOTAL:",SUM($F$4:$F580),IF(SUMIF('RAW DATA'!M:M,'RAW DATA'!B581,'RAW DATA'!I:I)=0,"",SUMIF('RAW DATA'!M:M,'RAW DATA'!B581,'RAW DATA'!I:I))))</f>
        <v/>
      </c>
      <c r="G581" s="24" t="str">
        <f t="shared" si="8"/>
        <v/>
      </c>
    </row>
    <row r="582" spans="4:7" x14ac:dyDescent="0.25">
      <c r="D582" s="1" t="str">
        <f>IF(AND($B581&lt;&gt;"", $B582=""), "TOTAL:", IF($D581="TOTAL:","VESSEL TARGET "&amp;'RAW DATA'!$E$2&amp;":",IF('RAW DATA'!$E582&lt;&gt;"",'RAW DATA'!$E582,"")))</f>
        <v/>
      </c>
      <c r="E582" s="4" t="str">
        <f>IF($D581="TOTAL:",FIXED(ROUND(((SUM($E$4:$E580)/'RAW DATA'!$E$2)*100),1),1)&amp;"%",IF($D582="TOTAL:",SUM($E$4:$E581),IF(SUMIF('RAW DATA'!M:M,'RAW DATA'!B582,'RAW DATA'!H:H)=0,"",SUMIF('RAW DATA'!M:M,'RAW DATA'!B582,'RAW DATA'!H:H))))</f>
        <v/>
      </c>
      <c r="F582" s="4" t="str">
        <f>IF($D581="TOTAL:",FIXED(ROUND(((SUM($F$4:$F580)/'RAW DATA'!$E$2)*100),1),1)&amp;"%",IF($D582="TOTAL:",SUM($F$4:$F581),IF(SUMIF('RAW DATA'!M:M,'RAW DATA'!B582,'RAW DATA'!I:I)=0,"",SUMIF('RAW DATA'!M:M,'RAW DATA'!B582,'RAW DATA'!I:I))))</f>
        <v/>
      </c>
      <c r="G582" s="24" t="str">
        <f t="shared" ref="G582:G611" si="9">IF(OR($B582="", $E582="",$F582=""),"",IF(AND($E582&gt;=2,$F582&gt;=2),1,""))</f>
        <v/>
      </c>
    </row>
    <row r="583" spans="4:7" x14ac:dyDescent="0.25">
      <c r="D583" s="1" t="str">
        <f>IF(AND($B582&lt;&gt;"", $B583=""), "TOTAL:", IF($D582="TOTAL:","VESSEL TARGET "&amp;'RAW DATA'!$E$2&amp;":",IF('RAW DATA'!$E583&lt;&gt;"",'RAW DATA'!$E583,"")))</f>
        <v/>
      </c>
      <c r="E583" s="4" t="str">
        <f>IF($D582="TOTAL:",FIXED(ROUND(((SUM($E$4:$E581)/'RAW DATA'!$E$2)*100),1),1)&amp;"%",IF($D583="TOTAL:",SUM($E$4:$E582),IF(SUMIF('RAW DATA'!M:M,'RAW DATA'!B583,'RAW DATA'!H:H)=0,"",SUMIF('RAW DATA'!M:M,'RAW DATA'!B583,'RAW DATA'!H:H))))</f>
        <v/>
      </c>
      <c r="F583" s="4" t="str">
        <f>IF($D582="TOTAL:",FIXED(ROUND(((SUM($F$4:$F581)/'RAW DATA'!$E$2)*100),1),1)&amp;"%",IF($D583="TOTAL:",SUM($F$4:$F582),IF(SUMIF('RAW DATA'!M:M,'RAW DATA'!B583,'RAW DATA'!I:I)=0,"",SUMIF('RAW DATA'!M:M,'RAW DATA'!B583,'RAW DATA'!I:I))))</f>
        <v/>
      </c>
      <c r="G583" s="24" t="str">
        <f t="shared" si="9"/>
        <v/>
      </c>
    </row>
    <row r="584" spans="4:7" x14ac:dyDescent="0.25">
      <c r="D584" s="1" t="str">
        <f>IF(AND($B583&lt;&gt;"", $B584=""), "TOTAL:", IF($D583="TOTAL:","VESSEL TARGET "&amp;'RAW DATA'!$E$2&amp;":",IF('RAW DATA'!$E584&lt;&gt;"",'RAW DATA'!$E584,"")))</f>
        <v/>
      </c>
      <c r="E584" s="4" t="str">
        <f>IF($D583="TOTAL:",FIXED(ROUND(((SUM($E$4:$E582)/'RAW DATA'!$E$2)*100),1),1)&amp;"%",IF($D584="TOTAL:",SUM($E$4:$E583),IF(SUMIF('RAW DATA'!M:M,'RAW DATA'!B584,'RAW DATA'!H:H)=0,"",SUMIF('RAW DATA'!M:M,'RAW DATA'!B584,'RAW DATA'!H:H))))</f>
        <v/>
      </c>
      <c r="F584" s="4" t="str">
        <f>IF($D583="TOTAL:",FIXED(ROUND(((SUM($F$4:$F582)/'RAW DATA'!$E$2)*100),1),1)&amp;"%",IF($D584="TOTAL:",SUM($F$4:$F583),IF(SUMIF('RAW DATA'!M:M,'RAW DATA'!B584,'RAW DATA'!I:I)=0,"",SUMIF('RAW DATA'!M:M,'RAW DATA'!B584,'RAW DATA'!I:I))))</f>
        <v/>
      </c>
      <c r="G584" s="24" t="str">
        <f t="shared" si="9"/>
        <v/>
      </c>
    </row>
    <row r="585" spans="4:7" x14ac:dyDescent="0.25">
      <c r="D585" s="1" t="str">
        <f>IF(AND($B584&lt;&gt;"", $B585=""), "TOTAL:", IF($D584="TOTAL:","VESSEL TARGET "&amp;'RAW DATA'!$E$2&amp;":",IF('RAW DATA'!$E585&lt;&gt;"",'RAW DATA'!$E585,"")))</f>
        <v/>
      </c>
      <c r="E585" s="4" t="str">
        <f>IF($D584="TOTAL:",FIXED(ROUND(((SUM($E$4:$E583)/'RAW DATA'!$E$2)*100),1),1)&amp;"%",IF($D585="TOTAL:",SUM($E$4:$E584),IF(SUMIF('RAW DATA'!M:M,'RAW DATA'!B585,'RAW DATA'!H:H)=0,"",SUMIF('RAW DATA'!M:M,'RAW DATA'!B585,'RAW DATA'!H:H))))</f>
        <v/>
      </c>
      <c r="F585" s="4" t="str">
        <f>IF($D584="TOTAL:",FIXED(ROUND(((SUM($F$4:$F583)/'RAW DATA'!$E$2)*100),1),1)&amp;"%",IF($D585="TOTAL:",SUM($F$4:$F584),IF(SUMIF('RAW DATA'!M:M,'RAW DATA'!B585,'RAW DATA'!I:I)=0,"",SUMIF('RAW DATA'!M:M,'RAW DATA'!B585,'RAW DATA'!I:I))))</f>
        <v/>
      </c>
      <c r="G585" s="24" t="str">
        <f t="shared" si="9"/>
        <v/>
      </c>
    </row>
    <row r="586" spans="4:7" x14ac:dyDescent="0.25">
      <c r="D586" s="1" t="str">
        <f>IF(AND($B585&lt;&gt;"", $B586=""), "TOTAL:", IF($D585="TOTAL:","VESSEL TARGET "&amp;'RAW DATA'!$E$2&amp;":",IF('RAW DATA'!$E586&lt;&gt;"",'RAW DATA'!$E586,"")))</f>
        <v/>
      </c>
      <c r="E586" s="4" t="str">
        <f>IF($D585="TOTAL:",FIXED(ROUND(((SUM($E$4:$E584)/'RAW DATA'!$E$2)*100),1),1)&amp;"%",IF($D586="TOTAL:",SUM($E$4:$E585),IF(SUMIF('RAW DATA'!M:M,'RAW DATA'!B586,'RAW DATA'!H:H)=0,"",SUMIF('RAW DATA'!M:M,'RAW DATA'!B586,'RAW DATA'!H:H))))</f>
        <v/>
      </c>
      <c r="F586" s="4" t="str">
        <f>IF($D585="TOTAL:",FIXED(ROUND(((SUM($F$4:$F584)/'RAW DATA'!$E$2)*100),1),1)&amp;"%",IF($D586="TOTAL:",SUM($F$4:$F585),IF(SUMIF('RAW DATA'!M:M,'RAW DATA'!B586,'RAW DATA'!I:I)=0,"",SUMIF('RAW DATA'!M:M,'RAW DATA'!B586,'RAW DATA'!I:I))))</f>
        <v/>
      </c>
      <c r="G586" s="24" t="str">
        <f t="shared" si="9"/>
        <v/>
      </c>
    </row>
    <row r="587" spans="4:7" x14ac:dyDescent="0.25">
      <c r="D587" s="1" t="str">
        <f>IF(AND($B586&lt;&gt;"", $B587=""), "TOTAL:", IF($D586="TOTAL:","VESSEL TARGET "&amp;'RAW DATA'!$E$2&amp;":",IF('RAW DATA'!$E587&lt;&gt;"",'RAW DATA'!$E587,"")))</f>
        <v/>
      </c>
      <c r="E587" s="4" t="str">
        <f>IF($D586="TOTAL:",FIXED(ROUND(((SUM($E$4:$E585)/'RAW DATA'!$E$2)*100),1),1)&amp;"%",IF($D587="TOTAL:",SUM($E$4:$E586),IF(SUMIF('RAW DATA'!M:M,'RAW DATA'!B587,'RAW DATA'!H:H)=0,"",SUMIF('RAW DATA'!M:M,'RAW DATA'!B587,'RAW DATA'!H:H))))</f>
        <v/>
      </c>
      <c r="F587" s="4" t="str">
        <f>IF($D586="TOTAL:",FIXED(ROUND(((SUM($F$4:$F585)/'RAW DATA'!$E$2)*100),1),1)&amp;"%",IF($D587="TOTAL:",SUM($F$4:$F586),IF(SUMIF('RAW DATA'!M:M,'RAW DATA'!B587,'RAW DATA'!I:I)=0,"",SUMIF('RAW DATA'!M:M,'RAW DATA'!B587,'RAW DATA'!I:I))))</f>
        <v/>
      </c>
      <c r="G587" s="24" t="str">
        <f t="shared" si="9"/>
        <v/>
      </c>
    </row>
    <row r="588" spans="4:7" x14ac:dyDescent="0.25">
      <c r="D588" s="1" t="str">
        <f>IF(AND($B587&lt;&gt;"", $B588=""), "TOTAL:", IF($D587="TOTAL:","VESSEL TARGET "&amp;'RAW DATA'!$E$2&amp;":",IF('RAW DATA'!$E588&lt;&gt;"",'RAW DATA'!$E588,"")))</f>
        <v/>
      </c>
      <c r="E588" s="4" t="str">
        <f>IF($D587="TOTAL:",FIXED(ROUND(((SUM($E$4:$E586)/'RAW DATA'!$E$2)*100),1),1)&amp;"%",IF($D588="TOTAL:",SUM($E$4:$E587),IF(SUMIF('RAW DATA'!M:M,'RAW DATA'!B588,'RAW DATA'!H:H)=0,"",SUMIF('RAW DATA'!M:M,'RAW DATA'!B588,'RAW DATA'!H:H))))</f>
        <v/>
      </c>
      <c r="F588" s="4" t="str">
        <f>IF($D587="TOTAL:",FIXED(ROUND(((SUM($F$4:$F586)/'RAW DATA'!$E$2)*100),1),1)&amp;"%",IF($D588="TOTAL:",SUM($F$4:$F587),IF(SUMIF('RAW DATA'!M:M,'RAW DATA'!B588,'RAW DATA'!I:I)=0,"",SUMIF('RAW DATA'!M:M,'RAW DATA'!B588,'RAW DATA'!I:I))))</f>
        <v/>
      </c>
      <c r="G588" s="24" t="str">
        <f t="shared" si="9"/>
        <v/>
      </c>
    </row>
    <row r="589" spans="4:7" x14ac:dyDescent="0.25">
      <c r="D589" s="1" t="str">
        <f>IF(AND($B588&lt;&gt;"", $B589=""), "TOTAL:", IF($D588="TOTAL:","VESSEL TARGET "&amp;'RAW DATA'!$E$2&amp;":",IF('RAW DATA'!$E589&lt;&gt;"",'RAW DATA'!$E589,"")))</f>
        <v/>
      </c>
      <c r="E589" s="4" t="str">
        <f>IF($D588="TOTAL:",FIXED(ROUND(((SUM($E$4:$E587)/'RAW DATA'!$E$2)*100),1),1)&amp;"%",IF($D589="TOTAL:",SUM($E$4:$E588),IF(SUMIF('RAW DATA'!M:M,'RAW DATA'!B589,'RAW DATA'!H:H)=0,"",SUMIF('RAW DATA'!M:M,'RAW DATA'!B589,'RAW DATA'!H:H))))</f>
        <v/>
      </c>
      <c r="F589" s="4" t="str">
        <f>IF($D588="TOTAL:",FIXED(ROUND(((SUM($F$4:$F587)/'RAW DATA'!$E$2)*100),1),1)&amp;"%",IF($D589="TOTAL:",SUM($F$4:$F588),IF(SUMIF('RAW DATA'!M:M,'RAW DATA'!B589,'RAW DATA'!I:I)=0,"",SUMIF('RAW DATA'!M:M,'RAW DATA'!B589,'RAW DATA'!I:I))))</f>
        <v/>
      </c>
      <c r="G589" s="24" t="str">
        <f t="shared" si="9"/>
        <v/>
      </c>
    </row>
    <row r="590" spans="4:7" x14ac:dyDescent="0.25">
      <c r="D590" s="1" t="str">
        <f>IF(AND($B589&lt;&gt;"", $B590=""), "TOTAL:", IF($D589="TOTAL:","VESSEL TARGET "&amp;'RAW DATA'!$E$2&amp;":",IF('RAW DATA'!$E590&lt;&gt;"",'RAW DATA'!$E590,"")))</f>
        <v/>
      </c>
      <c r="E590" s="4" t="str">
        <f>IF($D589="TOTAL:",FIXED(ROUND(((SUM($E$4:$E588)/'RAW DATA'!$E$2)*100),1),1)&amp;"%",IF($D590="TOTAL:",SUM($E$4:$E589),IF(SUMIF('RAW DATA'!M:M,'RAW DATA'!B590,'RAW DATA'!H:H)=0,"",SUMIF('RAW DATA'!M:M,'RAW DATA'!B590,'RAW DATA'!H:H))))</f>
        <v/>
      </c>
      <c r="F590" s="4" t="str">
        <f>IF($D589="TOTAL:",FIXED(ROUND(((SUM($F$4:$F588)/'RAW DATA'!$E$2)*100),1),1)&amp;"%",IF($D590="TOTAL:",SUM($F$4:$F589),IF(SUMIF('RAW DATA'!M:M,'RAW DATA'!B590,'RAW DATA'!I:I)=0,"",SUMIF('RAW DATA'!M:M,'RAW DATA'!B590,'RAW DATA'!I:I))))</f>
        <v/>
      </c>
      <c r="G590" s="24" t="str">
        <f t="shared" si="9"/>
        <v/>
      </c>
    </row>
    <row r="591" spans="4:7" x14ac:dyDescent="0.25">
      <c r="D591" s="1" t="str">
        <f>IF(AND($B590&lt;&gt;"", $B591=""), "TOTAL:", IF($D590="TOTAL:","VESSEL TARGET "&amp;'RAW DATA'!$E$2&amp;":",IF('RAW DATA'!$E591&lt;&gt;"",'RAW DATA'!$E591,"")))</f>
        <v/>
      </c>
      <c r="E591" s="4" t="str">
        <f>IF($D590="TOTAL:",FIXED(ROUND(((SUM($E$4:$E589)/'RAW DATA'!$E$2)*100),1),1)&amp;"%",IF($D591="TOTAL:",SUM($E$4:$E590),IF(SUMIF('RAW DATA'!M:M,'RAW DATA'!B591,'RAW DATA'!H:H)=0,"",SUMIF('RAW DATA'!M:M,'RAW DATA'!B591,'RAW DATA'!H:H))))</f>
        <v/>
      </c>
      <c r="F591" s="4" t="str">
        <f>IF($D590="TOTAL:",FIXED(ROUND(((SUM($F$4:$F589)/'RAW DATA'!$E$2)*100),1),1)&amp;"%",IF($D591="TOTAL:",SUM($F$4:$F590),IF(SUMIF('RAW DATA'!M:M,'RAW DATA'!B591,'RAW DATA'!I:I)=0,"",SUMIF('RAW DATA'!M:M,'RAW DATA'!B591,'RAW DATA'!I:I))))</f>
        <v/>
      </c>
      <c r="G591" s="24" t="str">
        <f t="shared" si="9"/>
        <v/>
      </c>
    </row>
    <row r="592" spans="4:7" x14ac:dyDescent="0.25">
      <c r="D592" s="1" t="str">
        <f>IF(AND($B591&lt;&gt;"", $B592=""), "TOTAL:", IF($D591="TOTAL:","VESSEL TARGET "&amp;'RAW DATA'!$E$2&amp;":",IF('RAW DATA'!$E592&lt;&gt;"",'RAW DATA'!$E592,"")))</f>
        <v/>
      </c>
      <c r="E592" s="4" t="str">
        <f>IF($D591="TOTAL:",FIXED(ROUND(((SUM($E$4:$E590)/'RAW DATA'!$E$2)*100),1),1)&amp;"%",IF($D592="TOTAL:",SUM($E$4:$E591),IF(SUMIF('RAW DATA'!M:M,'RAW DATA'!B592,'RAW DATA'!H:H)=0,"",SUMIF('RAW DATA'!M:M,'RAW DATA'!B592,'RAW DATA'!H:H))))</f>
        <v/>
      </c>
      <c r="F592" s="4" t="str">
        <f>IF($D591="TOTAL:",FIXED(ROUND(((SUM($F$4:$F590)/'RAW DATA'!$E$2)*100),1),1)&amp;"%",IF($D592="TOTAL:",SUM($F$4:$F591),IF(SUMIF('RAW DATA'!M:M,'RAW DATA'!B592,'RAW DATA'!I:I)=0,"",SUMIF('RAW DATA'!M:M,'RAW DATA'!B592,'RAW DATA'!I:I))))</f>
        <v/>
      </c>
      <c r="G592" s="24" t="str">
        <f t="shared" si="9"/>
        <v/>
      </c>
    </row>
    <row r="593" spans="4:7" x14ac:dyDescent="0.25">
      <c r="D593" s="1" t="str">
        <f>IF(AND($B592&lt;&gt;"", $B593=""), "TOTAL:", IF($D592="TOTAL:","VESSEL TARGET "&amp;'RAW DATA'!$E$2&amp;":",IF('RAW DATA'!$E593&lt;&gt;"",'RAW DATA'!$E593,"")))</f>
        <v/>
      </c>
      <c r="E593" s="4" t="str">
        <f>IF($D592="TOTAL:",FIXED(ROUND(((SUM($E$4:$E591)/'RAW DATA'!$E$2)*100),1),1)&amp;"%",IF($D593="TOTAL:",SUM($E$4:$E592),IF(SUMIF('RAW DATA'!M:M,'RAW DATA'!B593,'RAW DATA'!H:H)=0,"",SUMIF('RAW DATA'!M:M,'RAW DATA'!B593,'RAW DATA'!H:H))))</f>
        <v/>
      </c>
      <c r="F593" s="4" t="str">
        <f>IF($D592="TOTAL:",FIXED(ROUND(((SUM($F$4:$F591)/'RAW DATA'!$E$2)*100),1),1)&amp;"%",IF($D593="TOTAL:",SUM($F$4:$F592),IF(SUMIF('RAW DATA'!M:M,'RAW DATA'!B593,'RAW DATA'!I:I)=0,"",SUMIF('RAW DATA'!M:M,'RAW DATA'!B593,'RAW DATA'!I:I))))</f>
        <v/>
      </c>
      <c r="G593" s="24" t="str">
        <f t="shared" si="9"/>
        <v/>
      </c>
    </row>
    <row r="594" spans="4:7" x14ac:dyDescent="0.25">
      <c r="D594" s="1" t="str">
        <f>IF(AND($B593&lt;&gt;"", $B594=""), "TOTAL:", IF($D593="TOTAL:","VESSEL TARGET "&amp;'RAW DATA'!$E$2&amp;":",IF('RAW DATA'!$E594&lt;&gt;"",'RAW DATA'!$E594,"")))</f>
        <v/>
      </c>
      <c r="E594" s="4" t="str">
        <f>IF($D593="TOTAL:",FIXED(ROUND(((SUM($E$4:$E592)/'RAW DATA'!$E$2)*100),1),1)&amp;"%",IF($D594="TOTAL:",SUM($E$4:$E593),IF(SUMIF('RAW DATA'!M:M,'RAW DATA'!B594,'RAW DATA'!H:H)=0,"",SUMIF('RAW DATA'!M:M,'RAW DATA'!B594,'RAW DATA'!H:H))))</f>
        <v/>
      </c>
      <c r="F594" s="4" t="str">
        <f>IF($D593="TOTAL:",FIXED(ROUND(((SUM($F$4:$F592)/'RAW DATA'!$E$2)*100),1),1)&amp;"%",IF($D594="TOTAL:",SUM($F$4:$F593),IF(SUMIF('RAW DATA'!M:M,'RAW DATA'!B594,'RAW DATA'!I:I)=0,"",SUMIF('RAW DATA'!M:M,'RAW DATA'!B594,'RAW DATA'!I:I))))</f>
        <v/>
      </c>
      <c r="G594" s="24" t="str">
        <f t="shared" si="9"/>
        <v/>
      </c>
    </row>
    <row r="595" spans="4:7" x14ac:dyDescent="0.25">
      <c r="D595" s="1" t="str">
        <f>IF(AND($B594&lt;&gt;"", $B595=""), "TOTAL:", IF($D594="TOTAL:","VESSEL TARGET "&amp;'RAW DATA'!$E$2&amp;":",IF('RAW DATA'!$E595&lt;&gt;"",'RAW DATA'!$E595,"")))</f>
        <v/>
      </c>
      <c r="E595" s="4" t="str">
        <f>IF($D594="TOTAL:",FIXED(ROUND(((SUM($E$4:$E593)/'RAW DATA'!$E$2)*100),1),1)&amp;"%",IF($D595="TOTAL:",SUM($E$4:$E594),IF(SUMIF('RAW DATA'!M:M,'RAW DATA'!B595,'RAW DATA'!H:H)=0,"",SUMIF('RAW DATA'!M:M,'RAW DATA'!B595,'RAW DATA'!H:H))))</f>
        <v/>
      </c>
      <c r="F595" s="4" t="str">
        <f>IF($D594="TOTAL:",FIXED(ROUND(((SUM($F$4:$F593)/'RAW DATA'!$E$2)*100),1),1)&amp;"%",IF($D595="TOTAL:",SUM($F$4:$F594),IF(SUMIF('RAW DATA'!M:M,'RAW DATA'!B595,'RAW DATA'!I:I)=0,"",SUMIF('RAW DATA'!M:M,'RAW DATA'!B595,'RAW DATA'!I:I))))</f>
        <v/>
      </c>
      <c r="G595" s="24" t="str">
        <f t="shared" si="9"/>
        <v/>
      </c>
    </row>
    <row r="596" spans="4:7" x14ac:dyDescent="0.25">
      <c r="D596" s="1" t="str">
        <f>IF(AND($B595&lt;&gt;"", $B596=""), "TOTAL:", IF($D595="TOTAL:","VESSEL TARGET "&amp;'RAW DATA'!$E$2&amp;":",IF('RAW DATA'!$E596&lt;&gt;"",'RAW DATA'!$E596,"")))</f>
        <v/>
      </c>
      <c r="E596" s="4" t="str">
        <f>IF($D595="TOTAL:",FIXED(ROUND(((SUM($E$4:$E594)/'RAW DATA'!$E$2)*100),1),1)&amp;"%",IF($D596="TOTAL:",SUM($E$4:$E595),IF(SUMIF('RAW DATA'!M:M,'RAW DATA'!B596,'RAW DATA'!H:H)=0,"",SUMIF('RAW DATA'!M:M,'RAW DATA'!B596,'RAW DATA'!H:H))))</f>
        <v/>
      </c>
      <c r="F596" s="4" t="str">
        <f>IF($D595="TOTAL:",FIXED(ROUND(((SUM($F$4:$F594)/'RAW DATA'!$E$2)*100),1),1)&amp;"%",IF($D596="TOTAL:",SUM($F$4:$F595),IF(SUMIF('RAW DATA'!M:M,'RAW DATA'!B596,'RAW DATA'!I:I)=0,"",SUMIF('RAW DATA'!M:M,'RAW DATA'!B596,'RAW DATA'!I:I))))</f>
        <v/>
      </c>
      <c r="G596" s="24" t="str">
        <f t="shared" si="9"/>
        <v/>
      </c>
    </row>
    <row r="597" spans="4:7" x14ac:dyDescent="0.25">
      <c r="D597" s="1" t="str">
        <f>IF(AND($B596&lt;&gt;"", $B597=""), "TOTAL:", IF($D596="TOTAL:","VESSEL TARGET "&amp;'RAW DATA'!$E$2&amp;":",IF('RAW DATA'!$E597&lt;&gt;"",'RAW DATA'!$E597,"")))</f>
        <v/>
      </c>
      <c r="E597" s="4" t="str">
        <f>IF($D596="TOTAL:",FIXED(ROUND(((SUM($E$4:$E595)/'RAW DATA'!$E$2)*100),1),1)&amp;"%",IF($D597="TOTAL:",SUM($E$4:$E596),IF(SUMIF('RAW DATA'!M:M,'RAW DATA'!B597,'RAW DATA'!H:H)=0,"",SUMIF('RAW DATA'!M:M,'RAW DATA'!B597,'RAW DATA'!H:H))))</f>
        <v/>
      </c>
      <c r="F597" s="4" t="str">
        <f>IF($D596="TOTAL:",FIXED(ROUND(((SUM($F$4:$F595)/'RAW DATA'!$E$2)*100),1),1)&amp;"%",IF($D597="TOTAL:",SUM($F$4:$F596),IF(SUMIF('RAW DATA'!M:M,'RAW DATA'!B597,'RAW DATA'!I:I)=0,"",SUMIF('RAW DATA'!M:M,'RAW DATA'!B597,'RAW DATA'!I:I))))</f>
        <v/>
      </c>
      <c r="G597" s="24" t="str">
        <f t="shared" si="9"/>
        <v/>
      </c>
    </row>
    <row r="598" spans="4:7" x14ac:dyDescent="0.25">
      <c r="D598" s="1" t="str">
        <f>IF(AND($B597&lt;&gt;"", $B598=""), "TOTAL:", IF($D597="TOTAL:","VESSEL TARGET "&amp;'RAW DATA'!$E$2&amp;":",IF('RAW DATA'!$E598&lt;&gt;"",'RAW DATA'!$E598,"")))</f>
        <v/>
      </c>
      <c r="E598" s="4" t="str">
        <f>IF($D597="TOTAL:",FIXED(ROUND(((SUM($E$4:$E596)/'RAW DATA'!$E$2)*100),1),1)&amp;"%",IF($D598="TOTAL:",SUM($E$4:$E597),IF(SUMIF('RAW DATA'!M:M,'RAW DATA'!B598,'RAW DATA'!H:H)=0,"",SUMIF('RAW DATA'!M:M,'RAW DATA'!B598,'RAW DATA'!H:H))))</f>
        <v/>
      </c>
      <c r="F598" s="4" t="str">
        <f>IF($D597="TOTAL:",FIXED(ROUND(((SUM($F$4:$F596)/'RAW DATA'!$E$2)*100),1),1)&amp;"%",IF($D598="TOTAL:",SUM($F$4:$F597),IF(SUMIF('RAW DATA'!M:M,'RAW DATA'!B598,'RAW DATA'!I:I)=0,"",SUMIF('RAW DATA'!M:M,'RAW DATA'!B598,'RAW DATA'!I:I))))</f>
        <v/>
      </c>
      <c r="G598" s="24" t="str">
        <f t="shared" si="9"/>
        <v/>
      </c>
    </row>
    <row r="599" spans="4:7" x14ac:dyDescent="0.25">
      <c r="D599" s="1" t="str">
        <f>IF(AND($B598&lt;&gt;"", $B599=""), "TOTAL:", IF($D598="TOTAL:","VESSEL TARGET "&amp;'RAW DATA'!$E$2&amp;":",IF('RAW DATA'!$E599&lt;&gt;"",'RAW DATA'!$E599,"")))</f>
        <v/>
      </c>
      <c r="E599" s="4" t="str">
        <f>IF($D598="TOTAL:",FIXED(ROUND(((SUM($E$4:$E597)/'RAW DATA'!$E$2)*100),1),1)&amp;"%",IF($D599="TOTAL:",SUM($E$4:$E598),IF(SUMIF('RAW DATA'!M:M,'RAW DATA'!B599,'RAW DATA'!H:H)=0,"",SUMIF('RAW DATA'!M:M,'RAW DATA'!B599,'RAW DATA'!H:H))))</f>
        <v/>
      </c>
      <c r="F599" s="4" t="str">
        <f>IF($D598="TOTAL:",FIXED(ROUND(((SUM($F$4:$F597)/'RAW DATA'!$E$2)*100),1),1)&amp;"%",IF($D599="TOTAL:",SUM($F$4:$F598),IF(SUMIF('RAW DATA'!M:M,'RAW DATA'!B599,'RAW DATA'!I:I)=0,"",SUMIF('RAW DATA'!M:M,'RAW DATA'!B599,'RAW DATA'!I:I))))</f>
        <v/>
      </c>
      <c r="G599" s="24" t="str">
        <f t="shared" si="9"/>
        <v/>
      </c>
    </row>
    <row r="600" spans="4:7" x14ac:dyDescent="0.25">
      <c r="D600" s="1" t="str">
        <f>IF(AND($B599&lt;&gt;"", $B600=""), "TOTAL:", IF($D599="TOTAL:","VESSEL TARGET "&amp;'RAW DATA'!$E$2&amp;":",IF('RAW DATA'!$E600&lt;&gt;"",'RAW DATA'!$E600,"")))</f>
        <v/>
      </c>
      <c r="E600" s="4" t="str">
        <f>IF($D599="TOTAL:",FIXED(ROUND(((SUM($E$4:$E598)/'RAW DATA'!$E$2)*100),1),1)&amp;"%",IF($D600="TOTAL:",SUM($E$4:$E599),IF(SUMIF('RAW DATA'!M:M,'RAW DATA'!B600,'RAW DATA'!H:H)=0,"",SUMIF('RAW DATA'!M:M,'RAW DATA'!B600,'RAW DATA'!H:H))))</f>
        <v/>
      </c>
      <c r="F600" s="4" t="str">
        <f>IF($D599="TOTAL:",FIXED(ROUND(((SUM($F$4:$F598)/'RAW DATA'!$E$2)*100),1),1)&amp;"%",IF($D600="TOTAL:",SUM($F$4:$F599),IF(SUMIF('RAW DATA'!M:M,'RAW DATA'!B600,'RAW DATA'!I:I)=0,"",SUMIF('RAW DATA'!M:M,'RAW DATA'!B600,'RAW DATA'!I:I))))</f>
        <v/>
      </c>
      <c r="G600" s="24" t="str">
        <f t="shared" si="9"/>
        <v/>
      </c>
    </row>
    <row r="601" spans="4:7" x14ac:dyDescent="0.25">
      <c r="D601" s="1" t="str">
        <f>IF(AND($B600&lt;&gt;"", $B601=""), "TOTAL:", IF($D600="TOTAL:","VESSEL TARGET "&amp;'RAW DATA'!$E$2&amp;":",IF('RAW DATA'!$E601&lt;&gt;"",'RAW DATA'!$E601,"")))</f>
        <v/>
      </c>
      <c r="E601" s="4" t="str">
        <f>IF($D600="TOTAL:",FIXED(ROUND(((SUM($E$4:$E599)/'RAW DATA'!$E$2)*100),1),1)&amp;"%",IF($D601="TOTAL:",SUM($E$4:$E600),IF(SUMIF('RAW DATA'!M:M,'RAW DATA'!B601,'RAW DATA'!H:H)=0,"",SUMIF('RAW DATA'!M:M,'RAW DATA'!B601,'RAW DATA'!H:H))))</f>
        <v/>
      </c>
      <c r="F601" s="4" t="str">
        <f>IF($D600="TOTAL:",FIXED(ROUND(((SUM($F$4:$F599)/'RAW DATA'!$E$2)*100),1),1)&amp;"%",IF($D601="TOTAL:",SUM($F$4:$F600),IF(SUMIF('RAW DATA'!M:M,'RAW DATA'!B601,'RAW DATA'!I:I)=0,"",SUMIF('RAW DATA'!M:M,'RAW DATA'!B601,'RAW DATA'!I:I))))</f>
        <v/>
      </c>
      <c r="G601" s="24" t="str">
        <f t="shared" si="9"/>
        <v/>
      </c>
    </row>
    <row r="602" spans="4:7" x14ac:dyDescent="0.25">
      <c r="D602" s="1" t="str">
        <f>IF(AND($B601&lt;&gt;"", $B602=""), "TOTAL:", IF($D601="TOTAL:","VESSEL TARGET "&amp;'RAW DATA'!$E$2&amp;":",IF('RAW DATA'!$E602&lt;&gt;"",'RAW DATA'!$E602,"")))</f>
        <v/>
      </c>
      <c r="E602" s="4" t="str">
        <f>IF($D601="TOTAL:",FIXED(ROUND(((SUM($E$4:$E600)/'RAW DATA'!$E$2)*100),1),1)&amp;"%",IF($D602="TOTAL:",SUM($E$4:$E601),IF(SUMIF('RAW DATA'!M:M,'RAW DATA'!B602,'RAW DATA'!H:H)=0,"",SUMIF('RAW DATA'!M:M,'RAW DATA'!B602,'RAW DATA'!H:H))))</f>
        <v/>
      </c>
      <c r="F602" s="4" t="str">
        <f>IF($D601="TOTAL:",FIXED(ROUND(((SUM($F$4:$F600)/'RAW DATA'!$E$2)*100),1),1)&amp;"%",IF($D602="TOTAL:",SUM($F$4:$F601),IF(SUMIF('RAW DATA'!M:M,'RAW DATA'!B602,'RAW DATA'!I:I)=0,"",SUMIF('RAW DATA'!M:M,'RAW DATA'!B602,'RAW DATA'!I:I))))</f>
        <v/>
      </c>
      <c r="G602" s="24" t="str">
        <f t="shared" si="9"/>
        <v/>
      </c>
    </row>
    <row r="603" spans="4:7" x14ac:dyDescent="0.25">
      <c r="D603" s="1" t="str">
        <f>IF(AND($B602&lt;&gt;"", $B603=""), "TOTAL:", IF($D602="TOTAL:","VESSEL TARGET "&amp;'RAW DATA'!$E$2&amp;":",IF('RAW DATA'!$E603&lt;&gt;"",'RAW DATA'!$E603,"")))</f>
        <v/>
      </c>
      <c r="E603" s="4" t="str">
        <f>IF($D602="TOTAL:",FIXED(ROUND(((SUM($E$4:$E601)/'RAW DATA'!$E$2)*100),1),1)&amp;"%",IF($D603="TOTAL:",SUM($E$4:$E602),IF(SUMIF('RAW DATA'!M:M,'RAW DATA'!B603,'RAW DATA'!H:H)=0,"",SUMIF('RAW DATA'!M:M,'RAW DATA'!B603,'RAW DATA'!H:H))))</f>
        <v/>
      </c>
      <c r="F603" s="4" t="str">
        <f>IF($D602="TOTAL:",FIXED(ROUND(((SUM($F$4:$F601)/'RAW DATA'!$E$2)*100),1),1)&amp;"%",IF($D603="TOTAL:",SUM($F$4:$F602),IF(SUMIF('RAW DATA'!M:M,'RAW DATA'!B603,'RAW DATA'!I:I)=0,"",SUMIF('RAW DATA'!M:M,'RAW DATA'!B603,'RAW DATA'!I:I))))</f>
        <v/>
      </c>
      <c r="G603" s="24" t="str">
        <f t="shared" si="9"/>
        <v/>
      </c>
    </row>
    <row r="604" spans="4:7" x14ac:dyDescent="0.25">
      <c r="D604" s="1" t="str">
        <f>IF(AND($B603&lt;&gt;"", $B604=""), "TOTAL:", IF($D603="TOTAL:","VESSEL TARGET "&amp;'RAW DATA'!$E$2&amp;":",IF('RAW DATA'!$E604&lt;&gt;"",'RAW DATA'!$E604,"")))</f>
        <v/>
      </c>
      <c r="E604" s="4" t="str">
        <f>IF($D603="TOTAL:",FIXED(ROUND(((SUM($E$4:$E602)/'RAW DATA'!$E$2)*100),1),1)&amp;"%",IF($D604="TOTAL:",SUM($E$4:$E603),IF(SUMIF('RAW DATA'!M:M,'RAW DATA'!B604,'RAW DATA'!H:H)=0,"",SUMIF('RAW DATA'!M:M,'RAW DATA'!B604,'RAW DATA'!H:H))))</f>
        <v/>
      </c>
      <c r="F604" s="4" t="str">
        <f>IF($D603="TOTAL:",FIXED(ROUND(((SUM($F$4:$F602)/'RAW DATA'!$E$2)*100),1),1)&amp;"%",IF($D604="TOTAL:",SUM($F$4:$F603),IF(SUMIF('RAW DATA'!M:M,'RAW DATA'!B604,'RAW DATA'!I:I)=0,"",SUMIF('RAW DATA'!M:M,'RAW DATA'!B604,'RAW DATA'!I:I))))</f>
        <v/>
      </c>
      <c r="G604" s="24" t="str">
        <f t="shared" si="9"/>
        <v/>
      </c>
    </row>
    <row r="605" spans="4:7" x14ac:dyDescent="0.25">
      <c r="D605" s="1" t="str">
        <f>IF(AND($B604&lt;&gt;"", $B605=""), "TOTAL:", IF($D604="TOTAL:","VESSEL TARGET "&amp;'RAW DATA'!$E$2&amp;":",IF('RAW DATA'!$E605&lt;&gt;"",'RAW DATA'!$E605,"")))</f>
        <v/>
      </c>
      <c r="E605" s="4" t="str">
        <f>IF($D604="TOTAL:",FIXED(ROUND(((SUM($E$4:$E603)/'RAW DATA'!$E$2)*100),1),1)&amp;"%",IF($D605="TOTAL:",SUM($E$4:$E604),IF(SUMIF('RAW DATA'!M:M,'RAW DATA'!B605,'RAW DATA'!H:H)=0,"",SUMIF('RAW DATA'!M:M,'RAW DATA'!B605,'RAW DATA'!H:H))))</f>
        <v/>
      </c>
      <c r="F605" s="4" t="str">
        <f>IF($D604="TOTAL:",FIXED(ROUND(((SUM($F$4:$F603)/'RAW DATA'!$E$2)*100),1),1)&amp;"%",IF($D605="TOTAL:",SUM($F$4:$F604),IF(SUMIF('RAW DATA'!M:M,'RAW DATA'!B605,'RAW DATA'!I:I)=0,"",SUMIF('RAW DATA'!M:M,'RAW DATA'!B605,'RAW DATA'!I:I))))</f>
        <v/>
      </c>
      <c r="G605" s="24" t="str">
        <f t="shared" si="9"/>
        <v/>
      </c>
    </row>
    <row r="606" spans="4:7" x14ac:dyDescent="0.25">
      <c r="D606" s="1" t="str">
        <f>IF(AND($B605&lt;&gt;"", $B606=""), "TOTAL:", IF($D605="TOTAL:","VESSEL TARGET "&amp;'RAW DATA'!$E$2&amp;":",IF('RAW DATA'!$E606&lt;&gt;"",'RAW DATA'!$E606,"")))</f>
        <v/>
      </c>
      <c r="E606" s="4" t="str">
        <f>IF($D605="TOTAL:",FIXED(ROUND(((SUM($E$4:$E604)/'RAW DATA'!$E$2)*100),1),1)&amp;"%",IF($D606="TOTAL:",SUM($E$4:$E605),IF(SUMIF('RAW DATA'!M:M,'RAW DATA'!B606,'RAW DATA'!H:H)=0,"",SUMIF('RAW DATA'!M:M,'RAW DATA'!B606,'RAW DATA'!H:H))))</f>
        <v/>
      </c>
      <c r="F606" s="4" t="str">
        <f>IF($D605="TOTAL:",FIXED(ROUND(((SUM($F$4:$F604)/'RAW DATA'!$E$2)*100),1),1)&amp;"%",IF($D606="TOTAL:",SUM($F$4:$F605),IF(SUMIF('RAW DATA'!M:M,'RAW DATA'!B606,'RAW DATA'!I:I)=0,"",SUMIF('RAW DATA'!M:M,'RAW DATA'!B606,'RAW DATA'!I:I))))</f>
        <v/>
      </c>
      <c r="G606" s="24" t="str">
        <f t="shared" si="9"/>
        <v/>
      </c>
    </row>
    <row r="607" spans="4:7" x14ac:dyDescent="0.25">
      <c r="D607" s="1" t="str">
        <f>IF(AND($B606&lt;&gt;"", $B607=""), "TOTAL:", IF($D606="TOTAL:","VESSEL TARGET "&amp;'RAW DATA'!$E$2&amp;":",IF('RAW DATA'!$E607&lt;&gt;"",'RAW DATA'!$E607,"")))</f>
        <v/>
      </c>
      <c r="E607" s="4" t="str">
        <f>IF($D606="TOTAL:",FIXED(ROUND(((SUM($E$4:$E605)/'RAW DATA'!$E$2)*100),1),1)&amp;"%",IF($D607="TOTAL:",SUM($E$4:$E606),IF(SUMIF('RAW DATA'!M:M,'RAW DATA'!B607,'RAW DATA'!H:H)=0,"",SUMIF('RAW DATA'!M:M,'RAW DATA'!B607,'RAW DATA'!H:H))))</f>
        <v/>
      </c>
      <c r="F607" s="4" t="str">
        <f>IF($D606="TOTAL:",FIXED(ROUND(((SUM($F$4:$F605)/'RAW DATA'!$E$2)*100),1),1)&amp;"%",IF($D607="TOTAL:",SUM($F$4:$F606),IF(SUMIF('RAW DATA'!M:M,'RAW DATA'!B607,'RAW DATA'!I:I)=0,"",SUMIF('RAW DATA'!M:M,'RAW DATA'!B607,'RAW DATA'!I:I))))</f>
        <v/>
      </c>
      <c r="G607" s="24" t="str">
        <f t="shared" si="9"/>
        <v/>
      </c>
    </row>
    <row r="608" spans="4:7" x14ac:dyDescent="0.25">
      <c r="D608" s="1" t="str">
        <f>IF(AND($B607&lt;&gt;"", $B608=""), "TOTAL:", IF($D607="TOTAL:","VESSEL TARGET "&amp;'RAW DATA'!$E$2&amp;":",IF('RAW DATA'!$E608&lt;&gt;"",'RAW DATA'!$E608,"")))</f>
        <v/>
      </c>
      <c r="E608" s="4" t="str">
        <f>IF($D607="TOTAL:",FIXED(ROUND(((SUM($E$4:$E606)/'RAW DATA'!$E$2)*100),1),1)&amp;"%",IF($D608="TOTAL:",SUM($E$4:$E607),IF(SUMIF('RAW DATA'!M:M,'RAW DATA'!B608,'RAW DATA'!H:H)=0,"",SUMIF('RAW DATA'!M:M,'RAW DATA'!B608,'RAW DATA'!H:H))))</f>
        <v/>
      </c>
      <c r="F608" s="4" t="str">
        <f>IF($D607="TOTAL:",FIXED(ROUND(((SUM($F$4:$F606)/'RAW DATA'!$E$2)*100),1),1)&amp;"%",IF($D608="TOTAL:",SUM($F$4:$F607),IF(SUMIF('RAW DATA'!M:M,'RAW DATA'!B608,'RAW DATA'!I:I)=0,"",SUMIF('RAW DATA'!M:M,'RAW DATA'!B608,'RAW DATA'!I:I))))</f>
        <v/>
      </c>
      <c r="G608" s="24" t="str">
        <f t="shared" si="9"/>
        <v/>
      </c>
    </row>
    <row r="609" spans="4:7" x14ac:dyDescent="0.25">
      <c r="D609" s="1" t="str">
        <f>IF(AND($B608&lt;&gt;"", $B609=""), "TOTAL:", IF($D608="TOTAL:","VESSEL TARGET "&amp;'RAW DATA'!$E$2&amp;":",IF('RAW DATA'!$E609&lt;&gt;"",'RAW DATA'!$E609,"")))</f>
        <v/>
      </c>
      <c r="E609" s="4" t="str">
        <f>IF($D608="TOTAL:",FIXED(ROUND(((SUM($E$4:$E607)/'RAW DATA'!$E$2)*100),1),1)&amp;"%",IF($D609="TOTAL:",SUM($E$4:$E608),IF(SUMIF('RAW DATA'!M:M,'RAW DATA'!B609,'RAW DATA'!H:H)=0,"",SUMIF('RAW DATA'!M:M,'RAW DATA'!B609,'RAW DATA'!H:H))))</f>
        <v/>
      </c>
      <c r="F609" s="4" t="str">
        <f>IF($D608="TOTAL:",FIXED(ROUND(((SUM($F$4:$F607)/'RAW DATA'!$E$2)*100),1),1)&amp;"%",IF($D609="TOTAL:",SUM($F$4:$F608),IF(SUMIF('RAW DATA'!M:M,'RAW DATA'!B609,'RAW DATA'!I:I)=0,"",SUMIF('RAW DATA'!M:M,'RAW DATA'!B609,'RAW DATA'!I:I))))</f>
        <v/>
      </c>
      <c r="G609" s="24" t="str">
        <f t="shared" si="9"/>
        <v/>
      </c>
    </row>
    <row r="610" spans="4:7" x14ac:dyDescent="0.25">
      <c r="D610" s="1" t="str">
        <f>IF(AND($B609&lt;&gt;"", $B610=""), "TOTAL:", IF($D609="TOTAL:","VESSEL TARGET "&amp;'RAW DATA'!$E$2&amp;":",IF('RAW DATA'!$E610&lt;&gt;"",'RAW DATA'!$E610,"")))</f>
        <v/>
      </c>
      <c r="E610" s="4" t="str">
        <f>IF($D609="TOTAL:",FIXED(ROUND(((SUM($E$4:$E608)/'RAW DATA'!$E$2)*100),1),1)&amp;"%",IF($D610="TOTAL:",SUM($E$4:$E609),IF(SUMIF('RAW DATA'!M:M,'RAW DATA'!B610,'RAW DATA'!H:H)=0,"",SUMIF('RAW DATA'!M:M,'RAW DATA'!B610,'RAW DATA'!H:H))))</f>
        <v/>
      </c>
      <c r="F610" s="4" t="str">
        <f>IF($D609="TOTAL:",FIXED(ROUND(((SUM($F$4:$F608)/'RAW DATA'!$E$2)*100),1),1)&amp;"%",IF($D610="TOTAL:",SUM($F$4:$F609),IF(SUMIF('RAW DATA'!M:M,'RAW DATA'!B610,'RAW DATA'!I:I)=0,"",SUMIF('RAW DATA'!M:M,'RAW DATA'!B610,'RAW DATA'!I:I))))</f>
        <v/>
      </c>
      <c r="G610" s="24" t="str">
        <f t="shared" si="9"/>
        <v/>
      </c>
    </row>
    <row r="611" spans="4:7" x14ac:dyDescent="0.25">
      <c r="D611" s="1" t="str">
        <f>IF(AND($B610&lt;&gt;"", $B611=""), "TOTAL:", IF($D610="TOTAL:","VESSEL TARGET "&amp;'RAW DATA'!$E$2&amp;":",IF('RAW DATA'!$E611&lt;&gt;"",'RAW DATA'!$E611,"")))</f>
        <v/>
      </c>
      <c r="E611" s="4" t="str">
        <f>IF($D610="TOTAL:",FIXED(ROUND(((SUM($E$4:$E609)/'RAW DATA'!$E$2)*100),1),1)&amp;"%",IF($D611="TOTAL:",SUM($E$4:$E610),IF(SUMIF('RAW DATA'!M:M,'RAW DATA'!B611,'RAW DATA'!H:H)=0,"",SUMIF('RAW DATA'!M:M,'RAW DATA'!B611,'RAW DATA'!H:H))))</f>
        <v/>
      </c>
      <c r="F611" s="4" t="str">
        <f>IF($D610="TOTAL:",FIXED(ROUND(((SUM($F$4:$F609)/'RAW DATA'!$E$2)*100),1),1)&amp;"%",IF($D611="TOTAL:",SUM($F$4:$F610),IF(SUMIF('RAW DATA'!M:M,'RAW DATA'!B611,'RAW DATA'!I:I)=0,"",SUMIF('RAW DATA'!M:M,'RAW DATA'!B611,'RAW DATA'!I:I))))</f>
        <v/>
      </c>
      <c r="G611" s="24" t="str">
        <f t="shared" si="9"/>
        <v/>
      </c>
    </row>
  </sheetData>
  <mergeCells count="1">
    <mergeCell ref="B2:G2"/>
  </mergeCells>
  <conditionalFormatting sqref="D1 D4:D1000">
    <cfRule type="expression" dxfId="43" priority="21">
      <formula>$D1="TOTAL:"</formula>
    </cfRule>
  </conditionalFormatting>
  <conditionalFormatting sqref="E1 E3:E1000">
    <cfRule type="expression" dxfId="42" priority="22">
      <formula>$D1="TOTAL:"</formula>
    </cfRule>
    <cfRule type="expression" dxfId="41" priority="53">
      <formula>AND($B1&lt;&gt;"",$E1="")</formula>
    </cfRule>
  </conditionalFormatting>
  <conditionalFormatting sqref="D4:D1000">
    <cfRule type="expression" dxfId="40" priority="24">
      <formula>$D3="TOTAL:"</formula>
    </cfRule>
  </conditionalFormatting>
  <conditionalFormatting sqref="E3:E1000">
    <cfRule type="expression" dxfId="39" priority="25">
      <formula>$D2="TOTAL:"</formula>
    </cfRule>
  </conditionalFormatting>
  <conditionalFormatting sqref="F3:F1000">
    <cfRule type="expression" dxfId="38" priority="26">
      <formula>$D2="TOTAL:"</formula>
    </cfRule>
  </conditionalFormatting>
  <conditionalFormatting sqref="G4:G611">
    <cfRule type="iconSet" priority="11">
      <iconSet showValue="0">
        <cfvo type="percent" val="0"/>
        <cfvo type="percent" val="33"/>
        <cfvo type="percentile" val="100"/>
      </iconSet>
    </cfRule>
  </conditionalFormatting>
  <conditionalFormatting sqref="G3">
    <cfRule type="expression" dxfId="37" priority="8">
      <formula>$D2="TOTAL:"</formula>
    </cfRule>
  </conditionalFormatting>
  <conditionalFormatting sqref="G3">
    <cfRule type="expression" dxfId="36" priority="9">
      <formula>AND($B3&lt;&gt;"",$F3="")</formula>
    </cfRule>
    <cfRule type="expression" dxfId="35" priority="10">
      <formula>$D3="TOTAL:"</formula>
    </cfRule>
  </conditionalFormatting>
  <conditionalFormatting sqref="F1 F3:F1000">
    <cfRule type="expression" dxfId="34" priority="54">
      <formula>AND($B1&lt;&gt;"",$F1="")</formula>
    </cfRule>
    <cfRule type="expression" dxfId="33" priority="55">
      <formula>$D1="TOTAL:"</formula>
    </cfRule>
  </conditionalFormatting>
  <conditionalFormatting sqref="D3">
    <cfRule type="expression" dxfId="32" priority="6">
      <formula>$D3="TOTAL:"</formula>
    </cfRule>
  </conditionalFormatting>
  <conditionalFormatting sqref="D3">
    <cfRule type="expression" dxfId="31" priority="7">
      <formula>$D2="TOTAL:"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F6349107-F8C8-496A-95ED-DA4AF25D0AD3}">
            <xm:f>'RAW DATA'!$G1&lt;&gt;""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expression" priority="13" stopIfTrue="1" id="{C5E49858-83C4-4BED-9C7A-931CF0523A5B}">
            <xm:f>AND('RAW DATA'!$H1="OFF",'RAW DATA'!$B1&lt;&gt;"")</xm:f>
            <x14:dxf>
              <font>
                <color theme="0" tint="-0.34998626667073579"/>
              </font>
              <fill>
                <patternFill>
                  <bgColor theme="0" tint="-4.9989318521683403E-2"/>
                </patternFill>
              </fill>
            </x14:dxf>
          </x14:cfRule>
          <xm:sqref>B1:G1 B2 B4:G611 E3:G3</xm:sqref>
        </x14:conditionalFormatting>
        <x14:conditionalFormatting xmlns:xm="http://schemas.microsoft.com/office/excel/2006/main">
          <x14:cfRule type="expression" priority="18" id="{52FC66F2-B867-4E10-A178-1643F47BF10A}">
            <xm:f>AND('RAW DATA'!$H1=1,'RAW DATA'!$B1&lt;&gt;"")</xm:f>
            <x14:dxf>
              <fill>
                <patternFill>
                  <bgColor theme="6" tint="0.79998168889431442"/>
                </patternFill>
              </fill>
            </x14:dxf>
          </x14:cfRule>
          <x14:cfRule type="expression" priority="19" id="{B0AE82FF-A4B8-4281-8290-7B433393ECDF}">
            <xm:f>AND('RAW DATA'!$H1=2,'RAW DATA'!$B1&lt;&gt;"")</xm:f>
            <x14:dxf>
              <fill>
                <patternFill>
                  <bgColor theme="4" tint="0.79998168889431442"/>
                </patternFill>
              </fill>
            </x14:dxf>
          </x14:cfRule>
          <x14:cfRule type="expression" priority="20" id="{8CD5D25B-398E-4168-A2A0-D1BE37BFBE18}">
            <xm:f>AND('RAW DATA'!$H1=3,'RAW DATA'!$B1&lt;&gt;"")</xm:f>
            <x14:dxf>
              <fill>
                <patternFill>
                  <bgColor theme="7" tint="0.79998168889431442"/>
                </patternFill>
              </fill>
            </x14:dxf>
          </x14:cfRule>
          <xm:sqref>D1 D3:D611</xm:sqref>
        </x14:conditionalFormatting>
        <x14:conditionalFormatting xmlns:xm="http://schemas.microsoft.com/office/excel/2006/main">
          <x14:cfRule type="expression" priority="1" id="{A3B7A925-B556-4EB5-A18E-446E72B399EC}">
            <xm:f>'RAW DATA'!$G3&lt;&gt;""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B3:D3</xm:sqref>
        </x14:conditionalFormatting>
        <x14:conditionalFormatting xmlns:xm="http://schemas.microsoft.com/office/excel/2006/main">
          <x14:cfRule type="expression" priority="2" stopIfTrue="1" id="{D5E8A402-E969-458A-9291-C170AF3EDE3E}">
            <xm:f>AND('RAW DATA'!$H3="OFF",'RAW DATA'!$B3&lt;&gt;"")</xm:f>
            <x14:dxf>
              <font>
                <color theme="0" tint="-0.34998626667073579"/>
              </font>
              <fill>
                <patternFill>
                  <bgColor theme="0" tint="-4.9989318521683403E-2"/>
                </patternFill>
              </fill>
            </x14:dxf>
          </x14:cfRule>
          <xm:sqref>B3:D3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99"/>
  <sheetViews>
    <sheetView zoomScaleNormal="100" workbookViewId="0">
      <selection activeCell="B2" sqref="B2:J2"/>
    </sheetView>
  </sheetViews>
  <sheetFormatPr defaultRowHeight="15" x14ac:dyDescent="0.25"/>
  <cols>
    <col min="2" max="4" width="25.7109375" style="39" customWidth="1"/>
    <col min="5" max="5" width="25.7109375" style="40" customWidth="1"/>
    <col min="6" max="7" width="20.7109375" style="40" customWidth="1"/>
    <col min="8" max="8" width="20.7109375" style="38" customWidth="1"/>
    <col min="9" max="9" width="20.7109375" style="40" customWidth="1"/>
    <col min="10" max="10" width="80.7109375" style="38" customWidth="1"/>
  </cols>
  <sheetData>
    <row r="1" spans="1:10" ht="15" customHeight="1" x14ac:dyDescent="0.25">
      <c r="A1" s="36"/>
      <c r="H1" s="37"/>
    </row>
    <row r="2" spans="1:10" ht="30" customHeight="1" x14ac:dyDescent="0.25">
      <c r="A2" s="36"/>
      <c r="B2" s="48">
        <f>'RAW DATA'!C3</f>
        <v>0</v>
      </c>
      <c r="C2" s="49"/>
      <c r="D2" s="49"/>
      <c r="E2" s="49"/>
      <c r="F2" s="49"/>
      <c r="G2" s="49"/>
      <c r="H2" s="49"/>
      <c r="I2" s="49"/>
      <c r="J2" s="50"/>
    </row>
    <row r="3" spans="1:10" ht="35.1" customHeight="1" x14ac:dyDescent="0.25">
      <c r="A3" s="36"/>
      <c r="B3" s="33" t="s">
        <v>21</v>
      </c>
      <c r="C3" s="33" t="s">
        <v>22</v>
      </c>
      <c r="D3" s="34" t="s">
        <v>23</v>
      </c>
      <c r="E3" s="41" t="s">
        <v>18</v>
      </c>
      <c r="F3" s="42" t="s">
        <v>20</v>
      </c>
      <c r="G3" s="44" t="s">
        <v>24</v>
      </c>
      <c r="H3" s="45" t="s">
        <v>25</v>
      </c>
      <c r="I3" s="43" t="s">
        <v>19</v>
      </c>
      <c r="J3" s="43" t="s">
        <v>28</v>
      </c>
    </row>
    <row r="4" spans="1:10" x14ac:dyDescent="0.25">
      <c r="B4" s="39" t="str">
        <f>IF('PRISM REPORT'!$B4&lt;&gt;"",'PRISM REPORT'!B4,"")</f>
        <v/>
      </c>
      <c r="C4" s="39" t="str">
        <f>IF('PRISM REPORT'!$B4&lt;&gt;"",'PRISM REPORT'!C4,"")</f>
        <v/>
      </c>
      <c r="D4" s="39" t="str">
        <f>IF('PRISM REPORT'!$B4&lt;&gt;"",'PRISM REPORT'!D4,"")</f>
        <v/>
      </c>
      <c r="E4" s="40" t="str">
        <f>IF('PRISM REPORT'!$B4&lt;&gt;"",'RAW DATA'!F4,"")</f>
        <v/>
      </c>
      <c r="F4" s="40" t="str">
        <f>IF('PRISM REPORT'!$B4&lt;&gt;"",IF('PRISM REPORT'!E4&lt;&gt;"",IF('PRISM REPORT'!E4&gt;0,'PRISM REPORT'!E4,0),0),"")</f>
        <v/>
      </c>
      <c r="G4" s="40" t="str">
        <f>IF(AND(B4&lt;&gt;"",C4&lt;&gt;""),SUM(E4,F4),"")</f>
        <v/>
      </c>
      <c r="I4" s="40" t="str">
        <f>IF(AND(B4&lt;&gt;"",C4&lt;&gt;""),G4-(H4*50),"")</f>
        <v/>
      </c>
    </row>
    <row r="5" spans="1:10" x14ac:dyDescent="0.25">
      <c r="B5" s="39" t="str">
        <f>IF('PRISM REPORT'!$B5&lt;&gt;"",'PRISM REPORT'!B5,"")</f>
        <v/>
      </c>
      <c r="C5" s="39" t="str">
        <f>IF('PRISM REPORT'!$B5&lt;&gt;"",'PRISM REPORT'!C5,"")</f>
        <v/>
      </c>
      <c r="D5" s="39" t="str">
        <f>IF('PRISM REPORT'!$B5&lt;&gt;"",'PRISM REPORT'!D5,"")</f>
        <v/>
      </c>
      <c r="E5" s="40" t="str">
        <f>IF('PRISM REPORT'!$B5&lt;&gt;"",'RAW DATA'!F5,"")</f>
        <v/>
      </c>
      <c r="F5" s="40" t="str">
        <f>IF('PRISM REPORT'!$B5&lt;&gt;"",IF('PRISM REPORT'!E5&lt;&gt;"",IF('PRISM REPORT'!E5&gt;0,'PRISM REPORT'!E5,0),0),"")</f>
        <v/>
      </c>
      <c r="G5" s="40" t="str">
        <f t="shared" ref="G5:G68" si="0">IF(AND(B5&lt;&gt;"",C5&lt;&gt;""),SUM(E5,F5),"")</f>
        <v/>
      </c>
      <c r="I5" s="40" t="str">
        <f t="shared" ref="I5:I68" si="1">IF(AND(B5&lt;&gt;"",C5&lt;&gt;""),G5-(H5*50),"")</f>
        <v/>
      </c>
    </row>
    <row r="6" spans="1:10" x14ac:dyDescent="0.25">
      <c r="B6" s="39" t="str">
        <f>IF('PRISM REPORT'!$B6&lt;&gt;"",'PRISM REPORT'!B6,"")</f>
        <v/>
      </c>
      <c r="C6" s="39" t="str">
        <f>IF('PRISM REPORT'!$B6&lt;&gt;"",'PRISM REPORT'!C6,"")</f>
        <v/>
      </c>
      <c r="D6" s="39" t="str">
        <f>IF('PRISM REPORT'!$B6&lt;&gt;"",'PRISM REPORT'!D6,"")</f>
        <v/>
      </c>
      <c r="E6" s="40" t="str">
        <f>IF('PRISM REPORT'!$B6&lt;&gt;"",'RAW DATA'!F6,"")</f>
        <v/>
      </c>
      <c r="F6" s="40" t="str">
        <f>IF('PRISM REPORT'!$B6&lt;&gt;"",IF('PRISM REPORT'!E6&lt;&gt;"",IF('PRISM REPORT'!E6&gt;0,'PRISM REPORT'!E6,0),0),"")</f>
        <v/>
      </c>
      <c r="G6" s="40" t="str">
        <f t="shared" si="0"/>
        <v/>
      </c>
      <c r="I6" s="40" t="str">
        <f t="shared" si="1"/>
        <v/>
      </c>
    </row>
    <row r="7" spans="1:10" x14ac:dyDescent="0.25">
      <c r="B7" s="39" t="str">
        <f>IF('PRISM REPORT'!$B7&lt;&gt;"",'PRISM REPORT'!B7,"")</f>
        <v/>
      </c>
      <c r="C7" s="39" t="str">
        <f>IF('PRISM REPORT'!$B7&lt;&gt;"",'PRISM REPORT'!C7,"")</f>
        <v/>
      </c>
      <c r="D7" s="39" t="str">
        <f>IF('PRISM REPORT'!$B7&lt;&gt;"",'PRISM REPORT'!D7,"")</f>
        <v/>
      </c>
      <c r="E7" s="40" t="str">
        <f>IF('PRISM REPORT'!$B7&lt;&gt;"",'RAW DATA'!F7,"")</f>
        <v/>
      </c>
      <c r="F7" s="40" t="str">
        <f>IF('PRISM REPORT'!$B7&lt;&gt;"",IF('PRISM REPORT'!E7&lt;&gt;"",IF('PRISM REPORT'!E7&gt;0,'PRISM REPORT'!E7,0),0),"")</f>
        <v/>
      </c>
      <c r="G7" s="40" t="str">
        <f t="shared" si="0"/>
        <v/>
      </c>
      <c r="I7" s="40" t="str">
        <f t="shared" si="1"/>
        <v/>
      </c>
    </row>
    <row r="8" spans="1:10" x14ac:dyDescent="0.25">
      <c r="B8" s="39" t="str">
        <f>IF('PRISM REPORT'!$B8&lt;&gt;"",'PRISM REPORT'!B8,"")</f>
        <v/>
      </c>
      <c r="C8" s="39" t="str">
        <f>IF('PRISM REPORT'!$B8&lt;&gt;"",'PRISM REPORT'!C8,"")</f>
        <v/>
      </c>
      <c r="D8" s="39" t="str">
        <f>IF('PRISM REPORT'!$B8&lt;&gt;"",'PRISM REPORT'!D8,"")</f>
        <v/>
      </c>
      <c r="E8" s="40" t="str">
        <f>IF('PRISM REPORT'!$B8&lt;&gt;"",'RAW DATA'!F8,"")</f>
        <v/>
      </c>
      <c r="F8" s="40" t="str">
        <f>IF('PRISM REPORT'!$B8&lt;&gt;"",IF('PRISM REPORT'!E8&lt;&gt;"",IF('PRISM REPORT'!E8&gt;0,'PRISM REPORT'!E8,0),0),"")</f>
        <v/>
      </c>
      <c r="G8" s="40" t="str">
        <f t="shared" si="0"/>
        <v/>
      </c>
      <c r="I8" s="40" t="str">
        <f t="shared" si="1"/>
        <v/>
      </c>
    </row>
    <row r="9" spans="1:10" x14ac:dyDescent="0.25">
      <c r="B9" s="39" t="str">
        <f>IF('PRISM REPORT'!$B9&lt;&gt;"",'PRISM REPORT'!B9,"")</f>
        <v/>
      </c>
      <c r="C9" s="39" t="str">
        <f>IF('PRISM REPORT'!$B9&lt;&gt;"",'PRISM REPORT'!C9,"")</f>
        <v/>
      </c>
      <c r="D9" s="39" t="str">
        <f>IF('PRISM REPORT'!$B9&lt;&gt;"",'PRISM REPORT'!D9,"")</f>
        <v/>
      </c>
      <c r="E9" s="40" t="str">
        <f>IF('PRISM REPORT'!$B9&lt;&gt;"",'RAW DATA'!F9,"")</f>
        <v/>
      </c>
      <c r="F9" s="40" t="str">
        <f>IF('PRISM REPORT'!$B9&lt;&gt;"",IF('PRISM REPORT'!E9&lt;&gt;"",IF('PRISM REPORT'!E9&gt;0,'PRISM REPORT'!E9,0),0),"")</f>
        <v/>
      </c>
      <c r="G9" s="40" t="str">
        <f t="shared" si="0"/>
        <v/>
      </c>
      <c r="I9" s="40" t="str">
        <f t="shared" si="1"/>
        <v/>
      </c>
    </row>
    <row r="10" spans="1:10" x14ac:dyDescent="0.25">
      <c r="B10" s="39" t="str">
        <f>IF('PRISM REPORT'!$B10&lt;&gt;"",'PRISM REPORT'!B10,"")</f>
        <v/>
      </c>
      <c r="C10" s="39" t="str">
        <f>IF('PRISM REPORT'!$B10&lt;&gt;"",'PRISM REPORT'!C10,"")</f>
        <v/>
      </c>
      <c r="D10" s="39" t="str">
        <f>IF('PRISM REPORT'!$B10&lt;&gt;"",'PRISM REPORT'!D10,"")</f>
        <v/>
      </c>
      <c r="E10" s="40" t="str">
        <f>IF('PRISM REPORT'!$B10&lt;&gt;"",'RAW DATA'!F10,"")</f>
        <v/>
      </c>
      <c r="F10" s="40" t="str">
        <f>IF('PRISM REPORT'!$B10&lt;&gt;"",IF('PRISM REPORT'!E10&lt;&gt;"",IF('PRISM REPORT'!E10&gt;0,'PRISM REPORT'!E10,0),0),"")</f>
        <v/>
      </c>
      <c r="G10" s="40" t="str">
        <f t="shared" si="0"/>
        <v/>
      </c>
      <c r="I10" s="40" t="str">
        <f t="shared" si="1"/>
        <v/>
      </c>
    </row>
    <row r="11" spans="1:10" x14ac:dyDescent="0.25">
      <c r="B11" s="39" t="str">
        <f>IF('PRISM REPORT'!$B11&lt;&gt;"",'PRISM REPORT'!B11,"")</f>
        <v/>
      </c>
      <c r="C11" s="39" t="str">
        <f>IF('PRISM REPORT'!$B11&lt;&gt;"",'PRISM REPORT'!C11,"")</f>
        <v/>
      </c>
      <c r="D11" s="39" t="str">
        <f>IF('PRISM REPORT'!$B11&lt;&gt;"",'PRISM REPORT'!D11,"")</f>
        <v/>
      </c>
      <c r="E11" s="40" t="str">
        <f>IF('PRISM REPORT'!$B11&lt;&gt;"",'RAW DATA'!F11,"")</f>
        <v/>
      </c>
      <c r="F11" s="40" t="str">
        <f>IF('PRISM REPORT'!$B11&lt;&gt;"",IF('PRISM REPORT'!E11&lt;&gt;"",IF('PRISM REPORT'!E11&gt;0,'PRISM REPORT'!E11,0),0),"")</f>
        <v/>
      </c>
      <c r="G11" s="40" t="str">
        <f t="shared" si="0"/>
        <v/>
      </c>
      <c r="I11" s="40" t="str">
        <f t="shared" si="1"/>
        <v/>
      </c>
    </row>
    <row r="12" spans="1:10" x14ac:dyDescent="0.25">
      <c r="B12" s="39" t="str">
        <f>IF('PRISM REPORT'!$B12&lt;&gt;"",'PRISM REPORT'!B12,"")</f>
        <v/>
      </c>
      <c r="C12" s="39" t="str">
        <f>IF('PRISM REPORT'!$B12&lt;&gt;"",'PRISM REPORT'!C12,"")</f>
        <v/>
      </c>
      <c r="D12" s="39" t="str">
        <f>IF('PRISM REPORT'!$B12&lt;&gt;"",'PRISM REPORT'!D12,"")</f>
        <v/>
      </c>
      <c r="E12" s="40" t="str">
        <f>IF('PRISM REPORT'!$B12&lt;&gt;"",'RAW DATA'!F12,"")</f>
        <v/>
      </c>
      <c r="F12" s="40" t="str">
        <f>IF('PRISM REPORT'!$B12&lt;&gt;"",IF('PRISM REPORT'!E12&lt;&gt;"",IF('PRISM REPORT'!E12&gt;0,'PRISM REPORT'!E12,0),0),"")</f>
        <v/>
      </c>
      <c r="G12" s="40" t="str">
        <f t="shared" si="0"/>
        <v/>
      </c>
      <c r="I12" s="40" t="str">
        <f t="shared" si="1"/>
        <v/>
      </c>
    </row>
    <row r="13" spans="1:10" x14ac:dyDescent="0.25">
      <c r="B13" s="39" t="str">
        <f>IF('PRISM REPORT'!$B13&lt;&gt;"",'PRISM REPORT'!B13,"")</f>
        <v/>
      </c>
      <c r="C13" s="39" t="str">
        <f>IF('PRISM REPORT'!$B13&lt;&gt;"",'PRISM REPORT'!C13,"")</f>
        <v/>
      </c>
      <c r="D13" s="39" t="str">
        <f>IF('PRISM REPORT'!$B13&lt;&gt;"",'PRISM REPORT'!D13,"")</f>
        <v/>
      </c>
      <c r="E13" s="40" t="str">
        <f>IF('PRISM REPORT'!$B13&lt;&gt;"",'RAW DATA'!F13,"")</f>
        <v/>
      </c>
      <c r="F13" s="40" t="str">
        <f>IF('PRISM REPORT'!$B13&lt;&gt;"",IF('PRISM REPORT'!E13&lt;&gt;"",IF('PRISM REPORT'!E13&gt;0,'PRISM REPORT'!E13,0),0),"")</f>
        <v/>
      </c>
      <c r="G13" s="40" t="str">
        <f t="shared" si="0"/>
        <v/>
      </c>
      <c r="I13" s="40" t="str">
        <f t="shared" si="1"/>
        <v/>
      </c>
    </row>
    <row r="14" spans="1:10" x14ac:dyDescent="0.25">
      <c r="B14" s="39" t="str">
        <f>IF('PRISM REPORT'!$B14&lt;&gt;"",'PRISM REPORT'!B14,"")</f>
        <v/>
      </c>
      <c r="C14" s="39" t="str">
        <f>IF('PRISM REPORT'!$B14&lt;&gt;"",'PRISM REPORT'!C14,"")</f>
        <v/>
      </c>
      <c r="D14" s="39" t="str">
        <f>IF('PRISM REPORT'!$B14&lt;&gt;"",'PRISM REPORT'!D14,"")</f>
        <v/>
      </c>
      <c r="E14" s="40" t="str">
        <f>IF('PRISM REPORT'!$B14&lt;&gt;"",'RAW DATA'!F14,"")</f>
        <v/>
      </c>
      <c r="F14" s="40" t="str">
        <f>IF('PRISM REPORT'!$B14&lt;&gt;"",IF('PRISM REPORT'!E14&lt;&gt;"",IF('PRISM REPORT'!E14&gt;0,'PRISM REPORT'!E14,0),0),"")</f>
        <v/>
      </c>
      <c r="G14" s="40" t="str">
        <f t="shared" si="0"/>
        <v/>
      </c>
      <c r="I14" s="40" t="str">
        <f t="shared" si="1"/>
        <v/>
      </c>
    </row>
    <row r="15" spans="1:10" x14ac:dyDescent="0.25">
      <c r="B15" s="39" t="str">
        <f>IF('PRISM REPORT'!$B15&lt;&gt;"",'PRISM REPORT'!B15,"")</f>
        <v/>
      </c>
      <c r="C15" s="39" t="str">
        <f>IF('PRISM REPORT'!$B15&lt;&gt;"",'PRISM REPORT'!C15,"")</f>
        <v/>
      </c>
      <c r="D15" s="39" t="str">
        <f>IF('PRISM REPORT'!$B15&lt;&gt;"",'PRISM REPORT'!D15,"")</f>
        <v/>
      </c>
      <c r="E15" s="40" t="str">
        <f>IF('PRISM REPORT'!$B15&lt;&gt;"",'RAW DATA'!F15,"")</f>
        <v/>
      </c>
      <c r="F15" s="40" t="str">
        <f>IF('PRISM REPORT'!$B15&lt;&gt;"",IF('PRISM REPORT'!E15&lt;&gt;"",IF('PRISM REPORT'!E15&gt;0,'PRISM REPORT'!E15,0),0),"")</f>
        <v/>
      </c>
      <c r="G15" s="40" t="str">
        <f t="shared" si="0"/>
        <v/>
      </c>
      <c r="I15" s="40" t="str">
        <f t="shared" si="1"/>
        <v/>
      </c>
    </row>
    <row r="16" spans="1:10" x14ac:dyDescent="0.25">
      <c r="B16" s="39" t="str">
        <f>IF('PRISM REPORT'!$B16&lt;&gt;"",'PRISM REPORT'!B16,"")</f>
        <v/>
      </c>
      <c r="C16" s="39" t="str">
        <f>IF('PRISM REPORT'!$B16&lt;&gt;"",'PRISM REPORT'!C16,"")</f>
        <v/>
      </c>
      <c r="D16" s="39" t="str">
        <f>IF('PRISM REPORT'!$B16&lt;&gt;"",'PRISM REPORT'!D16,"")</f>
        <v/>
      </c>
      <c r="E16" s="40" t="str">
        <f>IF('PRISM REPORT'!$B16&lt;&gt;"",'RAW DATA'!F16,"")</f>
        <v/>
      </c>
      <c r="F16" s="40" t="str">
        <f>IF('PRISM REPORT'!$B16&lt;&gt;"",IF('PRISM REPORT'!E16&lt;&gt;"",IF('PRISM REPORT'!E16&gt;0,'PRISM REPORT'!E16,0),0),"")</f>
        <v/>
      </c>
      <c r="G16" s="40" t="str">
        <f t="shared" si="0"/>
        <v/>
      </c>
      <c r="I16" s="40" t="str">
        <f t="shared" si="1"/>
        <v/>
      </c>
    </row>
    <row r="17" spans="2:9" x14ac:dyDescent="0.25">
      <c r="B17" s="39" t="str">
        <f>IF('PRISM REPORT'!$B17&lt;&gt;"",'PRISM REPORT'!B17,"")</f>
        <v/>
      </c>
      <c r="C17" s="39" t="str">
        <f>IF('PRISM REPORT'!$B17&lt;&gt;"",'PRISM REPORT'!C17,"")</f>
        <v/>
      </c>
      <c r="D17" s="39" t="str">
        <f>IF('PRISM REPORT'!$B17&lt;&gt;"",'PRISM REPORT'!D17,"")</f>
        <v/>
      </c>
      <c r="E17" s="40" t="str">
        <f>IF('PRISM REPORT'!$B17&lt;&gt;"",'RAW DATA'!F17,"")</f>
        <v/>
      </c>
      <c r="F17" s="40" t="str">
        <f>IF('PRISM REPORT'!$B17&lt;&gt;"",IF('PRISM REPORT'!E17&lt;&gt;"",IF('PRISM REPORT'!E17&gt;0,'PRISM REPORT'!E17,0),0),"")</f>
        <v/>
      </c>
      <c r="G17" s="40" t="str">
        <f t="shared" si="0"/>
        <v/>
      </c>
      <c r="I17" s="40" t="str">
        <f t="shared" si="1"/>
        <v/>
      </c>
    </row>
    <row r="18" spans="2:9" x14ac:dyDescent="0.25">
      <c r="B18" s="39" t="str">
        <f>IF('PRISM REPORT'!$B18&lt;&gt;"",'PRISM REPORT'!B18,"")</f>
        <v/>
      </c>
      <c r="C18" s="39" t="str">
        <f>IF('PRISM REPORT'!$B18&lt;&gt;"",'PRISM REPORT'!C18,"")</f>
        <v/>
      </c>
      <c r="D18" s="39" t="str">
        <f>IF('PRISM REPORT'!$B18&lt;&gt;"",'PRISM REPORT'!D18,"")</f>
        <v/>
      </c>
      <c r="E18" s="40" t="str">
        <f>IF('PRISM REPORT'!$B18&lt;&gt;"",'RAW DATA'!F18,"")</f>
        <v/>
      </c>
      <c r="F18" s="40" t="str">
        <f>IF('PRISM REPORT'!$B18&lt;&gt;"",IF('PRISM REPORT'!E18&lt;&gt;"",IF('PRISM REPORT'!E18&gt;0,'PRISM REPORT'!E18,0),0),"")</f>
        <v/>
      </c>
      <c r="G18" s="40" t="str">
        <f t="shared" si="0"/>
        <v/>
      </c>
      <c r="I18" s="40" t="str">
        <f t="shared" si="1"/>
        <v/>
      </c>
    </row>
    <row r="19" spans="2:9" x14ac:dyDescent="0.25">
      <c r="B19" s="39" t="str">
        <f>IF('PRISM REPORT'!$B19&lt;&gt;"",'PRISM REPORT'!B19,"")</f>
        <v/>
      </c>
      <c r="C19" s="39" t="str">
        <f>IF('PRISM REPORT'!$B19&lt;&gt;"",'PRISM REPORT'!C19,"")</f>
        <v/>
      </c>
      <c r="D19" s="39" t="str">
        <f>IF('PRISM REPORT'!$B19&lt;&gt;"",'PRISM REPORT'!D19,"")</f>
        <v/>
      </c>
      <c r="E19" s="40" t="str">
        <f>IF('PRISM REPORT'!$B19&lt;&gt;"",'RAW DATA'!F19,"")</f>
        <v/>
      </c>
      <c r="F19" s="40" t="str">
        <f>IF('PRISM REPORT'!$B19&lt;&gt;"",IF('PRISM REPORT'!E19&lt;&gt;"",IF('PRISM REPORT'!E19&gt;0,'PRISM REPORT'!E19,0),0),"")</f>
        <v/>
      </c>
      <c r="G19" s="40" t="str">
        <f t="shared" si="0"/>
        <v/>
      </c>
      <c r="I19" s="40" t="str">
        <f t="shared" si="1"/>
        <v/>
      </c>
    </row>
    <row r="20" spans="2:9" x14ac:dyDescent="0.25">
      <c r="B20" s="39" t="str">
        <f>IF('PRISM REPORT'!$B20&lt;&gt;"",'PRISM REPORT'!B20,"")</f>
        <v/>
      </c>
      <c r="C20" s="39" t="str">
        <f>IF('PRISM REPORT'!$B20&lt;&gt;"",'PRISM REPORT'!C20,"")</f>
        <v/>
      </c>
      <c r="D20" s="39" t="str">
        <f>IF('PRISM REPORT'!$B20&lt;&gt;"",'PRISM REPORT'!D20,"")</f>
        <v/>
      </c>
      <c r="E20" s="40" t="str">
        <f>IF('PRISM REPORT'!$B20&lt;&gt;"",'RAW DATA'!F20,"")</f>
        <v/>
      </c>
      <c r="F20" s="40" t="str">
        <f>IF('PRISM REPORT'!$B20&lt;&gt;"",IF('PRISM REPORT'!E20&lt;&gt;"",IF('PRISM REPORT'!E20&gt;0,'PRISM REPORT'!E20,0),0),"")</f>
        <v/>
      </c>
      <c r="G20" s="40" t="str">
        <f t="shared" si="0"/>
        <v/>
      </c>
      <c r="I20" s="40" t="str">
        <f t="shared" si="1"/>
        <v/>
      </c>
    </row>
    <row r="21" spans="2:9" x14ac:dyDescent="0.25">
      <c r="B21" s="39" t="str">
        <f>IF('PRISM REPORT'!$B21&lt;&gt;"",'PRISM REPORT'!B21,"")</f>
        <v/>
      </c>
      <c r="C21" s="39" t="str">
        <f>IF('PRISM REPORT'!$B21&lt;&gt;"",'PRISM REPORT'!C21,"")</f>
        <v/>
      </c>
      <c r="D21" s="39" t="str">
        <f>IF('PRISM REPORT'!$B21&lt;&gt;"",'PRISM REPORT'!D21,"")</f>
        <v/>
      </c>
      <c r="E21" s="40" t="str">
        <f>IF('PRISM REPORT'!$B21&lt;&gt;"",'RAW DATA'!F21,"")</f>
        <v/>
      </c>
      <c r="F21" s="40" t="str">
        <f>IF('PRISM REPORT'!$B21&lt;&gt;"",IF('PRISM REPORT'!E21&lt;&gt;"",IF('PRISM REPORT'!E21&gt;0,'PRISM REPORT'!E21,0),0),"")</f>
        <v/>
      </c>
      <c r="G21" s="40" t="str">
        <f t="shared" si="0"/>
        <v/>
      </c>
      <c r="I21" s="40" t="str">
        <f t="shared" si="1"/>
        <v/>
      </c>
    </row>
    <row r="22" spans="2:9" x14ac:dyDescent="0.25">
      <c r="B22" s="39" t="str">
        <f>IF('PRISM REPORT'!$B22&lt;&gt;"",'PRISM REPORT'!B22,"")</f>
        <v/>
      </c>
      <c r="C22" s="39" t="str">
        <f>IF('PRISM REPORT'!$B22&lt;&gt;"",'PRISM REPORT'!C22,"")</f>
        <v/>
      </c>
      <c r="D22" s="39" t="str">
        <f>IF('PRISM REPORT'!$B22&lt;&gt;"",'PRISM REPORT'!D22,"")</f>
        <v/>
      </c>
      <c r="E22" s="40" t="str">
        <f>IF('PRISM REPORT'!$B22&lt;&gt;"",'RAW DATA'!F22,"")</f>
        <v/>
      </c>
      <c r="F22" s="40" t="str">
        <f>IF('PRISM REPORT'!$B22&lt;&gt;"",IF('PRISM REPORT'!E22&lt;&gt;"",IF('PRISM REPORT'!E22&gt;0,'PRISM REPORT'!E22,0),0),"")</f>
        <v/>
      </c>
      <c r="G22" s="40" t="str">
        <f t="shared" si="0"/>
        <v/>
      </c>
      <c r="I22" s="40" t="str">
        <f t="shared" si="1"/>
        <v/>
      </c>
    </row>
    <row r="23" spans="2:9" x14ac:dyDescent="0.25">
      <c r="B23" s="39" t="str">
        <f>IF('PRISM REPORT'!$B23&lt;&gt;"",'PRISM REPORT'!B23,"")</f>
        <v/>
      </c>
      <c r="C23" s="39" t="str">
        <f>IF('PRISM REPORT'!$B23&lt;&gt;"",'PRISM REPORT'!C23,"")</f>
        <v/>
      </c>
      <c r="D23" s="39" t="str">
        <f>IF('PRISM REPORT'!$B23&lt;&gt;"",'PRISM REPORT'!D23,"")</f>
        <v/>
      </c>
      <c r="E23" s="40" t="str">
        <f>IF('PRISM REPORT'!$B23&lt;&gt;"",'RAW DATA'!F23,"")</f>
        <v/>
      </c>
      <c r="F23" s="40" t="str">
        <f>IF('PRISM REPORT'!$B23&lt;&gt;"",IF('PRISM REPORT'!E23&lt;&gt;"",IF('PRISM REPORT'!E23&gt;0,'PRISM REPORT'!E23,0),0),"")</f>
        <v/>
      </c>
      <c r="G23" s="40" t="str">
        <f t="shared" si="0"/>
        <v/>
      </c>
      <c r="I23" s="40" t="str">
        <f t="shared" si="1"/>
        <v/>
      </c>
    </row>
    <row r="24" spans="2:9" x14ac:dyDescent="0.25">
      <c r="B24" s="39" t="str">
        <f>IF('PRISM REPORT'!$B24&lt;&gt;"",'PRISM REPORT'!B24,"")</f>
        <v/>
      </c>
      <c r="C24" s="39" t="str">
        <f>IF('PRISM REPORT'!$B24&lt;&gt;"",'PRISM REPORT'!C24,"")</f>
        <v/>
      </c>
      <c r="D24" s="39" t="str">
        <f>IF('PRISM REPORT'!$B24&lt;&gt;"",'PRISM REPORT'!D24,"")</f>
        <v/>
      </c>
      <c r="E24" s="40" t="str">
        <f>IF('PRISM REPORT'!$B24&lt;&gt;"",'RAW DATA'!F24,"")</f>
        <v/>
      </c>
      <c r="F24" s="40" t="str">
        <f>IF('PRISM REPORT'!$B24&lt;&gt;"",IF('PRISM REPORT'!E24&lt;&gt;"",IF('PRISM REPORT'!E24&gt;0,'PRISM REPORT'!E24,0),0),"")</f>
        <v/>
      </c>
      <c r="G24" s="40" t="str">
        <f t="shared" si="0"/>
        <v/>
      </c>
      <c r="I24" s="40" t="str">
        <f t="shared" si="1"/>
        <v/>
      </c>
    </row>
    <row r="25" spans="2:9" x14ac:dyDescent="0.25">
      <c r="B25" s="39" t="str">
        <f>IF('PRISM REPORT'!$B25&lt;&gt;"",'PRISM REPORT'!B25,"")</f>
        <v/>
      </c>
      <c r="C25" s="39" t="str">
        <f>IF('PRISM REPORT'!$B25&lt;&gt;"",'PRISM REPORT'!C25,"")</f>
        <v/>
      </c>
      <c r="D25" s="39" t="str">
        <f>IF('PRISM REPORT'!$B25&lt;&gt;"",'PRISM REPORT'!D25,"")</f>
        <v/>
      </c>
      <c r="E25" s="40" t="str">
        <f>IF('PRISM REPORT'!$B25&lt;&gt;"",'RAW DATA'!F25,"")</f>
        <v/>
      </c>
      <c r="F25" s="40" t="str">
        <f>IF('PRISM REPORT'!$B25&lt;&gt;"",IF('PRISM REPORT'!E25&lt;&gt;"",IF('PRISM REPORT'!E25&gt;0,'PRISM REPORT'!E25,0),0),"")</f>
        <v/>
      </c>
      <c r="G25" s="40" t="str">
        <f t="shared" si="0"/>
        <v/>
      </c>
      <c r="I25" s="40" t="str">
        <f t="shared" si="1"/>
        <v/>
      </c>
    </row>
    <row r="26" spans="2:9" x14ac:dyDescent="0.25">
      <c r="B26" s="39" t="str">
        <f>IF('PRISM REPORT'!$B26&lt;&gt;"",'PRISM REPORT'!B26,"")</f>
        <v/>
      </c>
      <c r="C26" s="39" t="str">
        <f>IF('PRISM REPORT'!$B26&lt;&gt;"",'PRISM REPORT'!C26,"")</f>
        <v/>
      </c>
      <c r="D26" s="39" t="str">
        <f>IF('PRISM REPORT'!$B26&lt;&gt;"",'PRISM REPORT'!D26,"")</f>
        <v/>
      </c>
      <c r="E26" s="40" t="str">
        <f>IF('PRISM REPORT'!$B26&lt;&gt;"",'RAW DATA'!F26,"")</f>
        <v/>
      </c>
      <c r="F26" s="40" t="str">
        <f>IF('PRISM REPORT'!$B26&lt;&gt;"",IF('PRISM REPORT'!E26&lt;&gt;"",IF('PRISM REPORT'!E26&gt;0,'PRISM REPORT'!E26,0),0),"")</f>
        <v/>
      </c>
      <c r="G26" s="40" t="str">
        <f t="shared" si="0"/>
        <v/>
      </c>
      <c r="I26" s="40" t="str">
        <f t="shared" si="1"/>
        <v/>
      </c>
    </row>
    <row r="27" spans="2:9" x14ac:dyDescent="0.25">
      <c r="B27" s="39" t="str">
        <f>IF('PRISM REPORT'!$B27&lt;&gt;"",'PRISM REPORT'!B27,"")</f>
        <v/>
      </c>
      <c r="C27" s="39" t="str">
        <f>IF('PRISM REPORT'!$B27&lt;&gt;"",'PRISM REPORT'!C27,"")</f>
        <v/>
      </c>
      <c r="D27" s="39" t="str">
        <f>IF('PRISM REPORT'!$B27&lt;&gt;"",'PRISM REPORT'!D27,"")</f>
        <v/>
      </c>
      <c r="E27" s="40" t="str">
        <f>IF('PRISM REPORT'!$B27&lt;&gt;"",'RAW DATA'!F27,"")</f>
        <v/>
      </c>
      <c r="F27" s="40" t="str">
        <f>IF('PRISM REPORT'!$B27&lt;&gt;"",IF('PRISM REPORT'!E27&lt;&gt;"",IF('PRISM REPORT'!E27&gt;0,'PRISM REPORT'!E27,0),0),"")</f>
        <v/>
      </c>
      <c r="G27" s="40" t="str">
        <f t="shared" si="0"/>
        <v/>
      </c>
      <c r="I27" s="40" t="str">
        <f t="shared" si="1"/>
        <v/>
      </c>
    </row>
    <row r="28" spans="2:9" x14ac:dyDescent="0.25">
      <c r="B28" s="39" t="str">
        <f>IF('PRISM REPORT'!$B28&lt;&gt;"",'PRISM REPORT'!B28,"")</f>
        <v/>
      </c>
      <c r="C28" s="39" t="str">
        <f>IF('PRISM REPORT'!$B28&lt;&gt;"",'PRISM REPORT'!C28,"")</f>
        <v/>
      </c>
      <c r="D28" s="39" t="str">
        <f>IF('PRISM REPORT'!$B28&lt;&gt;"",'PRISM REPORT'!D28,"")</f>
        <v/>
      </c>
      <c r="E28" s="40" t="str">
        <f>IF('PRISM REPORT'!$B28&lt;&gt;"",'RAW DATA'!F28,"")</f>
        <v/>
      </c>
      <c r="F28" s="40" t="str">
        <f>IF('PRISM REPORT'!$B28&lt;&gt;"",IF('PRISM REPORT'!E28&lt;&gt;"",IF('PRISM REPORT'!E28&gt;0,'PRISM REPORT'!E28,0),0),"")</f>
        <v/>
      </c>
      <c r="G28" s="40" t="str">
        <f t="shared" si="0"/>
        <v/>
      </c>
      <c r="I28" s="40" t="str">
        <f t="shared" si="1"/>
        <v/>
      </c>
    </row>
    <row r="29" spans="2:9" x14ac:dyDescent="0.25">
      <c r="B29" s="39" t="str">
        <f>IF('PRISM REPORT'!$B29&lt;&gt;"",'PRISM REPORT'!B29,"")</f>
        <v/>
      </c>
      <c r="C29" s="39" t="str">
        <f>IF('PRISM REPORT'!$B29&lt;&gt;"",'PRISM REPORT'!C29,"")</f>
        <v/>
      </c>
      <c r="D29" s="39" t="str">
        <f>IF('PRISM REPORT'!$B29&lt;&gt;"",'PRISM REPORT'!D29,"")</f>
        <v/>
      </c>
      <c r="E29" s="40" t="str">
        <f>IF('PRISM REPORT'!$B29&lt;&gt;"",'RAW DATA'!F29,"")</f>
        <v/>
      </c>
      <c r="F29" s="40" t="str">
        <f>IF('PRISM REPORT'!$B29&lt;&gt;"",IF('PRISM REPORT'!E29&lt;&gt;"",IF('PRISM REPORT'!E29&gt;0,'PRISM REPORT'!E29,0),0),"")</f>
        <v/>
      </c>
      <c r="G29" s="40" t="str">
        <f t="shared" si="0"/>
        <v/>
      </c>
      <c r="I29" s="40" t="str">
        <f t="shared" si="1"/>
        <v/>
      </c>
    </row>
    <row r="30" spans="2:9" x14ac:dyDescent="0.25">
      <c r="B30" s="39" t="str">
        <f>IF('PRISM REPORT'!$B30&lt;&gt;"",'PRISM REPORT'!B30,"")</f>
        <v/>
      </c>
      <c r="C30" s="39" t="str">
        <f>IF('PRISM REPORT'!$B30&lt;&gt;"",'PRISM REPORT'!C30,"")</f>
        <v/>
      </c>
      <c r="D30" s="39" t="str">
        <f>IF('PRISM REPORT'!$B30&lt;&gt;"",'PRISM REPORT'!D30,"")</f>
        <v/>
      </c>
      <c r="E30" s="40" t="str">
        <f>IF('PRISM REPORT'!$B30&lt;&gt;"",'RAW DATA'!F30,"")</f>
        <v/>
      </c>
      <c r="F30" s="40" t="str">
        <f>IF('PRISM REPORT'!$B30&lt;&gt;"",IF('PRISM REPORT'!E30&lt;&gt;"",IF('PRISM REPORT'!E30&gt;0,'PRISM REPORT'!E30,0),0),"")</f>
        <v/>
      </c>
      <c r="G30" s="40" t="str">
        <f t="shared" si="0"/>
        <v/>
      </c>
      <c r="I30" s="40" t="str">
        <f t="shared" si="1"/>
        <v/>
      </c>
    </row>
    <row r="31" spans="2:9" x14ac:dyDescent="0.25">
      <c r="B31" s="39" t="str">
        <f>IF('PRISM REPORT'!$B31&lt;&gt;"",'PRISM REPORT'!B31,"")</f>
        <v/>
      </c>
      <c r="C31" s="39" t="str">
        <f>IF('PRISM REPORT'!$B31&lt;&gt;"",'PRISM REPORT'!C31,"")</f>
        <v/>
      </c>
      <c r="D31" s="39" t="str">
        <f>IF('PRISM REPORT'!$B31&lt;&gt;"",'PRISM REPORT'!D31,"")</f>
        <v/>
      </c>
      <c r="E31" s="40" t="str">
        <f>IF('PRISM REPORT'!$B31&lt;&gt;"",'RAW DATA'!F31,"")</f>
        <v/>
      </c>
      <c r="F31" s="40" t="str">
        <f>IF('PRISM REPORT'!$B31&lt;&gt;"",IF('PRISM REPORT'!E31&lt;&gt;"",IF('PRISM REPORT'!E31&gt;0,'PRISM REPORT'!E31,0),0),"")</f>
        <v/>
      </c>
      <c r="G31" s="40" t="str">
        <f t="shared" si="0"/>
        <v/>
      </c>
      <c r="I31" s="40" t="str">
        <f t="shared" si="1"/>
        <v/>
      </c>
    </row>
    <row r="32" spans="2:9" x14ac:dyDescent="0.25">
      <c r="B32" s="39" t="str">
        <f>IF('PRISM REPORT'!$B32&lt;&gt;"",'PRISM REPORT'!B32,"")</f>
        <v/>
      </c>
      <c r="C32" s="39" t="str">
        <f>IF('PRISM REPORT'!$B32&lt;&gt;"",'PRISM REPORT'!C32,"")</f>
        <v/>
      </c>
      <c r="D32" s="39" t="str">
        <f>IF('PRISM REPORT'!$B32&lt;&gt;"",'PRISM REPORT'!D32,"")</f>
        <v/>
      </c>
      <c r="E32" s="40" t="str">
        <f>IF('PRISM REPORT'!$B32&lt;&gt;"",'RAW DATA'!F32,"")</f>
        <v/>
      </c>
      <c r="F32" s="40" t="str">
        <f>IF('PRISM REPORT'!$B32&lt;&gt;"",IF('PRISM REPORT'!E32&lt;&gt;"",IF('PRISM REPORT'!E32&gt;0,'PRISM REPORT'!E32,0),0),"")</f>
        <v/>
      </c>
      <c r="G32" s="40" t="str">
        <f t="shared" si="0"/>
        <v/>
      </c>
      <c r="I32" s="40" t="str">
        <f t="shared" si="1"/>
        <v/>
      </c>
    </row>
    <row r="33" spans="2:9" x14ac:dyDescent="0.25">
      <c r="B33" s="39" t="str">
        <f>IF('PRISM REPORT'!$B33&lt;&gt;"",'PRISM REPORT'!B33,"")</f>
        <v/>
      </c>
      <c r="C33" s="39" t="str">
        <f>IF('PRISM REPORT'!$B33&lt;&gt;"",'PRISM REPORT'!C33,"")</f>
        <v/>
      </c>
      <c r="D33" s="39" t="str">
        <f>IF('PRISM REPORT'!$B33&lt;&gt;"",'PRISM REPORT'!D33,"")</f>
        <v/>
      </c>
      <c r="E33" s="40" t="str">
        <f>IF('PRISM REPORT'!$B33&lt;&gt;"",'RAW DATA'!F33,"")</f>
        <v/>
      </c>
      <c r="F33" s="40" t="str">
        <f>IF('PRISM REPORT'!$B33&lt;&gt;"",IF('PRISM REPORT'!E33&lt;&gt;"",IF('PRISM REPORT'!E33&gt;0,'PRISM REPORT'!E33,0),0),"")</f>
        <v/>
      </c>
      <c r="G33" s="40" t="str">
        <f t="shared" si="0"/>
        <v/>
      </c>
      <c r="I33" s="40" t="str">
        <f t="shared" si="1"/>
        <v/>
      </c>
    </row>
    <row r="34" spans="2:9" x14ac:dyDescent="0.25">
      <c r="B34" s="39" t="str">
        <f>IF('PRISM REPORT'!$B34&lt;&gt;"",'PRISM REPORT'!B34,"")</f>
        <v/>
      </c>
      <c r="C34" s="39" t="str">
        <f>IF('PRISM REPORT'!$B34&lt;&gt;"",'PRISM REPORT'!C34,"")</f>
        <v/>
      </c>
      <c r="D34" s="39" t="str">
        <f>IF('PRISM REPORT'!$B34&lt;&gt;"",'PRISM REPORT'!D34,"")</f>
        <v/>
      </c>
      <c r="E34" s="40" t="str">
        <f>IF('PRISM REPORT'!$B34&lt;&gt;"",'RAW DATA'!F34,"")</f>
        <v/>
      </c>
      <c r="F34" s="40" t="str">
        <f>IF('PRISM REPORT'!$B34&lt;&gt;"",IF('PRISM REPORT'!E34&lt;&gt;"",IF('PRISM REPORT'!E34&gt;0,'PRISM REPORT'!E34,0),0),"")</f>
        <v/>
      </c>
      <c r="G34" s="40" t="str">
        <f t="shared" si="0"/>
        <v/>
      </c>
      <c r="I34" s="40" t="str">
        <f t="shared" si="1"/>
        <v/>
      </c>
    </row>
    <row r="35" spans="2:9" x14ac:dyDescent="0.25">
      <c r="B35" s="39" t="str">
        <f>IF('PRISM REPORT'!$B35&lt;&gt;"",'PRISM REPORT'!B35,"")</f>
        <v/>
      </c>
      <c r="C35" s="39" t="str">
        <f>IF('PRISM REPORT'!$B35&lt;&gt;"",'PRISM REPORT'!C35,"")</f>
        <v/>
      </c>
      <c r="D35" s="39" t="str">
        <f>IF('PRISM REPORT'!$B35&lt;&gt;"",'PRISM REPORT'!D35,"")</f>
        <v/>
      </c>
      <c r="E35" s="40" t="str">
        <f>IF('PRISM REPORT'!$B35&lt;&gt;"",'RAW DATA'!F35,"")</f>
        <v/>
      </c>
      <c r="F35" s="40" t="str">
        <f>IF('PRISM REPORT'!$B35&lt;&gt;"",IF('PRISM REPORT'!E35&lt;&gt;"",IF('PRISM REPORT'!E35&gt;0,'PRISM REPORT'!E35,0),0),"")</f>
        <v/>
      </c>
      <c r="G35" s="40" t="str">
        <f t="shared" si="0"/>
        <v/>
      </c>
      <c r="I35" s="40" t="str">
        <f t="shared" si="1"/>
        <v/>
      </c>
    </row>
    <row r="36" spans="2:9" x14ac:dyDescent="0.25">
      <c r="B36" s="39" t="str">
        <f>IF('PRISM REPORT'!$B36&lt;&gt;"",'PRISM REPORT'!B36,"")</f>
        <v/>
      </c>
      <c r="C36" s="39" t="str">
        <f>IF('PRISM REPORT'!$B36&lt;&gt;"",'PRISM REPORT'!C36,"")</f>
        <v/>
      </c>
      <c r="D36" s="39" t="str">
        <f>IF('PRISM REPORT'!$B36&lt;&gt;"",'PRISM REPORT'!D36,"")</f>
        <v/>
      </c>
      <c r="E36" s="40" t="str">
        <f>IF('PRISM REPORT'!$B36&lt;&gt;"",'RAW DATA'!F36,"")</f>
        <v/>
      </c>
      <c r="F36" s="40" t="str">
        <f>IF('PRISM REPORT'!$B36&lt;&gt;"",IF('PRISM REPORT'!E36&lt;&gt;"",IF('PRISM REPORT'!E36&gt;0,'PRISM REPORT'!E36,0),0),"")</f>
        <v/>
      </c>
      <c r="G36" s="40" t="str">
        <f t="shared" si="0"/>
        <v/>
      </c>
      <c r="I36" s="40" t="str">
        <f t="shared" si="1"/>
        <v/>
      </c>
    </row>
    <row r="37" spans="2:9" x14ac:dyDescent="0.25">
      <c r="B37" s="39" t="str">
        <f>IF('PRISM REPORT'!$B37&lt;&gt;"",'PRISM REPORT'!B37,"")</f>
        <v/>
      </c>
      <c r="C37" s="39" t="str">
        <f>IF('PRISM REPORT'!$B37&lt;&gt;"",'PRISM REPORT'!C37,"")</f>
        <v/>
      </c>
      <c r="D37" s="39" t="str">
        <f>IF('PRISM REPORT'!$B37&lt;&gt;"",'PRISM REPORT'!D37,"")</f>
        <v/>
      </c>
      <c r="E37" s="40" t="str">
        <f>IF('PRISM REPORT'!$B37&lt;&gt;"",'RAW DATA'!F37,"")</f>
        <v/>
      </c>
      <c r="F37" s="40" t="str">
        <f>IF('PRISM REPORT'!$B37&lt;&gt;"",IF('PRISM REPORT'!E37&lt;&gt;"",IF('PRISM REPORT'!E37&gt;0,'PRISM REPORT'!E37,0),0),"")</f>
        <v/>
      </c>
      <c r="G37" s="40" t="str">
        <f t="shared" si="0"/>
        <v/>
      </c>
      <c r="I37" s="40" t="str">
        <f t="shared" si="1"/>
        <v/>
      </c>
    </row>
    <row r="38" spans="2:9" x14ac:dyDescent="0.25">
      <c r="B38" s="39" t="str">
        <f>IF('PRISM REPORT'!$B38&lt;&gt;"",'PRISM REPORT'!B38,"")</f>
        <v/>
      </c>
      <c r="C38" s="39" t="str">
        <f>IF('PRISM REPORT'!$B38&lt;&gt;"",'PRISM REPORT'!C38,"")</f>
        <v/>
      </c>
      <c r="D38" s="39" t="str">
        <f>IF('PRISM REPORT'!$B38&lt;&gt;"",'PRISM REPORT'!D38,"")</f>
        <v/>
      </c>
      <c r="E38" s="40" t="str">
        <f>IF('PRISM REPORT'!$B38&lt;&gt;"",'RAW DATA'!F38,"")</f>
        <v/>
      </c>
      <c r="F38" s="40" t="str">
        <f>IF('PRISM REPORT'!$B38&lt;&gt;"",IF('PRISM REPORT'!E38&lt;&gt;"",IF('PRISM REPORT'!E38&gt;0,'PRISM REPORT'!E38,0),0),"")</f>
        <v/>
      </c>
      <c r="G38" s="40" t="str">
        <f t="shared" si="0"/>
        <v/>
      </c>
      <c r="I38" s="40" t="str">
        <f t="shared" si="1"/>
        <v/>
      </c>
    </row>
    <row r="39" spans="2:9" x14ac:dyDescent="0.25">
      <c r="B39" s="39" t="str">
        <f>IF('PRISM REPORT'!$B39&lt;&gt;"",'PRISM REPORT'!B39,"")</f>
        <v/>
      </c>
      <c r="C39" s="39" t="str">
        <f>IF('PRISM REPORT'!$B39&lt;&gt;"",'PRISM REPORT'!C39,"")</f>
        <v/>
      </c>
      <c r="D39" s="39" t="str">
        <f>IF('PRISM REPORT'!$B39&lt;&gt;"",'PRISM REPORT'!D39,"")</f>
        <v/>
      </c>
      <c r="E39" s="40" t="str">
        <f>IF('PRISM REPORT'!$B39&lt;&gt;"",'RAW DATA'!F39,"")</f>
        <v/>
      </c>
      <c r="F39" s="40" t="str">
        <f>IF('PRISM REPORT'!$B39&lt;&gt;"",IF('PRISM REPORT'!E39&lt;&gt;"",IF('PRISM REPORT'!E39&gt;0,'PRISM REPORT'!E39,0),0),"")</f>
        <v/>
      </c>
      <c r="G39" s="40" t="str">
        <f t="shared" si="0"/>
        <v/>
      </c>
      <c r="I39" s="40" t="str">
        <f t="shared" si="1"/>
        <v/>
      </c>
    </row>
    <row r="40" spans="2:9" x14ac:dyDescent="0.25">
      <c r="B40" s="39" t="str">
        <f>IF('PRISM REPORT'!$B40&lt;&gt;"",'PRISM REPORT'!B40,"")</f>
        <v/>
      </c>
      <c r="C40" s="39" t="str">
        <f>IF('PRISM REPORT'!$B40&lt;&gt;"",'PRISM REPORT'!C40,"")</f>
        <v/>
      </c>
      <c r="D40" s="39" t="str">
        <f>IF('PRISM REPORT'!$B40&lt;&gt;"",'PRISM REPORT'!D40,"")</f>
        <v/>
      </c>
      <c r="E40" s="40" t="str">
        <f>IF('PRISM REPORT'!$B40&lt;&gt;"",'RAW DATA'!F40,"")</f>
        <v/>
      </c>
      <c r="F40" s="40" t="str">
        <f>IF('PRISM REPORT'!$B40&lt;&gt;"",IF('PRISM REPORT'!E40&lt;&gt;"",IF('PRISM REPORT'!E40&gt;0,'PRISM REPORT'!E40,0),0),"")</f>
        <v/>
      </c>
      <c r="G40" s="40" t="str">
        <f t="shared" si="0"/>
        <v/>
      </c>
      <c r="I40" s="40" t="str">
        <f t="shared" si="1"/>
        <v/>
      </c>
    </row>
    <row r="41" spans="2:9" x14ac:dyDescent="0.25">
      <c r="B41" s="39" t="str">
        <f>IF('PRISM REPORT'!$B41&lt;&gt;"",'PRISM REPORT'!B41,"")</f>
        <v/>
      </c>
      <c r="C41" s="39" t="str">
        <f>IF('PRISM REPORT'!$B41&lt;&gt;"",'PRISM REPORT'!C41,"")</f>
        <v/>
      </c>
      <c r="D41" s="39" t="str">
        <f>IF('PRISM REPORT'!$B41&lt;&gt;"",'PRISM REPORT'!D41,"")</f>
        <v/>
      </c>
      <c r="E41" s="40" t="str">
        <f>IF('PRISM REPORT'!$B41&lt;&gt;"",'RAW DATA'!F41,"")</f>
        <v/>
      </c>
      <c r="F41" s="40" t="str">
        <f>IF('PRISM REPORT'!$B41&lt;&gt;"",IF('PRISM REPORT'!E41&lt;&gt;"",IF('PRISM REPORT'!E41&gt;0,'PRISM REPORT'!E41,0),0),"")</f>
        <v/>
      </c>
      <c r="G41" s="40" t="str">
        <f t="shared" si="0"/>
        <v/>
      </c>
      <c r="I41" s="40" t="str">
        <f t="shared" si="1"/>
        <v/>
      </c>
    </row>
    <row r="42" spans="2:9" x14ac:dyDescent="0.25">
      <c r="B42" s="39" t="str">
        <f>IF('PRISM REPORT'!$B42&lt;&gt;"",'PRISM REPORT'!B42,"")</f>
        <v/>
      </c>
      <c r="C42" s="39" t="str">
        <f>IF('PRISM REPORT'!$B42&lt;&gt;"",'PRISM REPORT'!C42,"")</f>
        <v/>
      </c>
      <c r="D42" s="39" t="str">
        <f>IF('PRISM REPORT'!$B42&lt;&gt;"",'PRISM REPORT'!D42,"")</f>
        <v/>
      </c>
      <c r="E42" s="40" t="str">
        <f>IF('PRISM REPORT'!$B42&lt;&gt;"",'RAW DATA'!F42,"")</f>
        <v/>
      </c>
      <c r="F42" s="40" t="str">
        <f>IF('PRISM REPORT'!$B42&lt;&gt;"",IF('PRISM REPORT'!E42&lt;&gt;"",IF('PRISM REPORT'!E42&gt;0,'PRISM REPORT'!E42,0),0),"")</f>
        <v/>
      </c>
      <c r="G42" s="40" t="str">
        <f t="shared" si="0"/>
        <v/>
      </c>
      <c r="I42" s="40" t="str">
        <f t="shared" si="1"/>
        <v/>
      </c>
    </row>
    <row r="43" spans="2:9" x14ac:dyDescent="0.25">
      <c r="B43" s="39" t="str">
        <f>IF('PRISM REPORT'!$B43&lt;&gt;"",'PRISM REPORT'!B43,"")</f>
        <v/>
      </c>
      <c r="C43" s="39" t="str">
        <f>IF('PRISM REPORT'!$B43&lt;&gt;"",'PRISM REPORT'!C43,"")</f>
        <v/>
      </c>
      <c r="D43" s="39" t="str">
        <f>IF('PRISM REPORT'!$B43&lt;&gt;"",'PRISM REPORT'!D43,"")</f>
        <v/>
      </c>
      <c r="E43" s="40" t="str">
        <f>IF('PRISM REPORT'!$B43&lt;&gt;"",'RAW DATA'!F43,"")</f>
        <v/>
      </c>
      <c r="F43" s="40" t="str">
        <f>IF('PRISM REPORT'!$B43&lt;&gt;"",IF('PRISM REPORT'!E43&lt;&gt;"",IF('PRISM REPORT'!E43&gt;0,'PRISM REPORT'!E43,0),0),"")</f>
        <v/>
      </c>
      <c r="G43" s="40" t="str">
        <f t="shared" si="0"/>
        <v/>
      </c>
      <c r="I43" s="40" t="str">
        <f t="shared" si="1"/>
        <v/>
      </c>
    </row>
    <row r="44" spans="2:9" x14ac:dyDescent="0.25">
      <c r="B44" s="39" t="str">
        <f>IF('PRISM REPORT'!$B44&lt;&gt;"",'PRISM REPORT'!B44,"")</f>
        <v/>
      </c>
      <c r="C44" s="39" t="str">
        <f>IF('PRISM REPORT'!$B44&lt;&gt;"",'PRISM REPORT'!C44,"")</f>
        <v/>
      </c>
      <c r="D44" s="39" t="str">
        <f>IF('PRISM REPORT'!$B44&lt;&gt;"",'PRISM REPORT'!D44,"")</f>
        <v/>
      </c>
      <c r="E44" s="40" t="str">
        <f>IF('PRISM REPORT'!$B44&lt;&gt;"",'RAW DATA'!F44,"")</f>
        <v/>
      </c>
      <c r="F44" s="40" t="str">
        <f>IF('PRISM REPORT'!$B44&lt;&gt;"",IF('PRISM REPORT'!E44&lt;&gt;"",IF('PRISM REPORT'!E44&gt;0,'PRISM REPORT'!E44,0),0),"")</f>
        <v/>
      </c>
      <c r="G44" s="40" t="str">
        <f t="shared" si="0"/>
        <v/>
      </c>
      <c r="I44" s="40" t="str">
        <f t="shared" si="1"/>
        <v/>
      </c>
    </row>
    <row r="45" spans="2:9" x14ac:dyDescent="0.25">
      <c r="B45" s="39" t="str">
        <f>IF('PRISM REPORT'!$B45&lt;&gt;"",'PRISM REPORT'!B45,"")</f>
        <v/>
      </c>
      <c r="C45" s="39" t="str">
        <f>IF('PRISM REPORT'!$B45&lt;&gt;"",'PRISM REPORT'!C45,"")</f>
        <v/>
      </c>
      <c r="D45" s="39" t="str">
        <f>IF('PRISM REPORT'!$B45&lt;&gt;"",'PRISM REPORT'!D45,"")</f>
        <v/>
      </c>
      <c r="E45" s="40" t="str">
        <f>IF('PRISM REPORT'!$B45&lt;&gt;"",'RAW DATA'!F45,"")</f>
        <v/>
      </c>
      <c r="F45" s="40" t="str">
        <f>IF('PRISM REPORT'!$B45&lt;&gt;"",IF('PRISM REPORT'!E45&lt;&gt;"",IF('PRISM REPORT'!E45&gt;0,'PRISM REPORT'!E45,0),0),"")</f>
        <v/>
      </c>
      <c r="G45" s="40" t="str">
        <f t="shared" si="0"/>
        <v/>
      </c>
      <c r="I45" s="40" t="str">
        <f t="shared" si="1"/>
        <v/>
      </c>
    </row>
    <row r="46" spans="2:9" x14ac:dyDescent="0.25">
      <c r="B46" s="39" t="str">
        <f>IF('PRISM REPORT'!$B46&lt;&gt;"",'PRISM REPORT'!B46,"")</f>
        <v/>
      </c>
      <c r="C46" s="39" t="str">
        <f>IF('PRISM REPORT'!$B46&lt;&gt;"",'PRISM REPORT'!C46,"")</f>
        <v/>
      </c>
      <c r="D46" s="39" t="str">
        <f>IF('PRISM REPORT'!$B46&lt;&gt;"",'PRISM REPORT'!D46,"")</f>
        <v/>
      </c>
      <c r="E46" s="40" t="str">
        <f>IF('PRISM REPORT'!$B46&lt;&gt;"",'RAW DATA'!F46,"")</f>
        <v/>
      </c>
      <c r="F46" s="40" t="str">
        <f>IF('PRISM REPORT'!$B46&lt;&gt;"",IF('PRISM REPORT'!E46&lt;&gt;"",IF('PRISM REPORT'!E46&gt;0,'PRISM REPORT'!E46,0),0),"")</f>
        <v/>
      </c>
      <c r="G46" s="40" t="str">
        <f t="shared" si="0"/>
        <v/>
      </c>
      <c r="I46" s="40" t="str">
        <f t="shared" si="1"/>
        <v/>
      </c>
    </row>
    <row r="47" spans="2:9" x14ac:dyDescent="0.25">
      <c r="B47" s="39" t="str">
        <f>IF('PRISM REPORT'!$B47&lt;&gt;"",'PRISM REPORT'!B47,"")</f>
        <v/>
      </c>
      <c r="C47" s="39" t="str">
        <f>IF('PRISM REPORT'!$B47&lt;&gt;"",'PRISM REPORT'!C47,"")</f>
        <v/>
      </c>
      <c r="D47" s="39" t="str">
        <f>IF('PRISM REPORT'!$B47&lt;&gt;"",'PRISM REPORT'!D47,"")</f>
        <v/>
      </c>
      <c r="E47" s="40" t="str">
        <f>IF('PRISM REPORT'!$B47&lt;&gt;"",'RAW DATA'!F47,"")</f>
        <v/>
      </c>
      <c r="F47" s="40" t="str">
        <f>IF('PRISM REPORT'!$B47&lt;&gt;"",IF('PRISM REPORT'!E47&lt;&gt;"",IF('PRISM REPORT'!E47&gt;0,'PRISM REPORT'!E47,0),0),"")</f>
        <v/>
      </c>
      <c r="G47" s="40" t="str">
        <f t="shared" si="0"/>
        <v/>
      </c>
      <c r="I47" s="40" t="str">
        <f t="shared" si="1"/>
        <v/>
      </c>
    </row>
    <row r="48" spans="2:9" x14ac:dyDescent="0.25">
      <c r="B48" s="39" t="str">
        <f>IF('PRISM REPORT'!$B48&lt;&gt;"",'PRISM REPORT'!B48,"")</f>
        <v/>
      </c>
      <c r="C48" s="39" t="str">
        <f>IF('PRISM REPORT'!$B48&lt;&gt;"",'PRISM REPORT'!C48,"")</f>
        <v/>
      </c>
      <c r="D48" s="39" t="str">
        <f>IF('PRISM REPORT'!$B48&lt;&gt;"",'PRISM REPORT'!D48,"")</f>
        <v/>
      </c>
      <c r="E48" s="40" t="str">
        <f>IF('PRISM REPORT'!$B48&lt;&gt;"",'RAW DATA'!F48,"")</f>
        <v/>
      </c>
      <c r="F48" s="40" t="str">
        <f>IF('PRISM REPORT'!$B48&lt;&gt;"",IF('PRISM REPORT'!E48&lt;&gt;"",IF('PRISM REPORT'!E48&gt;0,'PRISM REPORT'!E48,0),0),"")</f>
        <v/>
      </c>
      <c r="G48" s="40" t="str">
        <f t="shared" si="0"/>
        <v/>
      </c>
      <c r="I48" s="40" t="str">
        <f t="shared" si="1"/>
        <v/>
      </c>
    </row>
    <row r="49" spans="2:9" x14ac:dyDescent="0.25">
      <c r="B49" s="39" t="str">
        <f>IF('PRISM REPORT'!$B49&lt;&gt;"",'PRISM REPORT'!B49,"")</f>
        <v/>
      </c>
      <c r="C49" s="39" t="str">
        <f>IF('PRISM REPORT'!$B49&lt;&gt;"",'PRISM REPORT'!C49,"")</f>
        <v/>
      </c>
      <c r="D49" s="39" t="str">
        <f>IF('PRISM REPORT'!$B49&lt;&gt;"",'PRISM REPORT'!D49,"")</f>
        <v/>
      </c>
      <c r="E49" s="40" t="str">
        <f>IF('PRISM REPORT'!$B49&lt;&gt;"",'RAW DATA'!F49,"")</f>
        <v/>
      </c>
      <c r="F49" s="40" t="str">
        <f>IF('PRISM REPORT'!$B49&lt;&gt;"",IF('PRISM REPORT'!E49&lt;&gt;"",IF('PRISM REPORT'!E49&gt;0,'PRISM REPORT'!E49,0),0),"")</f>
        <v/>
      </c>
      <c r="G49" s="40" t="str">
        <f t="shared" si="0"/>
        <v/>
      </c>
      <c r="I49" s="40" t="str">
        <f t="shared" si="1"/>
        <v/>
      </c>
    </row>
    <row r="50" spans="2:9" x14ac:dyDescent="0.25">
      <c r="B50" s="39" t="str">
        <f>IF('PRISM REPORT'!$B50&lt;&gt;"",'PRISM REPORT'!B50,"")</f>
        <v/>
      </c>
      <c r="C50" s="39" t="str">
        <f>IF('PRISM REPORT'!$B50&lt;&gt;"",'PRISM REPORT'!C50,"")</f>
        <v/>
      </c>
      <c r="D50" s="39" t="str">
        <f>IF('PRISM REPORT'!$B50&lt;&gt;"",'PRISM REPORT'!D50,"")</f>
        <v/>
      </c>
      <c r="E50" s="40" t="str">
        <f>IF('PRISM REPORT'!$B50&lt;&gt;"",'RAW DATA'!F50,"")</f>
        <v/>
      </c>
      <c r="F50" s="40" t="str">
        <f>IF('PRISM REPORT'!$B50&lt;&gt;"",IF('PRISM REPORT'!E50&lt;&gt;"",IF('PRISM REPORT'!E50&gt;0,'PRISM REPORT'!E50,0),0),"")</f>
        <v/>
      </c>
      <c r="G50" s="40" t="str">
        <f t="shared" si="0"/>
        <v/>
      </c>
      <c r="I50" s="40" t="str">
        <f t="shared" si="1"/>
        <v/>
      </c>
    </row>
    <row r="51" spans="2:9" x14ac:dyDescent="0.25">
      <c r="B51" s="39" t="str">
        <f>IF('PRISM REPORT'!$B51&lt;&gt;"",'PRISM REPORT'!B51,"")</f>
        <v/>
      </c>
      <c r="C51" s="39" t="str">
        <f>IF('PRISM REPORT'!$B51&lt;&gt;"",'PRISM REPORT'!C51,"")</f>
        <v/>
      </c>
      <c r="D51" s="39" t="str">
        <f>IF('PRISM REPORT'!$B51&lt;&gt;"",'PRISM REPORT'!D51,"")</f>
        <v/>
      </c>
      <c r="E51" s="40" t="str">
        <f>IF('PRISM REPORT'!$B51&lt;&gt;"",'RAW DATA'!F51,"")</f>
        <v/>
      </c>
      <c r="F51" s="40" t="str">
        <f>IF('PRISM REPORT'!$B51&lt;&gt;"",IF('PRISM REPORT'!E51&lt;&gt;"",IF('PRISM REPORT'!E51&gt;0,'PRISM REPORT'!E51,0),0),"")</f>
        <v/>
      </c>
      <c r="G51" s="40" t="str">
        <f t="shared" si="0"/>
        <v/>
      </c>
      <c r="I51" s="40" t="str">
        <f t="shared" si="1"/>
        <v/>
      </c>
    </row>
    <row r="52" spans="2:9" x14ac:dyDescent="0.25">
      <c r="B52" s="39" t="str">
        <f>IF('PRISM REPORT'!$B52&lt;&gt;"",'PRISM REPORT'!B52,"")</f>
        <v/>
      </c>
      <c r="C52" s="39" t="str">
        <f>IF('PRISM REPORT'!$B52&lt;&gt;"",'PRISM REPORT'!C52,"")</f>
        <v/>
      </c>
      <c r="D52" s="39" t="str">
        <f>IF('PRISM REPORT'!$B52&lt;&gt;"",'PRISM REPORT'!D52,"")</f>
        <v/>
      </c>
      <c r="E52" s="40" t="str">
        <f>IF('PRISM REPORT'!$B52&lt;&gt;"",'RAW DATA'!F52,"")</f>
        <v/>
      </c>
      <c r="F52" s="40" t="str">
        <f>IF('PRISM REPORT'!$B52&lt;&gt;"",IF('PRISM REPORT'!E52&lt;&gt;"",IF('PRISM REPORT'!E52&gt;0,'PRISM REPORT'!E52,0),0),"")</f>
        <v/>
      </c>
      <c r="G52" s="40" t="str">
        <f t="shared" si="0"/>
        <v/>
      </c>
      <c r="I52" s="40" t="str">
        <f t="shared" si="1"/>
        <v/>
      </c>
    </row>
    <row r="53" spans="2:9" x14ac:dyDescent="0.25">
      <c r="B53" s="39" t="str">
        <f>IF('PRISM REPORT'!$B53&lt;&gt;"",'PRISM REPORT'!B53,"")</f>
        <v/>
      </c>
      <c r="C53" s="39" t="str">
        <f>IF('PRISM REPORT'!$B53&lt;&gt;"",'PRISM REPORT'!C53,"")</f>
        <v/>
      </c>
      <c r="D53" s="39" t="str">
        <f>IF('PRISM REPORT'!$B53&lt;&gt;"",'PRISM REPORT'!D53,"")</f>
        <v/>
      </c>
      <c r="E53" s="40" t="str">
        <f>IF('PRISM REPORT'!$B53&lt;&gt;"",'RAW DATA'!F53,"")</f>
        <v/>
      </c>
      <c r="F53" s="40" t="str">
        <f>IF('PRISM REPORT'!$B53&lt;&gt;"",IF('PRISM REPORT'!E53&lt;&gt;"",IF('PRISM REPORT'!E53&gt;0,'PRISM REPORT'!E53,0),0),"")</f>
        <v/>
      </c>
      <c r="G53" s="40" t="str">
        <f t="shared" si="0"/>
        <v/>
      </c>
      <c r="I53" s="40" t="str">
        <f t="shared" si="1"/>
        <v/>
      </c>
    </row>
    <row r="54" spans="2:9" x14ac:dyDescent="0.25">
      <c r="B54" s="39" t="str">
        <f>IF('PRISM REPORT'!$B54&lt;&gt;"",'PRISM REPORT'!B54,"")</f>
        <v/>
      </c>
      <c r="C54" s="39" t="str">
        <f>IF('PRISM REPORT'!$B54&lt;&gt;"",'PRISM REPORT'!C54,"")</f>
        <v/>
      </c>
      <c r="D54" s="39" t="str">
        <f>IF('PRISM REPORT'!$B54&lt;&gt;"",'PRISM REPORT'!D54,"")</f>
        <v/>
      </c>
      <c r="E54" s="40" t="str">
        <f>IF('PRISM REPORT'!$B54&lt;&gt;"",'RAW DATA'!F54,"")</f>
        <v/>
      </c>
      <c r="F54" s="40" t="str">
        <f>IF('PRISM REPORT'!$B54&lt;&gt;"",IF('PRISM REPORT'!E54&lt;&gt;"",IF('PRISM REPORT'!E54&gt;0,'PRISM REPORT'!E54,0),0),"")</f>
        <v/>
      </c>
      <c r="G54" s="40" t="str">
        <f t="shared" si="0"/>
        <v/>
      </c>
      <c r="I54" s="40" t="str">
        <f t="shared" si="1"/>
        <v/>
      </c>
    </row>
    <row r="55" spans="2:9" x14ac:dyDescent="0.25">
      <c r="B55" s="39" t="str">
        <f>IF('PRISM REPORT'!$B55&lt;&gt;"",'PRISM REPORT'!B55,"")</f>
        <v/>
      </c>
      <c r="C55" s="39" t="str">
        <f>IF('PRISM REPORT'!$B55&lt;&gt;"",'PRISM REPORT'!C55,"")</f>
        <v/>
      </c>
      <c r="D55" s="39" t="str">
        <f>IF('PRISM REPORT'!$B55&lt;&gt;"",'PRISM REPORT'!D55,"")</f>
        <v/>
      </c>
      <c r="E55" s="40" t="str">
        <f>IF('PRISM REPORT'!$B55&lt;&gt;"",'RAW DATA'!F55,"")</f>
        <v/>
      </c>
      <c r="F55" s="40" t="str">
        <f>IF('PRISM REPORT'!$B55&lt;&gt;"",IF('PRISM REPORT'!E55&lt;&gt;"",IF('PRISM REPORT'!E55&gt;0,'PRISM REPORT'!E55,0),0),"")</f>
        <v/>
      </c>
      <c r="G55" s="40" t="str">
        <f t="shared" si="0"/>
        <v/>
      </c>
      <c r="I55" s="40" t="str">
        <f t="shared" si="1"/>
        <v/>
      </c>
    </row>
    <row r="56" spans="2:9" x14ac:dyDescent="0.25">
      <c r="B56" s="39" t="str">
        <f>IF('PRISM REPORT'!$B56&lt;&gt;"",'PRISM REPORT'!B56,"")</f>
        <v/>
      </c>
      <c r="C56" s="39" t="str">
        <f>IF('PRISM REPORT'!$B56&lt;&gt;"",'PRISM REPORT'!C56,"")</f>
        <v/>
      </c>
      <c r="D56" s="39" t="str">
        <f>IF('PRISM REPORT'!$B56&lt;&gt;"",'PRISM REPORT'!D56,"")</f>
        <v/>
      </c>
      <c r="E56" s="40" t="str">
        <f>IF('PRISM REPORT'!$B56&lt;&gt;"",'RAW DATA'!F56,"")</f>
        <v/>
      </c>
      <c r="F56" s="40" t="str">
        <f>IF('PRISM REPORT'!$B56&lt;&gt;"",IF('PRISM REPORT'!E56&lt;&gt;"",IF('PRISM REPORT'!E56&gt;0,'PRISM REPORT'!E56,0),0),"")</f>
        <v/>
      </c>
      <c r="G56" s="40" t="str">
        <f t="shared" si="0"/>
        <v/>
      </c>
      <c r="I56" s="40" t="str">
        <f t="shared" si="1"/>
        <v/>
      </c>
    </row>
    <row r="57" spans="2:9" x14ac:dyDescent="0.25">
      <c r="B57" s="39" t="str">
        <f>IF('PRISM REPORT'!$B57&lt;&gt;"",'PRISM REPORT'!B57,"")</f>
        <v/>
      </c>
      <c r="C57" s="39" t="str">
        <f>IF('PRISM REPORT'!$B57&lt;&gt;"",'PRISM REPORT'!C57,"")</f>
        <v/>
      </c>
      <c r="D57" s="39" t="str">
        <f>IF('PRISM REPORT'!$B57&lt;&gt;"",'PRISM REPORT'!D57,"")</f>
        <v/>
      </c>
      <c r="E57" s="40" t="str">
        <f>IF('PRISM REPORT'!$B57&lt;&gt;"",'RAW DATA'!F57,"")</f>
        <v/>
      </c>
      <c r="F57" s="40" t="str">
        <f>IF('PRISM REPORT'!$B57&lt;&gt;"",IF('PRISM REPORT'!E57&lt;&gt;"",IF('PRISM REPORT'!E57&gt;0,'PRISM REPORT'!E57,0),0),"")</f>
        <v/>
      </c>
      <c r="G57" s="40" t="str">
        <f t="shared" si="0"/>
        <v/>
      </c>
      <c r="I57" s="40" t="str">
        <f t="shared" si="1"/>
        <v/>
      </c>
    </row>
    <row r="58" spans="2:9" x14ac:dyDescent="0.25">
      <c r="B58" s="39" t="str">
        <f>IF('PRISM REPORT'!$B58&lt;&gt;"",'PRISM REPORT'!B58,"")</f>
        <v/>
      </c>
      <c r="C58" s="39" t="str">
        <f>IF('PRISM REPORT'!$B58&lt;&gt;"",'PRISM REPORT'!C58,"")</f>
        <v/>
      </c>
      <c r="D58" s="39" t="str">
        <f>IF('PRISM REPORT'!$B58&lt;&gt;"",'PRISM REPORT'!D58,"")</f>
        <v/>
      </c>
      <c r="E58" s="40" t="str">
        <f>IF('PRISM REPORT'!$B58&lt;&gt;"",'RAW DATA'!F58,"")</f>
        <v/>
      </c>
      <c r="F58" s="40" t="str">
        <f>IF('PRISM REPORT'!$B58&lt;&gt;"",IF('PRISM REPORT'!E58&lt;&gt;"",IF('PRISM REPORT'!E58&gt;0,'PRISM REPORT'!E58,0),0),"")</f>
        <v/>
      </c>
      <c r="G58" s="40" t="str">
        <f t="shared" si="0"/>
        <v/>
      </c>
      <c r="I58" s="40" t="str">
        <f t="shared" si="1"/>
        <v/>
      </c>
    </row>
    <row r="59" spans="2:9" x14ac:dyDescent="0.25">
      <c r="B59" s="39" t="str">
        <f>IF('PRISM REPORT'!$B59&lt;&gt;"",'PRISM REPORT'!B59,"")</f>
        <v/>
      </c>
      <c r="C59" s="39" t="str">
        <f>IF('PRISM REPORT'!$B59&lt;&gt;"",'PRISM REPORT'!C59,"")</f>
        <v/>
      </c>
      <c r="D59" s="39" t="str">
        <f>IF('PRISM REPORT'!$B59&lt;&gt;"",'PRISM REPORT'!D59,"")</f>
        <v/>
      </c>
      <c r="E59" s="40" t="str">
        <f>IF('PRISM REPORT'!$B59&lt;&gt;"",'RAW DATA'!F59,"")</f>
        <v/>
      </c>
      <c r="F59" s="40" t="str">
        <f>IF('PRISM REPORT'!$B59&lt;&gt;"",IF('PRISM REPORT'!E59&lt;&gt;"",IF('PRISM REPORT'!E59&gt;0,'PRISM REPORT'!E59,0),0),"")</f>
        <v/>
      </c>
      <c r="G59" s="40" t="str">
        <f t="shared" si="0"/>
        <v/>
      </c>
      <c r="I59" s="40" t="str">
        <f t="shared" si="1"/>
        <v/>
      </c>
    </row>
    <row r="60" spans="2:9" x14ac:dyDescent="0.25">
      <c r="B60" s="39" t="str">
        <f>IF('PRISM REPORT'!$B60&lt;&gt;"",'PRISM REPORT'!B60,"")</f>
        <v/>
      </c>
      <c r="C60" s="39" t="str">
        <f>IF('PRISM REPORT'!$B60&lt;&gt;"",'PRISM REPORT'!C60,"")</f>
        <v/>
      </c>
      <c r="D60" s="39" t="str">
        <f>IF('PRISM REPORT'!$B60&lt;&gt;"",'PRISM REPORT'!D60,"")</f>
        <v/>
      </c>
      <c r="E60" s="40" t="str">
        <f>IF('PRISM REPORT'!$B60&lt;&gt;"",'RAW DATA'!F60,"")</f>
        <v/>
      </c>
      <c r="F60" s="40" t="str">
        <f>IF('PRISM REPORT'!$B60&lt;&gt;"",IF('PRISM REPORT'!E60&lt;&gt;"",IF('PRISM REPORT'!E60&gt;0,'PRISM REPORT'!E60,0),0),"")</f>
        <v/>
      </c>
      <c r="G60" s="40" t="str">
        <f t="shared" si="0"/>
        <v/>
      </c>
      <c r="I60" s="40" t="str">
        <f t="shared" si="1"/>
        <v/>
      </c>
    </row>
    <row r="61" spans="2:9" x14ac:dyDescent="0.25">
      <c r="B61" s="39" t="str">
        <f>IF('PRISM REPORT'!$B61&lt;&gt;"",'PRISM REPORT'!B61,"")</f>
        <v/>
      </c>
      <c r="C61" s="39" t="str">
        <f>IF('PRISM REPORT'!$B61&lt;&gt;"",'PRISM REPORT'!C61,"")</f>
        <v/>
      </c>
      <c r="D61" s="39" t="str">
        <f>IF('PRISM REPORT'!$B61&lt;&gt;"",'PRISM REPORT'!D61,"")</f>
        <v/>
      </c>
      <c r="E61" s="40" t="str">
        <f>IF('PRISM REPORT'!$B61&lt;&gt;"",'RAW DATA'!F61,"")</f>
        <v/>
      </c>
      <c r="F61" s="40" t="str">
        <f>IF('PRISM REPORT'!$B61&lt;&gt;"",IF('PRISM REPORT'!E61&lt;&gt;"",IF('PRISM REPORT'!E61&gt;0,'PRISM REPORT'!E61,0),0),"")</f>
        <v/>
      </c>
      <c r="G61" s="40" t="str">
        <f t="shared" si="0"/>
        <v/>
      </c>
      <c r="I61" s="40" t="str">
        <f t="shared" si="1"/>
        <v/>
      </c>
    </row>
    <row r="62" spans="2:9" x14ac:dyDescent="0.25">
      <c r="B62" s="39" t="str">
        <f>IF('PRISM REPORT'!$B62&lt;&gt;"",'PRISM REPORT'!B62,"")</f>
        <v/>
      </c>
      <c r="C62" s="39" t="str">
        <f>IF('PRISM REPORT'!$B62&lt;&gt;"",'PRISM REPORT'!C62,"")</f>
        <v/>
      </c>
      <c r="D62" s="39" t="str">
        <f>IF('PRISM REPORT'!$B62&lt;&gt;"",'PRISM REPORT'!D62,"")</f>
        <v/>
      </c>
      <c r="E62" s="40" t="str">
        <f>IF('PRISM REPORT'!$B62&lt;&gt;"",'RAW DATA'!F62,"")</f>
        <v/>
      </c>
      <c r="F62" s="40" t="str">
        <f>IF('PRISM REPORT'!$B62&lt;&gt;"",IF('PRISM REPORT'!E62&lt;&gt;"",IF('PRISM REPORT'!E62&gt;0,'PRISM REPORT'!E62,0),0),"")</f>
        <v/>
      </c>
      <c r="G62" s="40" t="str">
        <f t="shared" si="0"/>
        <v/>
      </c>
      <c r="I62" s="40" t="str">
        <f t="shared" si="1"/>
        <v/>
      </c>
    </row>
    <row r="63" spans="2:9" x14ac:dyDescent="0.25">
      <c r="B63" s="39" t="str">
        <f>IF('PRISM REPORT'!$B63&lt;&gt;"",'PRISM REPORT'!B63,"")</f>
        <v/>
      </c>
      <c r="C63" s="39" t="str">
        <f>IF('PRISM REPORT'!$B63&lt;&gt;"",'PRISM REPORT'!C63,"")</f>
        <v/>
      </c>
      <c r="D63" s="39" t="str">
        <f>IF('PRISM REPORT'!$B63&lt;&gt;"",'PRISM REPORT'!D63,"")</f>
        <v/>
      </c>
      <c r="E63" s="40" t="str">
        <f>IF('PRISM REPORT'!$B63&lt;&gt;"",'RAW DATA'!F63,"")</f>
        <v/>
      </c>
      <c r="F63" s="40" t="str">
        <f>IF('PRISM REPORT'!$B63&lt;&gt;"",IF('PRISM REPORT'!E63&lt;&gt;"",IF('PRISM REPORT'!E63&gt;0,'PRISM REPORT'!E63,0),0),"")</f>
        <v/>
      </c>
      <c r="G63" s="40" t="str">
        <f t="shared" si="0"/>
        <v/>
      </c>
      <c r="I63" s="40" t="str">
        <f t="shared" si="1"/>
        <v/>
      </c>
    </row>
    <row r="64" spans="2:9" x14ac:dyDescent="0.25">
      <c r="B64" s="39" t="str">
        <f>IF('PRISM REPORT'!$B64&lt;&gt;"",'PRISM REPORT'!B64,"")</f>
        <v/>
      </c>
      <c r="C64" s="39" t="str">
        <f>IF('PRISM REPORT'!$B64&lt;&gt;"",'PRISM REPORT'!C64,"")</f>
        <v/>
      </c>
      <c r="D64" s="39" t="str">
        <f>IF('PRISM REPORT'!$B64&lt;&gt;"",'PRISM REPORT'!D64,"")</f>
        <v/>
      </c>
      <c r="E64" s="40" t="str">
        <f>IF('PRISM REPORT'!$B64&lt;&gt;"",'RAW DATA'!F64,"")</f>
        <v/>
      </c>
      <c r="F64" s="40" t="str">
        <f>IF('PRISM REPORT'!$B64&lt;&gt;"",IF('PRISM REPORT'!E64&lt;&gt;"",IF('PRISM REPORT'!E64&gt;0,'PRISM REPORT'!E64,0),0),"")</f>
        <v/>
      </c>
      <c r="G64" s="40" t="str">
        <f t="shared" si="0"/>
        <v/>
      </c>
      <c r="I64" s="40" t="str">
        <f t="shared" si="1"/>
        <v/>
      </c>
    </row>
    <row r="65" spans="2:9" x14ac:dyDescent="0.25">
      <c r="B65" s="39" t="str">
        <f>IF('PRISM REPORT'!$B65&lt;&gt;"",'PRISM REPORT'!B65,"")</f>
        <v/>
      </c>
      <c r="C65" s="39" t="str">
        <f>IF('PRISM REPORT'!$B65&lt;&gt;"",'PRISM REPORT'!C65,"")</f>
        <v/>
      </c>
      <c r="D65" s="39" t="str">
        <f>IF('PRISM REPORT'!$B65&lt;&gt;"",'PRISM REPORT'!D65,"")</f>
        <v/>
      </c>
      <c r="E65" s="40" t="str">
        <f>IF('PRISM REPORT'!$B65&lt;&gt;"",'RAW DATA'!F65,"")</f>
        <v/>
      </c>
      <c r="F65" s="40" t="str">
        <f>IF('PRISM REPORT'!$B65&lt;&gt;"",IF('PRISM REPORT'!E65&lt;&gt;"",IF('PRISM REPORT'!E65&gt;0,'PRISM REPORT'!E65,0),0),"")</f>
        <v/>
      </c>
      <c r="G65" s="40" t="str">
        <f t="shared" si="0"/>
        <v/>
      </c>
      <c r="I65" s="40" t="str">
        <f t="shared" si="1"/>
        <v/>
      </c>
    </row>
    <row r="66" spans="2:9" x14ac:dyDescent="0.25">
      <c r="B66" s="39" t="str">
        <f>IF('PRISM REPORT'!$B66&lt;&gt;"",'PRISM REPORT'!B66,"")</f>
        <v/>
      </c>
      <c r="C66" s="39" t="str">
        <f>IF('PRISM REPORT'!$B66&lt;&gt;"",'PRISM REPORT'!C66,"")</f>
        <v/>
      </c>
      <c r="D66" s="39" t="str">
        <f>IF('PRISM REPORT'!$B66&lt;&gt;"",'PRISM REPORT'!D66,"")</f>
        <v/>
      </c>
      <c r="E66" s="40" t="str">
        <f>IF('PRISM REPORT'!$B66&lt;&gt;"",'RAW DATA'!F66,"")</f>
        <v/>
      </c>
      <c r="F66" s="40" t="str">
        <f>IF('PRISM REPORT'!$B66&lt;&gt;"",IF('PRISM REPORT'!E66&lt;&gt;"",IF('PRISM REPORT'!E66&gt;0,'PRISM REPORT'!E66,0),0),"")</f>
        <v/>
      </c>
      <c r="G66" s="40" t="str">
        <f t="shared" si="0"/>
        <v/>
      </c>
      <c r="I66" s="40" t="str">
        <f t="shared" si="1"/>
        <v/>
      </c>
    </row>
    <row r="67" spans="2:9" x14ac:dyDescent="0.25">
      <c r="B67" s="39" t="str">
        <f>IF('PRISM REPORT'!$B67&lt;&gt;"",'PRISM REPORT'!B67,"")</f>
        <v/>
      </c>
      <c r="C67" s="39" t="str">
        <f>IF('PRISM REPORT'!$B67&lt;&gt;"",'PRISM REPORT'!C67,"")</f>
        <v/>
      </c>
      <c r="D67" s="39" t="str">
        <f>IF('PRISM REPORT'!$B67&lt;&gt;"",'PRISM REPORT'!D67,"")</f>
        <v/>
      </c>
      <c r="E67" s="40" t="str">
        <f>IF('PRISM REPORT'!$B67&lt;&gt;"",'RAW DATA'!F67,"")</f>
        <v/>
      </c>
      <c r="F67" s="40" t="str">
        <f>IF('PRISM REPORT'!$B67&lt;&gt;"",IF('PRISM REPORT'!E67&lt;&gt;"",IF('PRISM REPORT'!E67&gt;0,'PRISM REPORT'!E67,0),0),"")</f>
        <v/>
      </c>
      <c r="G67" s="40" t="str">
        <f t="shared" si="0"/>
        <v/>
      </c>
      <c r="I67" s="40" t="str">
        <f t="shared" si="1"/>
        <v/>
      </c>
    </row>
    <row r="68" spans="2:9" x14ac:dyDescent="0.25">
      <c r="B68" s="39" t="str">
        <f>IF('PRISM REPORT'!$B68&lt;&gt;"",'PRISM REPORT'!B68,"")</f>
        <v/>
      </c>
      <c r="C68" s="39" t="str">
        <f>IF('PRISM REPORT'!$B68&lt;&gt;"",'PRISM REPORT'!C68,"")</f>
        <v/>
      </c>
      <c r="D68" s="39" t="str">
        <f>IF('PRISM REPORT'!$B68&lt;&gt;"",'PRISM REPORT'!D68,"")</f>
        <v/>
      </c>
      <c r="E68" s="40" t="str">
        <f>IF('PRISM REPORT'!$B68&lt;&gt;"",'RAW DATA'!F68,"")</f>
        <v/>
      </c>
      <c r="F68" s="40" t="str">
        <f>IF('PRISM REPORT'!$B68&lt;&gt;"",IF('PRISM REPORT'!E68&lt;&gt;"",IF('PRISM REPORT'!E68&gt;0,'PRISM REPORT'!E68,0),0),"")</f>
        <v/>
      </c>
      <c r="G68" s="40" t="str">
        <f t="shared" si="0"/>
        <v/>
      </c>
      <c r="I68" s="40" t="str">
        <f t="shared" si="1"/>
        <v/>
      </c>
    </row>
    <row r="69" spans="2:9" x14ac:dyDescent="0.25">
      <c r="B69" s="39" t="str">
        <f>IF('PRISM REPORT'!$B69&lt;&gt;"",'PRISM REPORT'!B69,"")</f>
        <v/>
      </c>
      <c r="C69" s="39" t="str">
        <f>IF('PRISM REPORT'!$B69&lt;&gt;"",'PRISM REPORT'!C69,"")</f>
        <v/>
      </c>
      <c r="D69" s="39" t="str">
        <f>IF('PRISM REPORT'!$B69&lt;&gt;"",'PRISM REPORT'!D69,"")</f>
        <v/>
      </c>
      <c r="E69" s="40" t="str">
        <f>IF('PRISM REPORT'!$B69&lt;&gt;"",'RAW DATA'!F69,"")</f>
        <v/>
      </c>
      <c r="F69" s="40" t="str">
        <f>IF('PRISM REPORT'!$B69&lt;&gt;"",IF('PRISM REPORT'!E69&lt;&gt;"",IF('PRISM REPORT'!E69&gt;0,'PRISM REPORT'!E69,0),0),"")</f>
        <v/>
      </c>
      <c r="G69" s="40" t="str">
        <f t="shared" ref="G69:G132" si="2">IF(AND(B69&lt;&gt;"",C69&lt;&gt;""),SUM(E69,F69),"")</f>
        <v/>
      </c>
      <c r="I69" s="40" t="str">
        <f t="shared" ref="I69:I132" si="3">IF(AND(B69&lt;&gt;"",C69&lt;&gt;""),G69-(H69*50),"")</f>
        <v/>
      </c>
    </row>
    <row r="70" spans="2:9" x14ac:dyDescent="0.25">
      <c r="B70" s="39" t="str">
        <f>IF('PRISM REPORT'!$B70&lt;&gt;"",'PRISM REPORT'!B70,"")</f>
        <v/>
      </c>
      <c r="C70" s="39" t="str">
        <f>IF('PRISM REPORT'!$B70&lt;&gt;"",'PRISM REPORT'!C70,"")</f>
        <v/>
      </c>
      <c r="D70" s="39" t="str">
        <f>IF('PRISM REPORT'!$B70&lt;&gt;"",'PRISM REPORT'!D70,"")</f>
        <v/>
      </c>
      <c r="E70" s="40" t="str">
        <f>IF('PRISM REPORT'!$B70&lt;&gt;"",'RAW DATA'!F70,"")</f>
        <v/>
      </c>
      <c r="F70" s="40" t="str">
        <f>IF('PRISM REPORT'!$B70&lt;&gt;"",IF('PRISM REPORT'!E70&lt;&gt;"",IF('PRISM REPORT'!E70&gt;0,'PRISM REPORT'!E70,0),0),"")</f>
        <v/>
      </c>
      <c r="G70" s="40" t="str">
        <f t="shared" si="2"/>
        <v/>
      </c>
      <c r="I70" s="40" t="str">
        <f t="shared" si="3"/>
        <v/>
      </c>
    </row>
    <row r="71" spans="2:9" x14ac:dyDescent="0.25">
      <c r="B71" s="39" t="str">
        <f>IF('PRISM REPORT'!$B71&lt;&gt;"",'PRISM REPORT'!B71,"")</f>
        <v/>
      </c>
      <c r="C71" s="39" t="str">
        <f>IF('PRISM REPORT'!$B71&lt;&gt;"",'PRISM REPORT'!C71,"")</f>
        <v/>
      </c>
      <c r="D71" s="39" t="str">
        <f>IF('PRISM REPORT'!$B71&lt;&gt;"",'PRISM REPORT'!D71,"")</f>
        <v/>
      </c>
      <c r="E71" s="40" t="str">
        <f>IF('PRISM REPORT'!$B71&lt;&gt;"",'RAW DATA'!F71,"")</f>
        <v/>
      </c>
      <c r="F71" s="40" t="str">
        <f>IF('PRISM REPORT'!$B71&lt;&gt;"",IF('PRISM REPORT'!E71&lt;&gt;"",IF('PRISM REPORT'!E71&gt;0,'PRISM REPORT'!E71,0),0),"")</f>
        <v/>
      </c>
      <c r="G71" s="40" t="str">
        <f t="shared" si="2"/>
        <v/>
      </c>
      <c r="I71" s="40" t="str">
        <f t="shared" si="3"/>
        <v/>
      </c>
    </row>
    <row r="72" spans="2:9" x14ac:dyDescent="0.25">
      <c r="B72" s="39" t="str">
        <f>IF('PRISM REPORT'!$B72&lt;&gt;"",'PRISM REPORT'!B72,"")</f>
        <v/>
      </c>
      <c r="C72" s="39" t="str">
        <f>IF('PRISM REPORT'!$B72&lt;&gt;"",'PRISM REPORT'!C72,"")</f>
        <v/>
      </c>
      <c r="D72" s="39" t="str">
        <f>IF('PRISM REPORT'!$B72&lt;&gt;"",'PRISM REPORT'!D72,"")</f>
        <v/>
      </c>
      <c r="E72" s="40" t="str">
        <f>IF('PRISM REPORT'!$B72&lt;&gt;"",'RAW DATA'!F72,"")</f>
        <v/>
      </c>
      <c r="F72" s="40" t="str">
        <f>IF('PRISM REPORT'!$B72&lt;&gt;"",IF('PRISM REPORT'!E72&lt;&gt;"",IF('PRISM REPORT'!E72&gt;0,'PRISM REPORT'!E72,0),0),"")</f>
        <v/>
      </c>
      <c r="G72" s="40" t="str">
        <f t="shared" si="2"/>
        <v/>
      </c>
      <c r="I72" s="40" t="str">
        <f t="shared" si="3"/>
        <v/>
      </c>
    </row>
    <row r="73" spans="2:9" x14ac:dyDescent="0.25">
      <c r="B73" s="39" t="str">
        <f>IF('PRISM REPORT'!$B73&lt;&gt;"",'PRISM REPORT'!B73,"")</f>
        <v/>
      </c>
      <c r="C73" s="39" t="str">
        <f>IF('PRISM REPORT'!$B73&lt;&gt;"",'PRISM REPORT'!C73,"")</f>
        <v/>
      </c>
      <c r="D73" s="39" t="str">
        <f>IF('PRISM REPORT'!$B73&lt;&gt;"",'PRISM REPORT'!D73,"")</f>
        <v/>
      </c>
      <c r="E73" s="40" t="str">
        <f>IF('PRISM REPORT'!$B73&lt;&gt;"",'RAW DATA'!F73,"")</f>
        <v/>
      </c>
      <c r="F73" s="40" t="str">
        <f>IF('PRISM REPORT'!$B73&lt;&gt;"",IF('PRISM REPORT'!E73&lt;&gt;"",IF('PRISM REPORT'!E73&gt;0,'PRISM REPORT'!E73,0),0),"")</f>
        <v/>
      </c>
      <c r="G73" s="40" t="str">
        <f t="shared" si="2"/>
        <v/>
      </c>
      <c r="I73" s="40" t="str">
        <f t="shared" si="3"/>
        <v/>
      </c>
    </row>
    <row r="74" spans="2:9" x14ac:dyDescent="0.25">
      <c r="B74" s="39" t="str">
        <f>IF('PRISM REPORT'!$B74&lt;&gt;"",'PRISM REPORT'!B74,"")</f>
        <v/>
      </c>
      <c r="C74" s="39" t="str">
        <f>IF('PRISM REPORT'!$B74&lt;&gt;"",'PRISM REPORT'!C74,"")</f>
        <v/>
      </c>
      <c r="D74" s="39" t="str">
        <f>IF('PRISM REPORT'!$B74&lt;&gt;"",'PRISM REPORT'!D74,"")</f>
        <v/>
      </c>
      <c r="E74" s="40" t="str">
        <f>IF('PRISM REPORT'!$B74&lt;&gt;"",'RAW DATA'!F74,"")</f>
        <v/>
      </c>
      <c r="F74" s="40" t="str">
        <f>IF('PRISM REPORT'!$B74&lt;&gt;"",IF('PRISM REPORT'!E74&lt;&gt;"",IF('PRISM REPORT'!E74&gt;0,'PRISM REPORT'!E74,0),0),"")</f>
        <v/>
      </c>
      <c r="G74" s="40" t="str">
        <f t="shared" si="2"/>
        <v/>
      </c>
      <c r="I74" s="40" t="str">
        <f t="shared" si="3"/>
        <v/>
      </c>
    </row>
    <row r="75" spans="2:9" x14ac:dyDescent="0.25">
      <c r="B75" s="39" t="str">
        <f>IF('PRISM REPORT'!$B75&lt;&gt;"",'PRISM REPORT'!B75,"")</f>
        <v/>
      </c>
      <c r="C75" s="39" t="str">
        <f>IF('PRISM REPORT'!$B75&lt;&gt;"",'PRISM REPORT'!C75,"")</f>
        <v/>
      </c>
      <c r="D75" s="39" t="str">
        <f>IF('PRISM REPORT'!$B75&lt;&gt;"",'PRISM REPORT'!D75,"")</f>
        <v/>
      </c>
      <c r="E75" s="40" t="str">
        <f>IF('PRISM REPORT'!$B75&lt;&gt;"",'RAW DATA'!F75,"")</f>
        <v/>
      </c>
      <c r="F75" s="40" t="str">
        <f>IF('PRISM REPORT'!$B75&lt;&gt;"",IF('PRISM REPORT'!E75&lt;&gt;"",IF('PRISM REPORT'!E75&gt;0,'PRISM REPORT'!E75,0),0),"")</f>
        <v/>
      </c>
      <c r="G75" s="40" t="str">
        <f t="shared" si="2"/>
        <v/>
      </c>
      <c r="I75" s="40" t="str">
        <f t="shared" si="3"/>
        <v/>
      </c>
    </row>
    <row r="76" spans="2:9" x14ac:dyDescent="0.25">
      <c r="B76" s="39" t="str">
        <f>IF('PRISM REPORT'!$B76&lt;&gt;"",'PRISM REPORT'!B76,"")</f>
        <v/>
      </c>
      <c r="C76" s="39" t="str">
        <f>IF('PRISM REPORT'!$B76&lt;&gt;"",'PRISM REPORT'!C76,"")</f>
        <v/>
      </c>
      <c r="D76" s="39" t="str">
        <f>IF('PRISM REPORT'!$B76&lt;&gt;"",'PRISM REPORT'!D76,"")</f>
        <v/>
      </c>
      <c r="E76" s="40" t="str">
        <f>IF('PRISM REPORT'!$B76&lt;&gt;"",'RAW DATA'!F76,"")</f>
        <v/>
      </c>
      <c r="F76" s="40" t="str">
        <f>IF('PRISM REPORT'!$B76&lt;&gt;"",IF('PRISM REPORT'!E76&lt;&gt;"",IF('PRISM REPORT'!E76&gt;0,'PRISM REPORT'!E76,0),0),"")</f>
        <v/>
      </c>
      <c r="G76" s="40" t="str">
        <f t="shared" si="2"/>
        <v/>
      </c>
      <c r="I76" s="40" t="str">
        <f t="shared" si="3"/>
        <v/>
      </c>
    </row>
    <row r="77" spans="2:9" x14ac:dyDescent="0.25">
      <c r="B77" s="39" t="str">
        <f>IF('PRISM REPORT'!$B77&lt;&gt;"",'PRISM REPORT'!B77,"")</f>
        <v/>
      </c>
      <c r="C77" s="39" t="str">
        <f>IF('PRISM REPORT'!$B77&lt;&gt;"",'PRISM REPORT'!C77,"")</f>
        <v/>
      </c>
      <c r="D77" s="39" t="str">
        <f>IF('PRISM REPORT'!$B77&lt;&gt;"",'PRISM REPORT'!D77,"")</f>
        <v/>
      </c>
      <c r="E77" s="40" t="str">
        <f>IF('PRISM REPORT'!$B77&lt;&gt;"",'RAW DATA'!F77,"")</f>
        <v/>
      </c>
      <c r="F77" s="40" t="str">
        <f>IF('PRISM REPORT'!$B77&lt;&gt;"",IF('PRISM REPORT'!E77&lt;&gt;"",IF('PRISM REPORT'!E77&gt;0,'PRISM REPORT'!E77,0),0),"")</f>
        <v/>
      </c>
      <c r="G77" s="40" t="str">
        <f t="shared" si="2"/>
        <v/>
      </c>
      <c r="I77" s="40" t="str">
        <f t="shared" si="3"/>
        <v/>
      </c>
    </row>
    <row r="78" spans="2:9" x14ac:dyDescent="0.25">
      <c r="B78" s="39" t="str">
        <f>IF('PRISM REPORT'!$B78&lt;&gt;"",'PRISM REPORT'!B78,"")</f>
        <v/>
      </c>
      <c r="C78" s="39" t="str">
        <f>IF('PRISM REPORT'!$B78&lt;&gt;"",'PRISM REPORT'!C78,"")</f>
        <v/>
      </c>
      <c r="D78" s="39" t="str">
        <f>IF('PRISM REPORT'!$B78&lt;&gt;"",'PRISM REPORT'!D78,"")</f>
        <v/>
      </c>
      <c r="E78" s="40" t="str">
        <f>IF('PRISM REPORT'!$B78&lt;&gt;"",'RAW DATA'!F78,"")</f>
        <v/>
      </c>
      <c r="F78" s="40" t="str">
        <f>IF('PRISM REPORT'!$B78&lt;&gt;"",IF('PRISM REPORT'!E78&lt;&gt;"",IF('PRISM REPORT'!E78&gt;0,'PRISM REPORT'!E78,0),0),"")</f>
        <v/>
      </c>
      <c r="G78" s="40" t="str">
        <f t="shared" si="2"/>
        <v/>
      </c>
      <c r="I78" s="40" t="str">
        <f t="shared" si="3"/>
        <v/>
      </c>
    </row>
    <row r="79" spans="2:9" x14ac:dyDescent="0.25">
      <c r="B79" s="39" t="str">
        <f>IF('PRISM REPORT'!$B79&lt;&gt;"",'PRISM REPORT'!B79,"")</f>
        <v/>
      </c>
      <c r="C79" s="39" t="str">
        <f>IF('PRISM REPORT'!$B79&lt;&gt;"",'PRISM REPORT'!C79,"")</f>
        <v/>
      </c>
      <c r="D79" s="39" t="str">
        <f>IF('PRISM REPORT'!$B79&lt;&gt;"",'PRISM REPORT'!D79,"")</f>
        <v/>
      </c>
      <c r="E79" s="40" t="str">
        <f>IF('PRISM REPORT'!$B79&lt;&gt;"",'RAW DATA'!F79,"")</f>
        <v/>
      </c>
      <c r="F79" s="40" t="str">
        <f>IF('PRISM REPORT'!$B79&lt;&gt;"",IF('PRISM REPORT'!E79&lt;&gt;"",IF('PRISM REPORT'!E79&gt;0,'PRISM REPORT'!E79,0),0),"")</f>
        <v/>
      </c>
      <c r="G79" s="40" t="str">
        <f t="shared" si="2"/>
        <v/>
      </c>
      <c r="I79" s="40" t="str">
        <f t="shared" si="3"/>
        <v/>
      </c>
    </row>
    <row r="80" spans="2:9" x14ac:dyDescent="0.25">
      <c r="B80" s="39" t="str">
        <f>IF('PRISM REPORT'!$B80&lt;&gt;"",'PRISM REPORT'!B80,"")</f>
        <v/>
      </c>
      <c r="C80" s="39" t="str">
        <f>IF('PRISM REPORT'!$B80&lt;&gt;"",'PRISM REPORT'!C80,"")</f>
        <v/>
      </c>
      <c r="D80" s="39" t="str">
        <f>IF('PRISM REPORT'!$B80&lt;&gt;"",'PRISM REPORT'!D80,"")</f>
        <v/>
      </c>
      <c r="E80" s="40" t="str">
        <f>IF('PRISM REPORT'!$B80&lt;&gt;"",'RAW DATA'!F80,"")</f>
        <v/>
      </c>
      <c r="F80" s="40" t="str">
        <f>IF('PRISM REPORT'!$B80&lt;&gt;"",IF('PRISM REPORT'!E80&lt;&gt;"",IF('PRISM REPORT'!E80&gt;0,'PRISM REPORT'!E80,0),0),"")</f>
        <v/>
      </c>
      <c r="G80" s="40" t="str">
        <f t="shared" si="2"/>
        <v/>
      </c>
      <c r="I80" s="40" t="str">
        <f t="shared" si="3"/>
        <v/>
      </c>
    </row>
    <row r="81" spans="2:9" x14ac:dyDescent="0.25">
      <c r="B81" s="39" t="str">
        <f>IF('PRISM REPORT'!$B81&lt;&gt;"",'PRISM REPORT'!B81,"")</f>
        <v/>
      </c>
      <c r="C81" s="39" t="str">
        <f>IF('PRISM REPORT'!$B81&lt;&gt;"",'PRISM REPORT'!C81,"")</f>
        <v/>
      </c>
      <c r="D81" s="39" t="str">
        <f>IF('PRISM REPORT'!$B81&lt;&gt;"",'PRISM REPORT'!D81,"")</f>
        <v/>
      </c>
      <c r="E81" s="40" t="str">
        <f>IF('PRISM REPORT'!$B81&lt;&gt;"",'RAW DATA'!F81,"")</f>
        <v/>
      </c>
      <c r="F81" s="40" t="str">
        <f>IF('PRISM REPORT'!$B81&lt;&gt;"",IF('PRISM REPORT'!E81&lt;&gt;"",IF('PRISM REPORT'!E81&gt;0,'PRISM REPORT'!E81,0),0),"")</f>
        <v/>
      </c>
      <c r="G81" s="40" t="str">
        <f t="shared" si="2"/>
        <v/>
      </c>
      <c r="I81" s="40" t="str">
        <f t="shared" si="3"/>
        <v/>
      </c>
    </row>
    <row r="82" spans="2:9" x14ac:dyDescent="0.25">
      <c r="B82" s="39" t="str">
        <f>IF('PRISM REPORT'!$B82&lt;&gt;"",'PRISM REPORT'!B82,"")</f>
        <v/>
      </c>
      <c r="C82" s="39" t="str">
        <f>IF('PRISM REPORT'!$B82&lt;&gt;"",'PRISM REPORT'!C82,"")</f>
        <v/>
      </c>
      <c r="D82" s="39" t="str">
        <f>IF('PRISM REPORT'!$B82&lt;&gt;"",'PRISM REPORT'!D82,"")</f>
        <v/>
      </c>
      <c r="E82" s="40" t="str">
        <f>IF('PRISM REPORT'!$B82&lt;&gt;"",'RAW DATA'!F82,"")</f>
        <v/>
      </c>
      <c r="F82" s="40" t="str">
        <f>IF('PRISM REPORT'!$B82&lt;&gt;"",IF('PRISM REPORT'!E82&lt;&gt;"",IF('PRISM REPORT'!E82&gt;0,'PRISM REPORT'!E82,0),0),"")</f>
        <v/>
      </c>
      <c r="G82" s="40" t="str">
        <f t="shared" si="2"/>
        <v/>
      </c>
      <c r="I82" s="40" t="str">
        <f t="shared" si="3"/>
        <v/>
      </c>
    </row>
    <row r="83" spans="2:9" x14ac:dyDescent="0.25">
      <c r="B83" s="39" t="str">
        <f>IF('PRISM REPORT'!$B83&lt;&gt;"",'PRISM REPORT'!B83,"")</f>
        <v/>
      </c>
      <c r="C83" s="39" t="str">
        <f>IF('PRISM REPORT'!$B83&lt;&gt;"",'PRISM REPORT'!C83,"")</f>
        <v/>
      </c>
      <c r="D83" s="39" t="str">
        <f>IF('PRISM REPORT'!$B83&lt;&gt;"",'PRISM REPORT'!D83,"")</f>
        <v/>
      </c>
      <c r="E83" s="40" t="str">
        <f>IF('PRISM REPORT'!$B83&lt;&gt;"",'RAW DATA'!F83,"")</f>
        <v/>
      </c>
      <c r="F83" s="40" t="str">
        <f>IF('PRISM REPORT'!$B83&lt;&gt;"",IF('PRISM REPORT'!E83&lt;&gt;"",IF('PRISM REPORT'!E83&gt;0,'PRISM REPORT'!E83,0),0),"")</f>
        <v/>
      </c>
      <c r="G83" s="40" t="str">
        <f t="shared" si="2"/>
        <v/>
      </c>
      <c r="I83" s="40" t="str">
        <f t="shared" si="3"/>
        <v/>
      </c>
    </row>
    <row r="84" spans="2:9" x14ac:dyDescent="0.25">
      <c r="B84" s="39" t="str">
        <f>IF('PRISM REPORT'!$B84&lt;&gt;"",'PRISM REPORT'!B84,"")</f>
        <v/>
      </c>
      <c r="C84" s="39" t="str">
        <f>IF('PRISM REPORT'!$B84&lt;&gt;"",'PRISM REPORT'!C84,"")</f>
        <v/>
      </c>
      <c r="D84" s="39" t="str">
        <f>IF('PRISM REPORT'!$B84&lt;&gt;"",'PRISM REPORT'!D84,"")</f>
        <v/>
      </c>
      <c r="E84" s="40" t="str">
        <f>IF('PRISM REPORT'!$B84&lt;&gt;"",'RAW DATA'!F84,"")</f>
        <v/>
      </c>
      <c r="F84" s="40" t="str">
        <f>IF('PRISM REPORT'!$B84&lt;&gt;"",IF('PRISM REPORT'!E84&lt;&gt;"",IF('PRISM REPORT'!E84&gt;0,'PRISM REPORT'!E84,0),0),"")</f>
        <v/>
      </c>
      <c r="G84" s="40" t="str">
        <f t="shared" si="2"/>
        <v/>
      </c>
      <c r="I84" s="40" t="str">
        <f t="shared" si="3"/>
        <v/>
      </c>
    </row>
    <row r="85" spans="2:9" x14ac:dyDescent="0.25">
      <c r="B85" s="39" t="str">
        <f>IF('PRISM REPORT'!$B85&lt;&gt;"",'PRISM REPORT'!B85,"")</f>
        <v/>
      </c>
      <c r="C85" s="39" t="str">
        <f>IF('PRISM REPORT'!$B85&lt;&gt;"",'PRISM REPORT'!C85,"")</f>
        <v/>
      </c>
      <c r="D85" s="39" t="str">
        <f>IF('PRISM REPORT'!$B85&lt;&gt;"",'PRISM REPORT'!D85,"")</f>
        <v/>
      </c>
      <c r="E85" s="40" t="str">
        <f>IF('PRISM REPORT'!$B85&lt;&gt;"",'RAW DATA'!F85,"")</f>
        <v/>
      </c>
      <c r="F85" s="40" t="str">
        <f>IF('PRISM REPORT'!$B85&lt;&gt;"",IF('PRISM REPORT'!E85&lt;&gt;"",IF('PRISM REPORT'!E85&gt;0,'PRISM REPORT'!E85,0),0),"")</f>
        <v/>
      </c>
      <c r="G85" s="40" t="str">
        <f t="shared" si="2"/>
        <v/>
      </c>
      <c r="I85" s="40" t="str">
        <f t="shared" si="3"/>
        <v/>
      </c>
    </row>
    <row r="86" spans="2:9" x14ac:dyDescent="0.25">
      <c r="B86" s="39" t="str">
        <f>IF('PRISM REPORT'!$B86&lt;&gt;"",'PRISM REPORT'!B86,"")</f>
        <v/>
      </c>
      <c r="C86" s="39" t="str">
        <f>IF('PRISM REPORT'!$B86&lt;&gt;"",'PRISM REPORT'!C86,"")</f>
        <v/>
      </c>
      <c r="D86" s="39" t="str">
        <f>IF('PRISM REPORT'!$B86&lt;&gt;"",'PRISM REPORT'!D86,"")</f>
        <v/>
      </c>
      <c r="E86" s="40" t="str">
        <f>IF('PRISM REPORT'!$B86&lt;&gt;"",'RAW DATA'!F86,"")</f>
        <v/>
      </c>
      <c r="F86" s="40" t="str">
        <f>IF('PRISM REPORT'!$B86&lt;&gt;"",IF('PRISM REPORT'!E86&lt;&gt;"",IF('PRISM REPORT'!E86&gt;0,'PRISM REPORT'!E86,0),0),"")</f>
        <v/>
      </c>
      <c r="G86" s="40" t="str">
        <f t="shared" si="2"/>
        <v/>
      </c>
      <c r="I86" s="40" t="str">
        <f t="shared" si="3"/>
        <v/>
      </c>
    </row>
    <row r="87" spans="2:9" x14ac:dyDescent="0.25">
      <c r="B87" s="39" t="str">
        <f>IF('PRISM REPORT'!$B87&lt;&gt;"",'PRISM REPORT'!B87,"")</f>
        <v/>
      </c>
      <c r="C87" s="39" t="str">
        <f>IF('PRISM REPORT'!$B87&lt;&gt;"",'PRISM REPORT'!C87,"")</f>
        <v/>
      </c>
      <c r="D87" s="39" t="str">
        <f>IF('PRISM REPORT'!$B87&lt;&gt;"",'PRISM REPORT'!D87,"")</f>
        <v/>
      </c>
      <c r="E87" s="40" t="str">
        <f>IF('PRISM REPORT'!$B87&lt;&gt;"",'RAW DATA'!F87,"")</f>
        <v/>
      </c>
      <c r="F87" s="40" t="str">
        <f>IF('PRISM REPORT'!$B87&lt;&gt;"",IF('PRISM REPORT'!E87&lt;&gt;"",IF('PRISM REPORT'!E87&gt;0,'PRISM REPORT'!E87,0),0),"")</f>
        <v/>
      </c>
      <c r="G87" s="40" t="str">
        <f t="shared" si="2"/>
        <v/>
      </c>
      <c r="I87" s="40" t="str">
        <f t="shared" si="3"/>
        <v/>
      </c>
    </row>
    <row r="88" spans="2:9" x14ac:dyDescent="0.25">
      <c r="B88" s="39" t="str">
        <f>IF('PRISM REPORT'!$B88&lt;&gt;"",'PRISM REPORT'!B88,"")</f>
        <v/>
      </c>
      <c r="C88" s="39" t="str">
        <f>IF('PRISM REPORT'!$B88&lt;&gt;"",'PRISM REPORT'!C88,"")</f>
        <v/>
      </c>
      <c r="D88" s="39" t="str">
        <f>IF('PRISM REPORT'!$B88&lt;&gt;"",'PRISM REPORT'!D88,"")</f>
        <v/>
      </c>
      <c r="E88" s="40" t="str">
        <f>IF('PRISM REPORT'!$B88&lt;&gt;"",'RAW DATA'!F88,"")</f>
        <v/>
      </c>
      <c r="F88" s="40" t="str">
        <f>IF('PRISM REPORT'!$B88&lt;&gt;"",IF('PRISM REPORT'!E88&lt;&gt;"",IF('PRISM REPORT'!E88&gt;0,'PRISM REPORT'!E88,0),0),"")</f>
        <v/>
      </c>
      <c r="G88" s="40" t="str">
        <f t="shared" si="2"/>
        <v/>
      </c>
      <c r="I88" s="40" t="str">
        <f t="shared" si="3"/>
        <v/>
      </c>
    </row>
    <row r="89" spans="2:9" x14ac:dyDescent="0.25">
      <c r="B89" s="39" t="str">
        <f>IF('PRISM REPORT'!$B89&lt;&gt;"",'PRISM REPORT'!B89,"")</f>
        <v/>
      </c>
      <c r="C89" s="39" t="str">
        <f>IF('PRISM REPORT'!$B89&lt;&gt;"",'PRISM REPORT'!C89,"")</f>
        <v/>
      </c>
      <c r="D89" s="39" t="str">
        <f>IF('PRISM REPORT'!$B89&lt;&gt;"",'PRISM REPORT'!D89,"")</f>
        <v/>
      </c>
      <c r="E89" s="40" t="str">
        <f>IF('PRISM REPORT'!$B89&lt;&gt;"",'RAW DATA'!F89,"")</f>
        <v/>
      </c>
      <c r="F89" s="40" t="str">
        <f>IF('PRISM REPORT'!$B89&lt;&gt;"",IF('PRISM REPORT'!E89&lt;&gt;"",IF('PRISM REPORT'!E89&gt;0,'PRISM REPORT'!E89,0),0),"")</f>
        <v/>
      </c>
      <c r="G89" s="40" t="str">
        <f t="shared" si="2"/>
        <v/>
      </c>
      <c r="I89" s="40" t="str">
        <f t="shared" si="3"/>
        <v/>
      </c>
    </row>
    <row r="90" spans="2:9" x14ac:dyDescent="0.25">
      <c r="B90" s="39" t="str">
        <f>IF('PRISM REPORT'!$B90&lt;&gt;"",'PRISM REPORT'!B90,"")</f>
        <v/>
      </c>
      <c r="C90" s="39" t="str">
        <f>IF('PRISM REPORT'!$B90&lt;&gt;"",'PRISM REPORT'!C90,"")</f>
        <v/>
      </c>
      <c r="D90" s="39" t="str">
        <f>IF('PRISM REPORT'!$B90&lt;&gt;"",'PRISM REPORT'!D90,"")</f>
        <v/>
      </c>
      <c r="E90" s="40" t="str">
        <f>IF('PRISM REPORT'!$B90&lt;&gt;"",'RAW DATA'!F90,"")</f>
        <v/>
      </c>
      <c r="F90" s="40" t="str">
        <f>IF('PRISM REPORT'!$B90&lt;&gt;"",IF('PRISM REPORT'!E90&lt;&gt;"",IF('PRISM REPORT'!E90&gt;0,'PRISM REPORT'!E90,0),0),"")</f>
        <v/>
      </c>
      <c r="G90" s="40" t="str">
        <f t="shared" si="2"/>
        <v/>
      </c>
      <c r="I90" s="40" t="str">
        <f t="shared" si="3"/>
        <v/>
      </c>
    </row>
    <row r="91" spans="2:9" x14ac:dyDescent="0.25">
      <c r="B91" s="39" t="str">
        <f>IF('PRISM REPORT'!$B91&lt;&gt;"",'PRISM REPORT'!B91,"")</f>
        <v/>
      </c>
      <c r="C91" s="39" t="str">
        <f>IF('PRISM REPORT'!$B91&lt;&gt;"",'PRISM REPORT'!C91,"")</f>
        <v/>
      </c>
      <c r="D91" s="39" t="str">
        <f>IF('PRISM REPORT'!$B91&lt;&gt;"",'PRISM REPORT'!D91,"")</f>
        <v/>
      </c>
      <c r="E91" s="40" t="str">
        <f>IF('PRISM REPORT'!$B91&lt;&gt;"",'RAW DATA'!F91,"")</f>
        <v/>
      </c>
      <c r="F91" s="40" t="str">
        <f>IF('PRISM REPORT'!$B91&lt;&gt;"",IF('PRISM REPORT'!E91&lt;&gt;"",IF('PRISM REPORT'!E91&gt;0,'PRISM REPORT'!E91,0),0),"")</f>
        <v/>
      </c>
      <c r="G91" s="40" t="str">
        <f t="shared" si="2"/>
        <v/>
      </c>
      <c r="I91" s="40" t="str">
        <f t="shared" si="3"/>
        <v/>
      </c>
    </row>
    <row r="92" spans="2:9" x14ac:dyDescent="0.25">
      <c r="B92" s="39" t="str">
        <f>IF('PRISM REPORT'!$B92&lt;&gt;"",'PRISM REPORT'!B92,"")</f>
        <v/>
      </c>
      <c r="C92" s="39" t="str">
        <f>IF('PRISM REPORT'!$B92&lt;&gt;"",'PRISM REPORT'!C92,"")</f>
        <v/>
      </c>
      <c r="D92" s="39" t="str">
        <f>IF('PRISM REPORT'!$B92&lt;&gt;"",'PRISM REPORT'!D92,"")</f>
        <v/>
      </c>
      <c r="E92" s="40" t="str">
        <f>IF('PRISM REPORT'!$B92&lt;&gt;"",'RAW DATA'!F92,"")</f>
        <v/>
      </c>
      <c r="F92" s="40" t="str">
        <f>IF('PRISM REPORT'!$B92&lt;&gt;"",IF('PRISM REPORT'!E92&lt;&gt;"",IF('PRISM REPORT'!E92&gt;0,'PRISM REPORT'!E92,0),0),"")</f>
        <v/>
      </c>
      <c r="G92" s="40" t="str">
        <f t="shared" si="2"/>
        <v/>
      </c>
      <c r="I92" s="40" t="str">
        <f t="shared" si="3"/>
        <v/>
      </c>
    </row>
    <row r="93" spans="2:9" x14ac:dyDescent="0.25">
      <c r="B93" s="39" t="str">
        <f>IF('PRISM REPORT'!$B93&lt;&gt;"",'PRISM REPORT'!B93,"")</f>
        <v/>
      </c>
      <c r="C93" s="39" t="str">
        <f>IF('PRISM REPORT'!$B93&lt;&gt;"",'PRISM REPORT'!C93,"")</f>
        <v/>
      </c>
      <c r="D93" s="39" t="str">
        <f>IF('PRISM REPORT'!$B93&lt;&gt;"",'PRISM REPORT'!D93,"")</f>
        <v/>
      </c>
      <c r="E93" s="40" t="str">
        <f>IF('PRISM REPORT'!$B93&lt;&gt;"",'RAW DATA'!F93,"")</f>
        <v/>
      </c>
      <c r="F93" s="40" t="str">
        <f>IF('PRISM REPORT'!$B93&lt;&gt;"",IF('PRISM REPORT'!E93&lt;&gt;"",IF('PRISM REPORT'!E93&gt;0,'PRISM REPORT'!E93,0),0),"")</f>
        <v/>
      </c>
      <c r="G93" s="40" t="str">
        <f t="shared" si="2"/>
        <v/>
      </c>
      <c r="I93" s="40" t="str">
        <f t="shared" si="3"/>
        <v/>
      </c>
    </row>
    <row r="94" spans="2:9" x14ac:dyDescent="0.25">
      <c r="B94" s="39" t="str">
        <f>IF('PRISM REPORT'!$B94&lt;&gt;"",'PRISM REPORT'!B94,"")</f>
        <v/>
      </c>
      <c r="C94" s="39" t="str">
        <f>IF('PRISM REPORT'!$B94&lt;&gt;"",'PRISM REPORT'!C94,"")</f>
        <v/>
      </c>
      <c r="D94" s="39" t="str">
        <f>IF('PRISM REPORT'!$B94&lt;&gt;"",'PRISM REPORT'!D94,"")</f>
        <v/>
      </c>
      <c r="E94" s="40" t="str">
        <f>IF('PRISM REPORT'!$B94&lt;&gt;"",'RAW DATA'!F94,"")</f>
        <v/>
      </c>
      <c r="F94" s="40" t="str">
        <f>IF('PRISM REPORT'!$B94&lt;&gt;"",IF('PRISM REPORT'!E94&lt;&gt;"",IF('PRISM REPORT'!E94&gt;0,'PRISM REPORT'!E94,0),0),"")</f>
        <v/>
      </c>
      <c r="G94" s="40" t="str">
        <f t="shared" si="2"/>
        <v/>
      </c>
      <c r="I94" s="40" t="str">
        <f t="shared" si="3"/>
        <v/>
      </c>
    </row>
    <row r="95" spans="2:9" x14ac:dyDescent="0.25">
      <c r="B95" s="39" t="str">
        <f>IF('PRISM REPORT'!$B95&lt;&gt;"",'PRISM REPORT'!B95,"")</f>
        <v/>
      </c>
      <c r="C95" s="39" t="str">
        <f>IF('PRISM REPORT'!$B95&lt;&gt;"",'PRISM REPORT'!C95,"")</f>
        <v/>
      </c>
      <c r="D95" s="39" t="str">
        <f>IF('PRISM REPORT'!$B95&lt;&gt;"",'PRISM REPORT'!D95,"")</f>
        <v/>
      </c>
      <c r="E95" s="40" t="str">
        <f>IF('PRISM REPORT'!$B95&lt;&gt;"",'RAW DATA'!F95,"")</f>
        <v/>
      </c>
      <c r="F95" s="40" t="str">
        <f>IF('PRISM REPORT'!$B95&lt;&gt;"",IF('PRISM REPORT'!E95&lt;&gt;"",IF('PRISM REPORT'!E95&gt;0,'PRISM REPORT'!E95,0),0),"")</f>
        <v/>
      </c>
      <c r="G95" s="40" t="str">
        <f t="shared" si="2"/>
        <v/>
      </c>
      <c r="I95" s="40" t="str">
        <f t="shared" si="3"/>
        <v/>
      </c>
    </row>
    <row r="96" spans="2:9" x14ac:dyDescent="0.25">
      <c r="B96" s="39" t="str">
        <f>IF('PRISM REPORT'!$B96&lt;&gt;"",'PRISM REPORT'!B96,"")</f>
        <v/>
      </c>
      <c r="C96" s="39" t="str">
        <f>IF('PRISM REPORT'!$B96&lt;&gt;"",'PRISM REPORT'!C96,"")</f>
        <v/>
      </c>
      <c r="D96" s="39" t="str">
        <f>IF('PRISM REPORT'!$B96&lt;&gt;"",'PRISM REPORT'!D96,"")</f>
        <v/>
      </c>
      <c r="E96" s="40" t="str">
        <f>IF('PRISM REPORT'!$B96&lt;&gt;"",'RAW DATA'!F96,"")</f>
        <v/>
      </c>
      <c r="F96" s="40" t="str">
        <f>IF('PRISM REPORT'!$B96&lt;&gt;"",IF('PRISM REPORT'!E96&lt;&gt;"",IF('PRISM REPORT'!E96&gt;0,'PRISM REPORT'!E96,0),0),"")</f>
        <v/>
      </c>
      <c r="G96" s="40" t="str">
        <f t="shared" si="2"/>
        <v/>
      </c>
      <c r="I96" s="40" t="str">
        <f t="shared" si="3"/>
        <v/>
      </c>
    </row>
    <row r="97" spans="2:9" x14ac:dyDescent="0.25">
      <c r="B97" s="39" t="str">
        <f>IF('PRISM REPORT'!$B97&lt;&gt;"",'PRISM REPORT'!B97,"")</f>
        <v/>
      </c>
      <c r="C97" s="39" t="str">
        <f>IF('PRISM REPORT'!$B97&lt;&gt;"",'PRISM REPORT'!C97,"")</f>
        <v/>
      </c>
      <c r="D97" s="39" t="str">
        <f>IF('PRISM REPORT'!$B97&lt;&gt;"",'PRISM REPORT'!D97,"")</f>
        <v/>
      </c>
      <c r="E97" s="40" t="str">
        <f>IF('PRISM REPORT'!$B97&lt;&gt;"",'RAW DATA'!F97,"")</f>
        <v/>
      </c>
      <c r="F97" s="40" t="str">
        <f>IF('PRISM REPORT'!$B97&lt;&gt;"",IF('PRISM REPORT'!E97&lt;&gt;"",IF('PRISM REPORT'!E97&gt;0,'PRISM REPORT'!E97,0),0),"")</f>
        <v/>
      </c>
      <c r="G97" s="40" t="str">
        <f t="shared" si="2"/>
        <v/>
      </c>
      <c r="I97" s="40" t="str">
        <f t="shared" si="3"/>
        <v/>
      </c>
    </row>
    <row r="98" spans="2:9" x14ac:dyDescent="0.25">
      <c r="B98" s="39" t="str">
        <f>IF('PRISM REPORT'!$B98&lt;&gt;"",'PRISM REPORT'!B98,"")</f>
        <v/>
      </c>
      <c r="C98" s="39" t="str">
        <f>IF('PRISM REPORT'!$B98&lt;&gt;"",'PRISM REPORT'!C98,"")</f>
        <v/>
      </c>
      <c r="D98" s="39" t="str">
        <f>IF('PRISM REPORT'!$B98&lt;&gt;"",'PRISM REPORT'!D98,"")</f>
        <v/>
      </c>
      <c r="E98" s="40" t="str">
        <f>IF('PRISM REPORT'!$B98&lt;&gt;"",'RAW DATA'!F98,"")</f>
        <v/>
      </c>
      <c r="F98" s="40" t="str">
        <f>IF('PRISM REPORT'!$B98&lt;&gt;"",IF('PRISM REPORT'!E98&lt;&gt;"",IF('PRISM REPORT'!E98&gt;0,'PRISM REPORT'!E98,0),0),"")</f>
        <v/>
      </c>
      <c r="G98" s="40" t="str">
        <f t="shared" si="2"/>
        <v/>
      </c>
      <c r="I98" s="40" t="str">
        <f t="shared" si="3"/>
        <v/>
      </c>
    </row>
    <row r="99" spans="2:9" x14ac:dyDescent="0.25">
      <c r="B99" s="39" t="str">
        <f>IF('PRISM REPORT'!$B99&lt;&gt;"",'PRISM REPORT'!B99,"")</f>
        <v/>
      </c>
      <c r="C99" s="39" t="str">
        <f>IF('PRISM REPORT'!$B99&lt;&gt;"",'PRISM REPORT'!C99,"")</f>
        <v/>
      </c>
      <c r="D99" s="39" t="str">
        <f>IF('PRISM REPORT'!$B99&lt;&gt;"",'PRISM REPORT'!D99,"")</f>
        <v/>
      </c>
      <c r="E99" s="40" t="str">
        <f>IF('PRISM REPORT'!$B99&lt;&gt;"",'RAW DATA'!F99,"")</f>
        <v/>
      </c>
      <c r="F99" s="40" t="str">
        <f>IF('PRISM REPORT'!$B99&lt;&gt;"",IF('PRISM REPORT'!E99&lt;&gt;"",IF('PRISM REPORT'!E99&gt;0,'PRISM REPORT'!E99,0),0),"")</f>
        <v/>
      </c>
      <c r="G99" s="40" t="str">
        <f t="shared" si="2"/>
        <v/>
      </c>
      <c r="I99" s="40" t="str">
        <f t="shared" si="3"/>
        <v/>
      </c>
    </row>
    <row r="100" spans="2:9" x14ac:dyDescent="0.25">
      <c r="B100" s="39" t="str">
        <f>IF('PRISM REPORT'!$B100&lt;&gt;"",'PRISM REPORT'!B100,"")</f>
        <v/>
      </c>
      <c r="C100" s="39" t="str">
        <f>IF('PRISM REPORT'!$B100&lt;&gt;"",'PRISM REPORT'!C100,"")</f>
        <v/>
      </c>
      <c r="D100" s="39" t="str">
        <f>IF('PRISM REPORT'!$B100&lt;&gt;"",'PRISM REPORT'!D100,"")</f>
        <v/>
      </c>
      <c r="E100" s="40" t="str">
        <f>IF('PRISM REPORT'!$B100&lt;&gt;"",'RAW DATA'!F100,"")</f>
        <v/>
      </c>
      <c r="F100" s="40" t="str">
        <f>IF('PRISM REPORT'!$B100&lt;&gt;"",IF('PRISM REPORT'!E100&lt;&gt;"",IF('PRISM REPORT'!E100&gt;0,'PRISM REPORT'!E100,0),0),"")</f>
        <v/>
      </c>
      <c r="G100" s="40" t="str">
        <f t="shared" si="2"/>
        <v/>
      </c>
      <c r="I100" s="40" t="str">
        <f t="shared" si="3"/>
        <v/>
      </c>
    </row>
    <row r="101" spans="2:9" x14ac:dyDescent="0.25">
      <c r="B101" s="39" t="str">
        <f>IF('PRISM REPORT'!$B101&lt;&gt;"",'PRISM REPORT'!B101,"")</f>
        <v/>
      </c>
      <c r="C101" s="39" t="str">
        <f>IF('PRISM REPORT'!$B101&lt;&gt;"",'PRISM REPORT'!C101,"")</f>
        <v/>
      </c>
      <c r="D101" s="39" t="str">
        <f>IF('PRISM REPORT'!$B101&lt;&gt;"",'PRISM REPORT'!D101,"")</f>
        <v/>
      </c>
      <c r="E101" s="40" t="str">
        <f>IF('PRISM REPORT'!$B101&lt;&gt;"",'RAW DATA'!F101,"")</f>
        <v/>
      </c>
      <c r="F101" s="40" t="str">
        <f>IF('PRISM REPORT'!$B101&lt;&gt;"",IF('PRISM REPORT'!E101&lt;&gt;"",IF('PRISM REPORT'!E101&gt;0,'PRISM REPORT'!E101,0),0),"")</f>
        <v/>
      </c>
      <c r="G101" s="40" t="str">
        <f t="shared" si="2"/>
        <v/>
      </c>
      <c r="I101" s="40" t="str">
        <f t="shared" si="3"/>
        <v/>
      </c>
    </row>
    <row r="102" spans="2:9" x14ac:dyDescent="0.25">
      <c r="B102" s="39" t="str">
        <f>IF('PRISM REPORT'!$B102&lt;&gt;"",'PRISM REPORT'!B102,"")</f>
        <v/>
      </c>
      <c r="C102" s="39" t="str">
        <f>IF('PRISM REPORT'!$B102&lt;&gt;"",'PRISM REPORT'!C102,"")</f>
        <v/>
      </c>
      <c r="D102" s="39" t="str">
        <f>IF('PRISM REPORT'!$B102&lt;&gt;"",'PRISM REPORT'!D102,"")</f>
        <v/>
      </c>
      <c r="E102" s="40" t="str">
        <f>IF('PRISM REPORT'!$B102&lt;&gt;"",'RAW DATA'!F102,"")</f>
        <v/>
      </c>
      <c r="F102" s="40" t="str">
        <f>IF('PRISM REPORT'!$B102&lt;&gt;"",IF('PRISM REPORT'!E102&lt;&gt;"",IF('PRISM REPORT'!E102&gt;0,'PRISM REPORT'!E102,0),0),"")</f>
        <v/>
      </c>
      <c r="G102" s="40" t="str">
        <f t="shared" si="2"/>
        <v/>
      </c>
      <c r="I102" s="40" t="str">
        <f t="shared" si="3"/>
        <v/>
      </c>
    </row>
    <row r="103" spans="2:9" x14ac:dyDescent="0.25">
      <c r="B103" s="39" t="str">
        <f>IF('PRISM REPORT'!$B103&lt;&gt;"",'PRISM REPORT'!B103,"")</f>
        <v/>
      </c>
      <c r="C103" s="39" t="str">
        <f>IF('PRISM REPORT'!$B103&lt;&gt;"",'PRISM REPORT'!C103,"")</f>
        <v/>
      </c>
      <c r="D103" s="39" t="str">
        <f>IF('PRISM REPORT'!$B103&lt;&gt;"",'PRISM REPORT'!D103,"")</f>
        <v/>
      </c>
      <c r="E103" s="40" t="str">
        <f>IF('PRISM REPORT'!$B103&lt;&gt;"",'RAW DATA'!F103,"")</f>
        <v/>
      </c>
      <c r="F103" s="40" t="str">
        <f>IF('PRISM REPORT'!$B103&lt;&gt;"",IF('PRISM REPORT'!E103&lt;&gt;"",IF('PRISM REPORT'!E103&gt;0,'PRISM REPORT'!E103,0),0),"")</f>
        <v/>
      </c>
      <c r="G103" s="40" t="str">
        <f t="shared" si="2"/>
        <v/>
      </c>
      <c r="I103" s="40" t="str">
        <f t="shared" si="3"/>
        <v/>
      </c>
    </row>
    <row r="104" spans="2:9" x14ac:dyDescent="0.25">
      <c r="B104" s="39" t="str">
        <f>IF('PRISM REPORT'!$B104&lt;&gt;"",'PRISM REPORT'!B104,"")</f>
        <v/>
      </c>
      <c r="C104" s="39" t="str">
        <f>IF('PRISM REPORT'!$B104&lt;&gt;"",'PRISM REPORT'!C104,"")</f>
        <v/>
      </c>
      <c r="D104" s="39" t="str">
        <f>IF('PRISM REPORT'!$B104&lt;&gt;"",'PRISM REPORT'!D104,"")</f>
        <v/>
      </c>
      <c r="E104" s="40" t="str">
        <f>IF('PRISM REPORT'!$B104&lt;&gt;"",'RAW DATA'!F104,"")</f>
        <v/>
      </c>
      <c r="F104" s="40" t="str">
        <f>IF('PRISM REPORT'!$B104&lt;&gt;"",IF('PRISM REPORT'!E104&lt;&gt;"",IF('PRISM REPORT'!E104&gt;0,'PRISM REPORT'!E104,0),0),"")</f>
        <v/>
      </c>
      <c r="G104" s="40" t="str">
        <f t="shared" si="2"/>
        <v/>
      </c>
      <c r="I104" s="40" t="str">
        <f t="shared" si="3"/>
        <v/>
      </c>
    </row>
    <row r="105" spans="2:9" x14ac:dyDescent="0.25">
      <c r="B105" s="39" t="str">
        <f>IF('PRISM REPORT'!$B105&lt;&gt;"",'PRISM REPORT'!B105,"")</f>
        <v/>
      </c>
      <c r="C105" s="39" t="str">
        <f>IF('PRISM REPORT'!$B105&lt;&gt;"",'PRISM REPORT'!C105,"")</f>
        <v/>
      </c>
      <c r="D105" s="39" t="str">
        <f>IF('PRISM REPORT'!$B105&lt;&gt;"",'PRISM REPORT'!D105,"")</f>
        <v/>
      </c>
      <c r="E105" s="40" t="str">
        <f>IF('PRISM REPORT'!$B105&lt;&gt;"",'RAW DATA'!F105,"")</f>
        <v/>
      </c>
      <c r="F105" s="40" t="str">
        <f>IF('PRISM REPORT'!$B105&lt;&gt;"",IF('PRISM REPORT'!E105&lt;&gt;"",IF('PRISM REPORT'!E105&gt;0,'PRISM REPORT'!E105,0),0),"")</f>
        <v/>
      </c>
      <c r="G105" s="40" t="str">
        <f t="shared" si="2"/>
        <v/>
      </c>
      <c r="I105" s="40" t="str">
        <f t="shared" si="3"/>
        <v/>
      </c>
    </row>
    <row r="106" spans="2:9" x14ac:dyDescent="0.25">
      <c r="B106" s="39" t="str">
        <f>IF('PRISM REPORT'!$B106&lt;&gt;"",'PRISM REPORT'!B106,"")</f>
        <v/>
      </c>
      <c r="C106" s="39" t="str">
        <f>IF('PRISM REPORT'!$B106&lt;&gt;"",'PRISM REPORT'!C106,"")</f>
        <v/>
      </c>
      <c r="D106" s="39" t="str">
        <f>IF('PRISM REPORT'!$B106&lt;&gt;"",'PRISM REPORT'!D106,"")</f>
        <v/>
      </c>
      <c r="E106" s="40" t="str">
        <f>IF('PRISM REPORT'!$B106&lt;&gt;"",'RAW DATA'!F106,"")</f>
        <v/>
      </c>
      <c r="F106" s="40" t="str">
        <f>IF('PRISM REPORT'!$B106&lt;&gt;"",IF('PRISM REPORT'!E106&lt;&gt;"",IF('PRISM REPORT'!E106&gt;0,'PRISM REPORT'!E106,0),0),"")</f>
        <v/>
      </c>
      <c r="G106" s="40" t="str">
        <f t="shared" si="2"/>
        <v/>
      </c>
      <c r="I106" s="40" t="str">
        <f t="shared" si="3"/>
        <v/>
      </c>
    </row>
    <row r="107" spans="2:9" x14ac:dyDescent="0.25">
      <c r="B107" s="39" t="str">
        <f>IF('PRISM REPORT'!$B107&lt;&gt;"",'PRISM REPORT'!B107,"")</f>
        <v/>
      </c>
      <c r="C107" s="39" t="str">
        <f>IF('PRISM REPORT'!$B107&lt;&gt;"",'PRISM REPORT'!C107,"")</f>
        <v/>
      </c>
      <c r="D107" s="39" t="str">
        <f>IF('PRISM REPORT'!$B107&lt;&gt;"",'PRISM REPORT'!D107,"")</f>
        <v/>
      </c>
      <c r="E107" s="40" t="str">
        <f>IF('PRISM REPORT'!$B107&lt;&gt;"",'RAW DATA'!F107,"")</f>
        <v/>
      </c>
      <c r="F107" s="40" t="str">
        <f>IF('PRISM REPORT'!$B107&lt;&gt;"",IF('PRISM REPORT'!E107&lt;&gt;"",IF('PRISM REPORT'!E107&gt;0,'PRISM REPORT'!E107,0),0),"")</f>
        <v/>
      </c>
      <c r="G107" s="40" t="str">
        <f t="shared" si="2"/>
        <v/>
      </c>
      <c r="I107" s="40" t="str">
        <f t="shared" si="3"/>
        <v/>
      </c>
    </row>
    <row r="108" spans="2:9" x14ac:dyDescent="0.25">
      <c r="B108" s="39" t="str">
        <f>IF('PRISM REPORT'!$B108&lt;&gt;"",'PRISM REPORT'!B108,"")</f>
        <v/>
      </c>
      <c r="C108" s="39" t="str">
        <f>IF('PRISM REPORT'!$B108&lt;&gt;"",'PRISM REPORT'!C108,"")</f>
        <v/>
      </c>
      <c r="D108" s="39" t="str">
        <f>IF('PRISM REPORT'!$B108&lt;&gt;"",'PRISM REPORT'!D108,"")</f>
        <v/>
      </c>
      <c r="E108" s="40" t="str">
        <f>IF('PRISM REPORT'!$B108&lt;&gt;"",'RAW DATA'!F108,"")</f>
        <v/>
      </c>
      <c r="F108" s="40" t="str">
        <f>IF('PRISM REPORT'!$B108&lt;&gt;"",IF('PRISM REPORT'!E108&lt;&gt;"",IF('PRISM REPORT'!E108&gt;0,'PRISM REPORT'!E108,0),0),"")</f>
        <v/>
      </c>
      <c r="G108" s="40" t="str">
        <f t="shared" si="2"/>
        <v/>
      </c>
      <c r="I108" s="40" t="str">
        <f t="shared" si="3"/>
        <v/>
      </c>
    </row>
    <row r="109" spans="2:9" x14ac:dyDescent="0.25">
      <c r="B109" s="39" t="str">
        <f>IF('PRISM REPORT'!$B109&lt;&gt;"",'PRISM REPORT'!B109,"")</f>
        <v/>
      </c>
      <c r="C109" s="39" t="str">
        <f>IF('PRISM REPORT'!$B109&lt;&gt;"",'PRISM REPORT'!C109,"")</f>
        <v/>
      </c>
      <c r="D109" s="39" t="str">
        <f>IF('PRISM REPORT'!$B109&lt;&gt;"",'PRISM REPORT'!D109,"")</f>
        <v/>
      </c>
      <c r="E109" s="40" t="str">
        <f>IF('PRISM REPORT'!$B109&lt;&gt;"",'RAW DATA'!F109,"")</f>
        <v/>
      </c>
      <c r="F109" s="40" t="str">
        <f>IF('PRISM REPORT'!$B109&lt;&gt;"",IF('PRISM REPORT'!E109&lt;&gt;"",IF('PRISM REPORT'!E109&gt;0,'PRISM REPORT'!E109,0),0),"")</f>
        <v/>
      </c>
      <c r="G109" s="40" t="str">
        <f t="shared" si="2"/>
        <v/>
      </c>
      <c r="I109" s="40" t="str">
        <f t="shared" si="3"/>
        <v/>
      </c>
    </row>
    <row r="110" spans="2:9" x14ac:dyDescent="0.25">
      <c r="B110" s="39" t="str">
        <f>IF('PRISM REPORT'!$B110&lt;&gt;"",'PRISM REPORT'!B110,"")</f>
        <v/>
      </c>
      <c r="C110" s="39" t="str">
        <f>IF('PRISM REPORT'!$B110&lt;&gt;"",'PRISM REPORT'!C110,"")</f>
        <v/>
      </c>
      <c r="D110" s="39" t="str">
        <f>IF('PRISM REPORT'!$B110&lt;&gt;"",'PRISM REPORT'!D110,"")</f>
        <v/>
      </c>
      <c r="E110" s="40" t="str">
        <f>IF('PRISM REPORT'!$B110&lt;&gt;"",'RAW DATA'!F110,"")</f>
        <v/>
      </c>
      <c r="F110" s="40" t="str">
        <f>IF('PRISM REPORT'!$B110&lt;&gt;"",IF('PRISM REPORT'!E110&lt;&gt;"",IF('PRISM REPORT'!E110&gt;0,'PRISM REPORT'!E110,0),0),"")</f>
        <v/>
      </c>
      <c r="G110" s="40" t="str">
        <f t="shared" si="2"/>
        <v/>
      </c>
      <c r="I110" s="40" t="str">
        <f t="shared" si="3"/>
        <v/>
      </c>
    </row>
    <row r="111" spans="2:9" x14ac:dyDescent="0.25">
      <c r="B111" s="39" t="str">
        <f>IF('PRISM REPORT'!$B111&lt;&gt;"",'PRISM REPORT'!B111,"")</f>
        <v/>
      </c>
      <c r="C111" s="39" t="str">
        <f>IF('PRISM REPORT'!$B111&lt;&gt;"",'PRISM REPORT'!C111,"")</f>
        <v/>
      </c>
      <c r="D111" s="39" t="str">
        <f>IF('PRISM REPORT'!$B111&lt;&gt;"",'PRISM REPORT'!D111,"")</f>
        <v/>
      </c>
      <c r="E111" s="40" t="str">
        <f>IF('PRISM REPORT'!$B111&lt;&gt;"",'RAW DATA'!F111,"")</f>
        <v/>
      </c>
      <c r="F111" s="40" t="str">
        <f>IF('PRISM REPORT'!$B111&lt;&gt;"",IF('PRISM REPORT'!E111&lt;&gt;"",IF('PRISM REPORT'!E111&gt;0,'PRISM REPORT'!E111,0),0),"")</f>
        <v/>
      </c>
      <c r="G111" s="40" t="str">
        <f t="shared" si="2"/>
        <v/>
      </c>
      <c r="I111" s="40" t="str">
        <f t="shared" si="3"/>
        <v/>
      </c>
    </row>
    <row r="112" spans="2:9" x14ac:dyDescent="0.25">
      <c r="B112" s="39" t="str">
        <f>IF('PRISM REPORT'!$B112&lt;&gt;"",'PRISM REPORT'!B112,"")</f>
        <v/>
      </c>
      <c r="C112" s="39" t="str">
        <f>IF('PRISM REPORT'!$B112&lt;&gt;"",'PRISM REPORT'!C112,"")</f>
        <v/>
      </c>
      <c r="D112" s="39" t="str">
        <f>IF('PRISM REPORT'!$B112&lt;&gt;"",'PRISM REPORT'!D112,"")</f>
        <v/>
      </c>
      <c r="E112" s="40" t="str">
        <f>IF('PRISM REPORT'!$B112&lt;&gt;"",'RAW DATA'!F112,"")</f>
        <v/>
      </c>
      <c r="F112" s="40" t="str">
        <f>IF('PRISM REPORT'!$B112&lt;&gt;"",IF('PRISM REPORT'!E112&lt;&gt;"",IF('PRISM REPORT'!E112&gt;0,'PRISM REPORT'!E112,0),0),"")</f>
        <v/>
      </c>
      <c r="G112" s="40" t="str">
        <f t="shared" si="2"/>
        <v/>
      </c>
      <c r="I112" s="40" t="str">
        <f t="shared" si="3"/>
        <v/>
      </c>
    </row>
    <row r="113" spans="2:9" x14ac:dyDescent="0.25">
      <c r="B113" s="39" t="str">
        <f>IF('PRISM REPORT'!$B113&lt;&gt;"",'PRISM REPORT'!B113,"")</f>
        <v/>
      </c>
      <c r="C113" s="39" t="str">
        <f>IF('PRISM REPORT'!$B113&lt;&gt;"",'PRISM REPORT'!C113,"")</f>
        <v/>
      </c>
      <c r="D113" s="39" t="str">
        <f>IF('PRISM REPORT'!$B113&lt;&gt;"",'PRISM REPORT'!D113,"")</f>
        <v/>
      </c>
      <c r="E113" s="40" t="str">
        <f>IF('PRISM REPORT'!$B113&lt;&gt;"",'RAW DATA'!F113,"")</f>
        <v/>
      </c>
      <c r="F113" s="40" t="str">
        <f>IF('PRISM REPORT'!$B113&lt;&gt;"",IF('PRISM REPORT'!E113&lt;&gt;"",IF('PRISM REPORT'!E113&gt;0,'PRISM REPORT'!E113,0),0),"")</f>
        <v/>
      </c>
      <c r="G113" s="40" t="str">
        <f t="shared" si="2"/>
        <v/>
      </c>
      <c r="I113" s="40" t="str">
        <f t="shared" si="3"/>
        <v/>
      </c>
    </row>
    <row r="114" spans="2:9" x14ac:dyDescent="0.25">
      <c r="B114" s="39" t="str">
        <f>IF('PRISM REPORT'!$B114&lt;&gt;"",'PRISM REPORT'!B114,"")</f>
        <v/>
      </c>
      <c r="C114" s="39" t="str">
        <f>IF('PRISM REPORT'!$B114&lt;&gt;"",'PRISM REPORT'!C114,"")</f>
        <v/>
      </c>
      <c r="D114" s="39" t="str">
        <f>IF('PRISM REPORT'!$B114&lt;&gt;"",'PRISM REPORT'!D114,"")</f>
        <v/>
      </c>
      <c r="E114" s="40" t="str">
        <f>IF('PRISM REPORT'!$B114&lt;&gt;"",'RAW DATA'!F114,"")</f>
        <v/>
      </c>
      <c r="F114" s="40" t="str">
        <f>IF('PRISM REPORT'!$B114&lt;&gt;"",IF('PRISM REPORT'!E114&lt;&gt;"",IF('PRISM REPORT'!E114&gt;0,'PRISM REPORT'!E114,0),0),"")</f>
        <v/>
      </c>
      <c r="G114" s="40" t="str">
        <f t="shared" si="2"/>
        <v/>
      </c>
      <c r="I114" s="40" t="str">
        <f t="shared" si="3"/>
        <v/>
      </c>
    </row>
    <row r="115" spans="2:9" x14ac:dyDescent="0.25">
      <c r="B115" s="39" t="str">
        <f>IF('PRISM REPORT'!$B115&lt;&gt;"",'PRISM REPORT'!B115,"")</f>
        <v/>
      </c>
      <c r="C115" s="39" t="str">
        <f>IF('PRISM REPORT'!$B115&lt;&gt;"",'PRISM REPORT'!C115,"")</f>
        <v/>
      </c>
      <c r="D115" s="39" t="str">
        <f>IF('PRISM REPORT'!$B115&lt;&gt;"",'PRISM REPORT'!D115,"")</f>
        <v/>
      </c>
      <c r="E115" s="40" t="str">
        <f>IF('PRISM REPORT'!$B115&lt;&gt;"",'RAW DATA'!F115,"")</f>
        <v/>
      </c>
      <c r="F115" s="40" t="str">
        <f>IF('PRISM REPORT'!$B115&lt;&gt;"",IF('PRISM REPORT'!E115&lt;&gt;"",IF('PRISM REPORT'!E115&gt;0,'PRISM REPORT'!E115,0),0),"")</f>
        <v/>
      </c>
      <c r="G115" s="40" t="str">
        <f t="shared" si="2"/>
        <v/>
      </c>
      <c r="I115" s="40" t="str">
        <f t="shared" si="3"/>
        <v/>
      </c>
    </row>
    <row r="116" spans="2:9" x14ac:dyDescent="0.25">
      <c r="B116" s="39" t="str">
        <f>IF('PRISM REPORT'!$B116&lt;&gt;"",'PRISM REPORT'!B116,"")</f>
        <v/>
      </c>
      <c r="C116" s="39" t="str">
        <f>IF('PRISM REPORT'!$B116&lt;&gt;"",'PRISM REPORT'!C116,"")</f>
        <v/>
      </c>
      <c r="D116" s="39" t="str">
        <f>IF('PRISM REPORT'!$B116&lt;&gt;"",'PRISM REPORT'!D116,"")</f>
        <v/>
      </c>
      <c r="E116" s="40" t="str">
        <f>IF('PRISM REPORT'!$B116&lt;&gt;"",'RAW DATA'!F116,"")</f>
        <v/>
      </c>
      <c r="F116" s="40" t="str">
        <f>IF('PRISM REPORT'!$B116&lt;&gt;"",IF('PRISM REPORT'!E116&lt;&gt;"",IF('PRISM REPORT'!E116&gt;0,'PRISM REPORT'!E116,0),0),"")</f>
        <v/>
      </c>
      <c r="G116" s="40" t="str">
        <f t="shared" si="2"/>
        <v/>
      </c>
      <c r="I116" s="40" t="str">
        <f t="shared" si="3"/>
        <v/>
      </c>
    </row>
    <row r="117" spans="2:9" x14ac:dyDescent="0.25">
      <c r="B117" s="39" t="str">
        <f>IF('PRISM REPORT'!$B117&lt;&gt;"",'PRISM REPORT'!B117,"")</f>
        <v/>
      </c>
      <c r="C117" s="39" t="str">
        <f>IF('PRISM REPORT'!$B117&lt;&gt;"",'PRISM REPORT'!C117,"")</f>
        <v/>
      </c>
      <c r="D117" s="39" t="str">
        <f>IF('PRISM REPORT'!$B117&lt;&gt;"",'PRISM REPORT'!D117,"")</f>
        <v/>
      </c>
      <c r="E117" s="40" t="str">
        <f>IF('PRISM REPORT'!$B117&lt;&gt;"",'RAW DATA'!F117,"")</f>
        <v/>
      </c>
      <c r="F117" s="40" t="str">
        <f>IF('PRISM REPORT'!$B117&lt;&gt;"",IF('PRISM REPORT'!E117&lt;&gt;"",IF('PRISM REPORT'!E117&gt;0,'PRISM REPORT'!E117,0),0),"")</f>
        <v/>
      </c>
      <c r="G117" s="40" t="str">
        <f t="shared" si="2"/>
        <v/>
      </c>
      <c r="I117" s="40" t="str">
        <f t="shared" si="3"/>
        <v/>
      </c>
    </row>
    <row r="118" spans="2:9" x14ac:dyDescent="0.25">
      <c r="B118" s="39" t="str">
        <f>IF('PRISM REPORT'!$B118&lt;&gt;"",'PRISM REPORT'!B118,"")</f>
        <v/>
      </c>
      <c r="C118" s="39" t="str">
        <f>IF('PRISM REPORT'!$B118&lt;&gt;"",'PRISM REPORT'!C118,"")</f>
        <v/>
      </c>
      <c r="D118" s="39" t="str">
        <f>IF('PRISM REPORT'!$B118&lt;&gt;"",'PRISM REPORT'!D118,"")</f>
        <v/>
      </c>
      <c r="E118" s="40" t="str">
        <f>IF('PRISM REPORT'!$B118&lt;&gt;"",'RAW DATA'!F118,"")</f>
        <v/>
      </c>
      <c r="F118" s="40" t="str">
        <f>IF('PRISM REPORT'!$B118&lt;&gt;"",IF('PRISM REPORT'!E118&lt;&gt;"",IF('PRISM REPORT'!E118&gt;0,'PRISM REPORT'!E118,0),0),"")</f>
        <v/>
      </c>
      <c r="G118" s="40" t="str">
        <f t="shared" si="2"/>
        <v/>
      </c>
      <c r="I118" s="40" t="str">
        <f t="shared" si="3"/>
        <v/>
      </c>
    </row>
    <row r="119" spans="2:9" x14ac:dyDescent="0.25">
      <c r="B119" s="39" t="str">
        <f>IF('PRISM REPORT'!$B119&lt;&gt;"",'PRISM REPORT'!B119,"")</f>
        <v/>
      </c>
      <c r="C119" s="39" t="str">
        <f>IF('PRISM REPORT'!$B119&lt;&gt;"",'PRISM REPORT'!C119,"")</f>
        <v/>
      </c>
      <c r="D119" s="39" t="str">
        <f>IF('PRISM REPORT'!$B119&lt;&gt;"",'PRISM REPORT'!D119,"")</f>
        <v/>
      </c>
      <c r="E119" s="40" t="str">
        <f>IF('PRISM REPORT'!$B119&lt;&gt;"",'RAW DATA'!F119,"")</f>
        <v/>
      </c>
      <c r="F119" s="40" t="str">
        <f>IF('PRISM REPORT'!$B119&lt;&gt;"",IF('PRISM REPORT'!E119&lt;&gt;"",IF('PRISM REPORT'!E119&gt;0,'PRISM REPORT'!E119,0),0),"")</f>
        <v/>
      </c>
      <c r="G119" s="40" t="str">
        <f t="shared" si="2"/>
        <v/>
      </c>
      <c r="I119" s="40" t="str">
        <f t="shared" si="3"/>
        <v/>
      </c>
    </row>
    <row r="120" spans="2:9" x14ac:dyDescent="0.25">
      <c r="B120" s="39" t="str">
        <f>IF('PRISM REPORT'!$B120&lt;&gt;"",'PRISM REPORT'!B120,"")</f>
        <v/>
      </c>
      <c r="C120" s="39" t="str">
        <f>IF('PRISM REPORT'!$B120&lt;&gt;"",'PRISM REPORT'!C120,"")</f>
        <v/>
      </c>
      <c r="D120" s="39" t="str">
        <f>IF('PRISM REPORT'!$B120&lt;&gt;"",'PRISM REPORT'!D120,"")</f>
        <v/>
      </c>
      <c r="E120" s="40" t="str">
        <f>IF('PRISM REPORT'!$B120&lt;&gt;"",'RAW DATA'!F120,"")</f>
        <v/>
      </c>
      <c r="F120" s="40" t="str">
        <f>IF('PRISM REPORT'!$B120&lt;&gt;"",IF('PRISM REPORT'!E120&lt;&gt;"",IF('PRISM REPORT'!E120&gt;0,'PRISM REPORT'!E120,0),0),"")</f>
        <v/>
      </c>
      <c r="G120" s="40" t="str">
        <f t="shared" si="2"/>
        <v/>
      </c>
      <c r="I120" s="40" t="str">
        <f t="shared" si="3"/>
        <v/>
      </c>
    </row>
    <row r="121" spans="2:9" x14ac:dyDescent="0.25">
      <c r="B121" s="39" t="str">
        <f>IF('PRISM REPORT'!$B121&lt;&gt;"",'PRISM REPORT'!B121,"")</f>
        <v/>
      </c>
      <c r="C121" s="39" t="str">
        <f>IF('PRISM REPORT'!$B121&lt;&gt;"",'PRISM REPORT'!C121,"")</f>
        <v/>
      </c>
      <c r="D121" s="39" t="str">
        <f>IF('PRISM REPORT'!$B121&lt;&gt;"",'PRISM REPORT'!D121,"")</f>
        <v/>
      </c>
      <c r="E121" s="40" t="str">
        <f>IF('PRISM REPORT'!$B121&lt;&gt;"",'RAW DATA'!F121,"")</f>
        <v/>
      </c>
      <c r="F121" s="40" t="str">
        <f>IF('PRISM REPORT'!$B121&lt;&gt;"",IF('PRISM REPORT'!E121&lt;&gt;"",IF('PRISM REPORT'!E121&gt;0,'PRISM REPORT'!E121,0),0),"")</f>
        <v/>
      </c>
      <c r="G121" s="40" t="str">
        <f t="shared" si="2"/>
        <v/>
      </c>
      <c r="I121" s="40" t="str">
        <f t="shared" si="3"/>
        <v/>
      </c>
    </row>
    <row r="122" spans="2:9" x14ac:dyDescent="0.25">
      <c r="B122" s="39" t="str">
        <f>IF('PRISM REPORT'!$B122&lt;&gt;"",'PRISM REPORT'!B122,"")</f>
        <v/>
      </c>
      <c r="C122" s="39" t="str">
        <f>IF('PRISM REPORT'!$B122&lt;&gt;"",'PRISM REPORT'!C122,"")</f>
        <v/>
      </c>
      <c r="D122" s="39" t="str">
        <f>IF('PRISM REPORT'!$B122&lt;&gt;"",'PRISM REPORT'!D122,"")</f>
        <v/>
      </c>
      <c r="E122" s="40" t="str">
        <f>IF('PRISM REPORT'!$B122&lt;&gt;"",'RAW DATA'!F122,"")</f>
        <v/>
      </c>
      <c r="F122" s="40" t="str">
        <f>IF('PRISM REPORT'!$B122&lt;&gt;"",IF('PRISM REPORT'!E122&lt;&gt;"",IF('PRISM REPORT'!E122&gt;0,'PRISM REPORT'!E122,0),0),"")</f>
        <v/>
      </c>
      <c r="G122" s="40" t="str">
        <f t="shared" si="2"/>
        <v/>
      </c>
      <c r="I122" s="40" t="str">
        <f t="shared" si="3"/>
        <v/>
      </c>
    </row>
    <row r="123" spans="2:9" x14ac:dyDescent="0.25">
      <c r="B123" s="39" t="str">
        <f>IF('PRISM REPORT'!$B123&lt;&gt;"",'PRISM REPORT'!B123,"")</f>
        <v/>
      </c>
      <c r="C123" s="39" t="str">
        <f>IF('PRISM REPORT'!$B123&lt;&gt;"",'PRISM REPORT'!C123,"")</f>
        <v/>
      </c>
      <c r="D123" s="39" t="str">
        <f>IF('PRISM REPORT'!$B123&lt;&gt;"",'PRISM REPORT'!D123,"")</f>
        <v/>
      </c>
      <c r="E123" s="40" t="str">
        <f>IF('PRISM REPORT'!$B123&lt;&gt;"",'RAW DATA'!F123,"")</f>
        <v/>
      </c>
      <c r="F123" s="40" t="str">
        <f>IF('PRISM REPORT'!$B123&lt;&gt;"",IF('PRISM REPORT'!E123&lt;&gt;"",IF('PRISM REPORT'!E123&gt;0,'PRISM REPORT'!E123,0),0),"")</f>
        <v/>
      </c>
      <c r="G123" s="40" t="str">
        <f t="shared" si="2"/>
        <v/>
      </c>
      <c r="I123" s="40" t="str">
        <f t="shared" si="3"/>
        <v/>
      </c>
    </row>
    <row r="124" spans="2:9" x14ac:dyDescent="0.25">
      <c r="B124" s="39" t="str">
        <f>IF('PRISM REPORT'!$B124&lt;&gt;"",'PRISM REPORT'!B124,"")</f>
        <v/>
      </c>
      <c r="C124" s="39" t="str">
        <f>IF('PRISM REPORT'!$B124&lt;&gt;"",'PRISM REPORT'!C124,"")</f>
        <v/>
      </c>
      <c r="D124" s="39" t="str">
        <f>IF('PRISM REPORT'!$B124&lt;&gt;"",'PRISM REPORT'!D124,"")</f>
        <v/>
      </c>
      <c r="E124" s="40" t="str">
        <f>IF('PRISM REPORT'!$B124&lt;&gt;"",'RAW DATA'!F124,"")</f>
        <v/>
      </c>
      <c r="F124" s="40" t="str">
        <f>IF('PRISM REPORT'!$B124&lt;&gt;"",IF('PRISM REPORT'!E124&lt;&gt;"",IF('PRISM REPORT'!E124&gt;0,'PRISM REPORT'!E124,0),0),"")</f>
        <v/>
      </c>
      <c r="G124" s="40" t="str">
        <f t="shared" si="2"/>
        <v/>
      </c>
      <c r="I124" s="40" t="str">
        <f t="shared" si="3"/>
        <v/>
      </c>
    </row>
    <row r="125" spans="2:9" x14ac:dyDescent="0.25">
      <c r="B125" s="39" t="str">
        <f>IF('PRISM REPORT'!$B125&lt;&gt;"",'PRISM REPORT'!B125,"")</f>
        <v/>
      </c>
      <c r="C125" s="39" t="str">
        <f>IF('PRISM REPORT'!$B125&lt;&gt;"",'PRISM REPORT'!C125,"")</f>
        <v/>
      </c>
      <c r="D125" s="39" t="str">
        <f>IF('PRISM REPORT'!$B125&lt;&gt;"",'PRISM REPORT'!D125,"")</f>
        <v/>
      </c>
      <c r="E125" s="40" t="str">
        <f>IF('PRISM REPORT'!$B125&lt;&gt;"",'RAW DATA'!F125,"")</f>
        <v/>
      </c>
      <c r="F125" s="40" t="str">
        <f>IF('PRISM REPORT'!$B125&lt;&gt;"",IF('PRISM REPORT'!E125&lt;&gt;"",IF('PRISM REPORT'!E125&gt;0,'PRISM REPORT'!E125,0),0),"")</f>
        <v/>
      </c>
      <c r="G125" s="40" t="str">
        <f t="shared" si="2"/>
        <v/>
      </c>
      <c r="I125" s="40" t="str">
        <f t="shared" si="3"/>
        <v/>
      </c>
    </row>
    <row r="126" spans="2:9" x14ac:dyDescent="0.25">
      <c r="B126" s="39" t="str">
        <f>IF('PRISM REPORT'!$B126&lt;&gt;"",'PRISM REPORT'!B126,"")</f>
        <v/>
      </c>
      <c r="C126" s="39" t="str">
        <f>IF('PRISM REPORT'!$B126&lt;&gt;"",'PRISM REPORT'!C126,"")</f>
        <v/>
      </c>
      <c r="D126" s="39" t="str">
        <f>IF('PRISM REPORT'!$B126&lt;&gt;"",'PRISM REPORT'!D126,"")</f>
        <v/>
      </c>
      <c r="E126" s="40" t="str">
        <f>IF('PRISM REPORT'!$B126&lt;&gt;"",'RAW DATA'!F126,"")</f>
        <v/>
      </c>
      <c r="F126" s="40" t="str">
        <f>IF('PRISM REPORT'!$B126&lt;&gt;"",IF('PRISM REPORT'!E126&lt;&gt;"",IF('PRISM REPORT'!E126&gt;0,'PRISM REPORT'!E126,0),0),"")</f>
        <v/>
      </c>
      <c r="G126" s="40" t="str">
        <f t="shared" si="2"/>
        <v/>
      </c>
      <c r="I126" s="40" t="str">
        <f t="shared" si="3"/>
        <v/>
      </c>
    </row>
    <row r="127" spans="2:9" x14ac:dyDescent="0.25">
      <c r="B127" s="39" t="str">
        <f>IF('PRISM REPORT'!$B127&lt;&gt;"",'PRISM REPORT'!B127,"")</f>
        <v/>
      </c>
      <c r="C127" s="39" t="str">
        <f>IF('PRISM REPORT'!$B127&lt;&gt;"",'PRISM REPORT'!C127,"")</f>
        <v/>
      </c>
      <c r="D127" s="39" t="str">
        <f>IF('PRISM REPORT'!$B127&lt;&gt;"",'PRISM REPORT'!D127,"")</f>
        <v/>
      </c>
      <c r="E127" s="40" t="str">
        <f>IF('PRISM REPORT'!$B127&lt;&gt;"",'RAW DATA'!F127,"")</f>
        <v/>
      </c>
      <c r="F127" s="40" t="str">
        <f>IF('PRISM REPORT'!$B127&lt;&gt;"",IF('PRISM REPORT'!E127&lt;&gt;"",IF('PRISM REPORT'!E127&gt;0,'PRISM REPORT'!E127,0),0),"")</f>
        <v/>
      </c>
      <c r="G127" s="40" t="str">
        <f t="shared" si="2"/>
        <v/>
      </c>
      <c r="I127" s="40" t="str">
        <f t="shared" si="3"/>
        <v/>
      </c>
    </row>
    <row r="128" spans="2:9" x14ac:dyDescent="0.25">
      <c r="B128" s="39" t="str">
        <f>IF('PRISM REPORT'!$B128&lt;&gt;"",'PRISM REPORT'!B128,"")</f>
        <v/>
      </c>
      <c r="C128" s="39" t="str">
        <f>IF('PRISM REPORT'!$B128&lt;&gt;"",'PRISM REPORT'!C128,"")</f>
        <v/>
      </c>
      <c r="D128" s="39" t="str">
        <f>IF('PRISM REPORT'!$B128&lt;&gt;"",'PRISM REPORT'!D128,"")</f>
        <v/>
      </c>
      <c r="E128" s="40" t="str">
        <f>IF('PRISM REPORT'!$B128&lt;&gt;"",'RAW DATA'!F128,"")</f>
        <v/>
      </c>
      <c r="F128" s="40" t="str">
        <f>IF('PRISM REPORT'!$B128&lt;&gt;"",IF('PRISM REPORT'!E128&lt;&gt;"",IF('PRISM REPORT'!E128&gt;0,'PRISM REPORT'!E128,0),0),"")</f>
        <v/>
      </c>
      <c r="G128" s="40" t="str">
        <f t="shared" si="2"/>
        <v/>
      </c>
      <c r="I128" s="40" t="str">
        <f t="shared" si="3"/>
        <v/>
      </c>
    </row>
    <row r="129" spans="2:9" x14ac:dyDescent="0.25">
      <c r="B129" s="39" t="str">
        <f>IF('PRISM REPORT'!$B129&lt;&gt;"",'PRISM REPORT'!B129,"")</f>
        <v/>
      </c>
      <c r="C129" s="39" t="str">
        <f>IF('PRISM REPORT'!$B129&lt;&gt;"",'PRISM REPORT'!C129,"")</f>
        <v/>
      </c>
      <c r="D129" s="39" t="str">
        <f>IF('PRISM REPORT'!$B129&lt;&gt;"",'PRISM REPORT'!D129,"")</f>
        <v/>
      </c>
      <c r="E129" s="40" t="str">
        <f>IF('PRISM REPORT'!$B129&lt;&gt;"",'RAW DATA'!F129,"")</f>
        <v/>
      </c>
      <c r="F129" s="40" t="str">
        <f>IF('PRISM REPORT'!$B129&lt;&gt;"",IF('PRISM REPORT'!E129&lt;&gt;"",IF('PRISM REPORT'!E129&gt;0,'PRISM REPORT'!E129,0),0),"")</f>
        <v/>
      </c>
      <c r="G129" s="40" t="str">
        <f t="shared" si="2"/>
        <v/>
      </c>
      <c r="I129" s="40" t="str">
        <f t="shared" si="3"/>
        <v/>
      </c>
    </row>
    <row r="130" spans="2:9" x14ac:dyDescent="0.25">
      <c r="B130" s="39" t="str">
        <f>IF('PRISM REPORT'!$B130&lt;&gt;"",'PRISM REPORT'!B130,"")</f>
        <v/>
      </c>
      <c r="C130" s="39" t="str">
        <f>IF('PRISM REPORT'!$B130&lt;&gt;"",'PRISM REPORT'!C130,"")</f>
        <v/>
      </c>
      <c r="D130" s="39" t="str">
        <f>IF('PRISM REPORT'!$B130&lt;&gt;"",'PRISM REPORT'!D130,"")</f>
        <v/>
      </c>
      <c r="E130" s="40" t="str">
        <f>IF('PRISM REPORT'!$B130&lt;&gt;"",'RAW DATA'!F130,"")</f>
        <v/>
      </c>
      <c r="F130" s="40" t="str">
        <f>IF('PRISM REPORT'!$B130&lt;&gt;"",IF('PRISM REPORT'!E130&lt;&gt;"",IF('PRISM REPORT'!E130&gt;0,'PRISM REPORT'!E130,0),0),"")</f>
        <v/>
      </c>
      <c r="G130" s="40" t="str">
        <f t="shared" si="2"/>
        <v/>
      </c>
      <c r="I130" s="40" t="str">
        <f t="shared" si="3"/>
        <v/>
      </c>
    </row>
    <row r="131" spans="2:9" x14ac:dyDescent="0.25">
      <c r="B131" s="39" t="str">
        <f>IF('PRISM REPORT'!$B131&lt;&gt;"",'PRISM REPORT'!B131,"")</f>
        <v/>
      </c>
      <c r="C131" s="39" t="str">
        <f>IF('PRISM REPORT'!$B131&lt;&gt;"",'PRISM REPORT'!C131,"")</f>
        <v/>
      </c>
      <c r="D131" s="39" t="str">
        <f>IF('PRISM REPORT'!$B131&lt;&gt;"",'PRISM REPORT'!D131,"")</f>
        <v/>
      </c>
      <c r="E131" s="40" t="str">
        <f>IF('PRISM REPORT'!$B131&lt;&gt;"",'RAW DATA'!F131,"")</f>
        <v/>
      </c>
      <c r="F131" s="40" t="str">
        <f>IF('PRISM REPORT'!$B131&lt;&gt;"",IF('PRISM REPORT'!E131&lt;&gt;"",IF('PRISM REPORT'!E131&gt;0,'PRISM REPORT'!E131,0),0),"")</f>
        <v/>
      </c>
      <c r="G131" s="40" t="str">
        <f t="shared" si="2"/>
        <v/>
      </c>
      <c r="I131" s="40" t="str">
        <f t="shared" si="3"/>
        <v/>
      </c>
    </row>
    <row r="132" spans="2:9" x14ac:dyDescent="0.25">
      <c r="B132" s="39" t="str">
        <f>IF('PRISM REPORT'!$B132&lt;&gt;"",'PRISM REPORT'!B132,"")</f>
        <v/>
      </c>
      <c r="C132" s="39" t="str">
        <f>IF('PRISM REPORT'!$B132&lt;&gt;"",'PRISM REPORT'!C132,"")</f>
        <v/>
      </c>
      <c r="D132" s="39" t="str">
        <f>IF('PRISM REPORT'!$B132&lt;&gt;"",'PRISM REPORT'!D132,"")</f>
        <v/>
      </c>
      <c r="E132" s="40" t="str">
        <f>IF('PRISM REPORT'!$B132&lt;&gt;"",'RAW DATA'!F132,"")</f>
        <v/>
      </c>
      <c r="F132" s="40" t="str">
        <f>IF('PRISM REPORT'!$B132&lt;&gt;"",IF('PRISM REPORT'!E132&lt;&gt;"",IF('PRISM REPORT'!E132&gt;0,'PRISM REPORT'!E132,0),0),"")</f>
        <v/>
      </c>
      <c r="G132" s="40" t="str">
        <f t="shared" si="2"/>
        <v/>
      </c>
      <c r="I132" s="40" t="str">
        <f t="shared" si="3"/>
        <v/>
      </c>
    </row>
    <row r="133" spans="2:9" x14ac:dyDescent="0.25">
      <c r="B133" s="39" t="str">
        <f>IF('PRISM REPORT'!$B133&lt;&gt;"",'PRISM REPORT'!B133,"")</f>
        <v/>
      </c>
      <c r="C133" s="39" t="str">
        <f>IF('PRISM REPORT'!$B133&lt;&gt;"",'PRISM REPORT'!C133,"")</f>
        <v/>
      </c>
      <c r="D133" s="39" t="str">
        <f>IF('PRISM REPORT'!$B133&lt;&gt;"",'PRISM REPORT'!D133,"")</f>
        <v/>
      </c>
      <c r="E133" s="40" t="str">
        <f>IF('PRISM REPORT'!$B133&lt;&gt;"",'RAW DATA'!F133,"")</f>
        <v/>
      </c>
      <c r="F133" s="40" t="str">
        <f>IF('PRISM REPORT'!$B133&lt;&gt;"",IF('PRISM REPORT'!E133&lt;&gt;"",IF('PRISM REPORT'!E133&gt;0,'PRISM REPORT'!E133,0),0),"")</f>
        <v/>
      </c>
      <c r="G133" s="40" t="str">
        <f t="shared" ref="G133:G196" si="4">IF(AND(B133&lt;&gt;"",C133&lt;&gt;""),SUM(E133,F133),"")</f>
        <v/>
      </c>
      <c r="I133" s="40" t="str">
        <f t="shared" ref="I133:I196" si="5">IF(AND(B133&lt;&gt;"",C133&lt;&gt;""),G133-(H133*50),"")</f>
        <v/>
      </c>
    </row>
    <row r="134" spans="2:9" x14ac:dyDescent="0.25">
      <c r="B134" s="39" t="str">
        <f>IF('PRISM REPORT'!$B134&lt;&gt;"",'PRISM REPORT'!B134,"")</f>
        <v/>
      </c>
      <c r="C134" s="39" t="str">
        <f>IF('PRISM REPORT'!$B134&lt;&gt;"",'PRISM REPORT'!C134,"")</f>
        <v/>
      </c>
      <c r="D134" s="39" t="str">
        <f>IF('PRISM REPORT'!$B134&lt;&gt;"",'PRISM REPORT'!D134,"")</f>
        <v/>
      </c>
      <c r="E134" s="40" t="str">
        <f>IF('PRISM REPORT'!$B134&lt;&gt;"",'RAW DATA'!F134,"")</f>
        <v/>
      </c>
      <c r="F134" s="40" t="str">
        <f>IF('PRISM REPORT'!$B134&lt;&gt;"",IF('PRISM REPORT'!E134&lt;&gt;"",IF('PRISM REPORT'!E134&gt;0,'PRISM REPORT'!E134,0),0),"")</f>
        <v/>
      </c>
      <c r="G134" s="40" t="str">
        <f t="shared" si="4"/>
        <v/>
      </c>
      <c r="I134" s="40" t="str">
        <f t="shared" si="5"/>
        <v/>
      </c>
    </row>
    <row r="135" spans="2:9" x14ac:dyDescent="0.25">
      <c r="B135" s="39" t="str">
        <f>IF('PRISM REPORT'!$B135&lt;&gt;"",'PRISM REPORT'!B135,"")</f>
        <v/>
      </c>
      <c r="C135" s="39" t="str">
        <f>IF('PRISM REPORT'!$B135&lt;&gt;"",'PRISM REPORT'!C135,"")</f>
        <v/>
      </c>
      <c r="D135" s="39" t="str">
        <f>IF('PRISM REPORT'!$B135&lt;&gt;"",'PRISM REPORT'!D135,"")</f>
        <v/>
      </c>
      <c r="E135" s="40" t="str">
        <f>IF('PRISM REPORT'!$B135&lt;&gt;"",'RAW DATA'!F135,"")</f>
        <v/>
      </c>
      <c r="F135" s="40" t="str">
        <f>IF('PRISM REPORT'!$B135&lt;&gt;"",IF('PRISM REPORT'!E135&lt;&gt;"",IF('PRISM REPORT'!E135&gt;0,'PRISM REPORT'!E135,0),0),"")</f>
        <v/>
      </c>
      <c r="G135" s="40" t="str">
        <f t="shared" si="4"/>
        <v/>
      </c>
      <c r="I135" s="40" t="str">
        <f t="shared" si="5"/>
        <v/>
      </c>
    </row>
    <row r="136" spans="2:9" x14ac:dyDescent="0.25">
      <c r="B136" s="39" t="str">
        <f>IF('PRISM REPORT'!$B136&lt;&gt;"",'PRISM REPORT'!B136,"")</f>
        <v/>
      </c>
      <c r="C136" s="39" t="str">
        <f>IF('PRISM REPORT'!$B136&lt;&gt;"",'PRISM REPORT'!C136,"")</f>
        <v/>
      </c>
      <c r="D136" s="39" t="str">
        <f>IF('PRISM REPORT'!$B136&lt;&gt;"",'PRISM REPORT'!D136,"")</f>
        <v/>
      </c>
      <c r="E136" s="40" t="str">
        <f>IF('PRISM REPORT'!$B136&lt;&gt;"",'RAW DATA'!F136,"")</f>
        <v/>
      </c>
      <c r="F136" s="40" t="str">
        <f>IF('PRISM REPORT'!$B136&lt;&gt;"",IF('PRISM REPORT'!E136&lt;&gt;"",IF('PRISM REPORT'!E136&gt;0,'PRISM REPORT'!E136,0),0),"")</f>
        <v/>
      </c>
      <c r="G136" s="40" t="str">
        <f t="shared" si="4"/>
        <v/>
      </c>
      <c r="I136" s="40" t="str">
        <f t="shared" si="5"/>
        <v/>
      </c>
    </row>
    <row r="137" spans="2:9" x14ac:dyDescent="0.25">
      <c r="B137" s="39" t="str">
        <f>IF('PRISM REPORT'!$B137&lt;&gt;"",'PRISM REPORT'!B137,"")</f>
        <v/>
      </c>
      <c r="C137" s="39" t="str">
        <f>IF('PRISM REPORT'!$B137&lt;&gt;"",'PRISM REPORT'!C137,"")</f>
        <v/>
      </c>
      <c r="D137" s="39" t="str">
        <f>IF('PRISM REPORT'!$B137&lt;&gt;"",'PRISM REPORT'!D137,"")</f>
        <v/>
      </c>
      <c r="E137" s="40" t="str">
        <f>IF('PRISM REPORT'!$B137&lt;&gt;"",'RAW DATA'!F137,"")</f>
        <v/>
      </c>
      <c r="F137" s="40" t="str">
        <f>IF('PRISM REPORT'!$B137&lt;&gt;"",IF('PRISM REPORT'!E137&lt;&gt;"",IF('PRISM REPORT'!E137&gt;0,'PRISM REPORT'!E137,0),0),"")</f>
        <v/>
      </c>
      <c r="G137" s="40" t="str">
        <f t="shared" si="4"/>
        <v/>
      </c>
      <c r="I137" s="40" t="str">
        <f t="shared" si="5"/>
        <v/>
      </c>
    </row>
    <row r="138" spans="2:9" x14ac:dyDescent="0.25">
      <c r="B138" s="39" t="str">
        <f>IF('PRISM REPORT'!$B138&lt;&gt;"",'PRISM REPORT'!B138,"")</f>
        <v/>
      </c>
      <c r="C138" s="39" t="str">
        <f>IF('PRISM REPORT'!$B138&lt;&gt;"",'PRISM REPORT'!C138,"")</f>
        <v/>
      </c>
      <c r="D138" s="39" t="str">
        <f>IF('PRISM REPORT'!$B138&lt;&gt;"",'PRISM REPORT'!D138,"")</f>
        <v/>
      </c>
      <c r="E138" s="40" t="str">
        <f>IF('PRISM REPORT'!$B138&lt;&gt;"",'RAW DATA'!F138,"")</f>
        <v/>
      </c>
      <c r="F138" s="40" t="str">
        <f>IF('PRISM REPORT'!$B138&lt;&gt;"",IF('PRISM REPORT'!E138&lt;&gt;"",IF('PRISM REPORT'!E138&gt;0,'PRISM REPORT'!E138,0),0),"")</f>
        <v/>
      </c>
      <c r="G138" s="40" t="str">
        <f t="shared" si="4"/>
        <v/>
      </c>
      <c r="I138" s="40" t="str">
        <f t="shared" si="5"/>
        <v/>
      </c>
    </row>
    <row r="139" spans="2:9" x14ac:dyDescent="0.25">
      <c r="B139" s="39" t="str">
        <f>IF('PRISM REPORT'!$B139&lt;&gt;"",'PRISM REPORT'!B139,"")</f>
        <v/>
      </c>
      <c r="C139" s="39" t="str">
        <f>IF('PRISM REPORT'!$B139&lt;&gt;"",'PRISM REPORT'!C139,"")</f>
        <v/>
      </c>
      <c r="D139" s="39" t="str">
        <f>IF('PRISM REPORT'!$B139&lt;&gt;"",'PRISM REPORT'!D139,"")</f>
        <v/>
      </c>
      <c r="E139" s="40" t="str">
        <f>IF('PRISM REPORT'!$B139&lt;&gt;"",'RAW DATA'!F139,"")</f>
        <v/>
      </c>
      <c r="F139" s="40" t="str">
        <f>IF('PRISM REPORT'!$B139&lt;&gt;"",IF('PRISM REPORT'!E139&lt;&gt;"",IF('PRISM REPORT'!E139&gt;0,'PRISM REPORT'!E139,0),0),"")</f>
        <v/>
      </c>
      <c r="G139" s="40" t="str">
        <f t="shared" si="4"/>
        <v/>
      </c>
      <c r="I139" s="40" t="str">
        <f t="shared" si="5"/>
        <v/>
      </c>
    </row>
    <row r="140" spans="2:9" x14ac:dyDescent="0.25">
      <c r="B140" s="39" t="str">
        <f>IF('PRISM REPORT'!$B140&lt;&gt;"",'PRISM REPORT'!B140,"")</f>
        <v/>
      </c>
      <c r="C140" s="39" t="str">
        <f>IF('PRISM REPORT'!$B140&lt;&gt;"",'PRISM REPORT'!C140,"")</f>
        <v/>
      </c>
      <c r="D140" s="39" t="str">
        <f>IF('PRISM REPORT'!$B140&lt;&gt;"",'PRISM REPORT'!D140,"")</f>
        <v/>
      </c>
      <c r="E140" s="40" t="str">
        <f>IF('PRISM REPORT'!$B140&lt;&gt;"",'RAW DATA'!F140,"")</f>
        <v/>
      </c>
      <c r="F140" s="40" t="str">
        <f>IF('PRISM REPORT'!$B140&lt;&gt;"",IF('PRISM REPORT'!E140&lt;&gt;"",IF('PRISM REPORT'!E140&gt;0,'PRISM REPORT'!E140,0),0),"")</f>
        <v/>
      </c>
      <c r="G140" s="40" t="str">
        <f t="shared" si="4"/>
        <v/>
      </c>
      <c r="I140" s="40" t="str">
        <f t="shared" si="5"/>
        <v/>
      </c>
    </row>
    <row r="141" spans="2:9" x14ac:dyDescent="0.25">
      <c r="B141" s="39" t="str">
        <f>IF('PRISM REPORT'!$B141&lt;&gt;"",'PRISM REPORT'!B141,"")</f>
        <v/>
      </c>
      <c r="C141" s="39" t="str">
        <f>IF('PRISM REPORT'!$B141&lt;&gt;"",'PRISM REPORT'!C141,"")</f>
        <v/>
      </c>
      <c r="D141" s="39" t="str">
        <f>IF('PRISM REPORT'!$B141&lt;&gt;"",'PRISM REPORT'!D141,"")</f>
        <v/>
      </c>
      <c r="E141" s="40" t="str">
        <f>IF('PRISM REPORT'!$B141&lt;&gt;"",'RAW DATA'!F141,"")</f>
        <v/>
      </c>
      <c r="F141" s="40" t="str">
        <f>IF('PRISM REPORT'!$B141&lt;&gt;"",IF('PRISM REPORT'!E141&lt;&gt;"",IF('PRISM REPORT'!E141&gt;0,'PRISM REPORT'!E141,0),0),"")</f>
        <v/>
      </c>
      <c r="G141" s="40" t="str">
        <f t="shared" si="4"/>
        <v/>
      </c>
      <c r="I141" s="40" t="str">
        <f t="shared" si="5"/>
        <v/>
      </c>
    </row>
    <row r="142" spans="2:9" x14ac:dyDescent="0.25">
      <c r="B142" s="39" t="str">
        <f>IF('PRISM REPORT'!$B142&lt;&gt;"",'PRISM REPORT'!B142,"")</f>
        <v/>
      </c>
      <c r="C142" s="39" t="str">
        <f>IF('PRISM REPORT'!$B142&lt;&gt;"",'PRISM REPORT'!C142,"")</f>
        <v/>
      </c>
      <c r="D142" s="39" t="str">
        <f>IF('PRISM REPORT'!$B142&lt;&gt;"",'PRISM REPORT'!D142,"")</f>
        <v/>
      </c>
      <c r="E142" s="40" t="str">
        <f>IF('PRISM REPORT'!$B142&lt;&gt;"",'RAW DATA'!F142,"")</f>
        <v/>
      </c>
      <c r="F142" s="40" t="str">
        <f>IF('PRISM REPORT'!$B142&lt;&gt;"",IF('PRISM REPORT'!E142&lt;&gt;"",IF('PRISM REPORT'!E142&gt;0,'PRISM REPORT'!E142,0),0),"")</f>
        <v/>
      </c>
      <c r="G142" s="40" t="str">
        <f t="shared" si="4"/>
        <v/>
      </c>
      <c r="I142" s="40" t="str">
        <f t="shared" si="5"/>
        <v/>
      </c>
    </row>
    <row r="143" spans="2:9" x14ac:dyDescent="0.25">
      <c r="B143" s="39" t="str">
        <f>IF('PRISM REPORT'!$B143&lt;&gt;"",'PRISM REPORT'!B143,"")</f>
        <v/>
      </c>
      <c r="C143" s="39" t="str">
        <f>IF('PRISM REPORT'!$B143&lt;&gt;"",'PRISM REPORT'!C143,"")</f>
        <v/>
      </c>
      <c r="D143" s="39" t="str">
        <f>IF('PRISM REPORT'!$B143&lt;&gt;"",'PRISM REPORT'!D143,"")</f>
        <v/>
      </c>
      <c r="E143" s="40" t="str">
        <f>IF('PRISM REPORT'!$B143&lt;&gt;"",'RAW DATA'!F143,"")</f>
        <v/>
      </c>
      <c r="F143" s="40" t="str">
        <f>IF('PRISM REPORT'!$B143&lt;&gt;"",IF('PRISM REPORT'!E143&lt;&gt;"",IF('PRISM REPORT'!E143&gt;0,'PRISM REPORT'!E143,0),0),"")</f>
        <v/>
      </c>
      <c r="G143" s="40" t="str">
        <f t="shared" si="4"/>
        <v/>
      </c>
      <c r="I143" s="40" t="str">
        <f t="shared" si="5"/>
        <v/>
      </c>
    </row>
    <row r="144" spans="2:9" x14ac:dyDescent="0.25">
      <c r="B144" s="39" t="str">
        <f>IF('PRISM REPORT'!$B144&lt;&gt;"",'PRISM REPORT'!B144,"")</f>
        <v/>
      </c>
      <c r="C144" s="39" t="str">
        <f>IF('PRISM REPORT'!$B144&lt;&gt;"",'PRISM REPORT'!C144,"")</f>
        <v/>
      </c>
      <c r="D144" s="39" t="str">
        <f>IF('PRISM REPORT'!$B144&lt;&gt;"",'PRISM REPORT'!D144,"")</f>
        <v/>
      </c>
      <c r="E144" s="40" t="str">
        <f>IF('PRISM REPORT'!$B144&lt;&gt;"",'RAW DATA'!F144,"")</f>
        <v/>
      </c>
      <c r="F144" s="40" t="str">
        <f>IF('PRISM REPORT'!$B144&lt;&gt;"",IF('PRISM REPORT'!E144&lt;&gt;"",IF('PRISM REPORT'!E144&gt;0,'PRISM REPORT'!E144,0),0),"")</f>
        <v/>
      </c>
      <c r="G144" s="40" t="str">
        <f t="shared" si="4"/>
        <v/>
      </c>
      <c r="I144" s="40" t="str">
        <f t="shared" si="5"/>
        <v/>
      </c>
    </row>
    <row r="145" spans="2:9" x14ac:dyDescent="0.25">
      <c r="B145" s="39" t="str">
        <f>IF('PRISM REPORT'!$B145&lt;&gt;"",'PRISM REPORT'!B145,"")</f>
        <v/>
      </c>
      <c r="C145" s="39" t="str">
        <f>IF('PRISM REPORT'!$B145&lt;&gt;"",'PRISM REPORT'!C145,"")</f>
        <v/>
      </c>
      <c r="D145" s="39" t="str">
        <f>IF('PRISM REPORT'!$B145&lt;&gt;"",'PRISM REPORT'!D145,"")</f>
        <v/>
      </c>
      <c r="E145" s="40" t="str">
        <f>IF('PRISM REPORT'!$B145&lt;&gt;"",'RAW DATA'!F145,"")</f>
        <v/>
      </c>
      <c r="F145" s="40" t="str">
        <f>IF('PRISM REPORT'!$B145&lt;&gt;"",IF('PRISM REPORT'!E145&lt;&gt;"",IF('PRISM REPORT'!E145&gt;0,'PRISM REPORT'!E145,0),0),"")</f>
        <v/>
      </c>
      <c r="G145" s="40" t="str">
        <f t="shared" si="4"/>
        <v/>
      </c>
      <c r="I145" s="40" t="str">
        <f t="shared" si="5"/>
        <v/>
      </c>
    </row>
    <row r="146" spans="2:9" x14ac:dyDescent="0.25">
      <c r="B146" s="39" t="str">
        <f>IF('PRISM REPORT'!$B146&lt;&gt;"",'PRISM REPORT'!B146,"")</f>
        <v/>
      </c>
      <c r="C146" s="39" t="str">
        <f>IF('PRISM REPORT'!$B146&lt;&gt;"",'PRISM REPORT'!C146,"")</f>
        <v/>
      </c>
      <c r="D146" s="39" t="str">
        <f>IF('PRISM REPORT'!$B146&lt;&gt;"",'PRISM REPORT'!D146,"")</f>
        <v/>
      </c>
      <c r="E146" s="40" t="str">
        <f>IF('PRISM REPORT'!$B146&lt;&gt;"",'RAW DATA'!F146,"")</f>
        <v/>
      </c>
      <c r="F146" s="40" t="str">
        <f>IF('PRISM REPORT'!$B146&lt;&gt;"",IF('PRISM REPORT'!E146&lt;&gt;"",IF('PRISM REPORT'!E146&gt;0,'PRISM REPORT'!E146,0),0),"")</f>
        <v/>
      </c>
      <c r="G146" s="40" t="str">
        <f t="shared" si="4"/>
        <v/>
      </c>
      <c r="I146" s="40" t="str">
        <f t="shared" si="5"/>
        <v/>
      </c>
    </row>
    <row r="147" spans="2:9" x14ac:dyDescent="0.25">
      <c r="B147" s="39" t="str">
        <f>IF('PRISM REPORT'!$B147&lt;&gt;"",'PRISM REPORT'!B147,"")</f>
        <v/>
      </c>
      <c r="C147" s="39" t="str">
        <f>IF('PRISM REPORT'!$B147&lt;&gt;"",'PRISM REPORT'!C147,"")</f>
        <v/>
      </c>
      <c r="D147" s="39" t="str">
        <f>IF('PRISM REPORT'!$B147&lt;&gt;"",'PRISM REPORT'!D147,"")</f>
        <v/>
      </c>
      <c r="E147" s="40" t="str">
        <f>IF('PRISM REPORT'!$B147&lt;&gt;"",'RAW DATA'!F147,"")</f>
        <v/>
      </c>
      <c r="F147" s="40" t="str">
        <f>IF('PRISM REPORT'!$B147&lt;&gt;"",IF('PRISM REPORT'!E147&lt;&gt;"",IF('PRISM REPORT'!E147&gt;0,'PRISM REPORT'!E147,0),0),"")</f>
        <v/>
      </c>
      <c r="G147" s="40" t="str">
        <f t="shared" si="4"/>
        <v/>
      </c>
      <c r="I147" s="40" t="str">
        <f t="shared" si="5"/>
        <v/>
      </c>
    </row>
    <row r="148" spans="2:9" x14ac:dyDescent="0.25">
      <c r="B148" s="39" t="str">
        <f>IF('PRISM REPORT'!$B148&lt;&gt;"",'PRISM REPORT'!B148,"")</f>
        <v/>
      </c>
      <c r="C148" s="39" t="str">
        <f>IF('PRISM REPORT'!$B148&lt;&gt;"",'PRISM REPORT'!C148,"")</f>
        <v/>
      </c>
      <c r="D148" s="39" t="str">
        <f>IF('PRISM REPORT'!$B148&lt;&gt;"",'PRISM REPORT'!D148,"")</f>
        <v/>
      </c>
      <c r="E148" s="40" t="str">
        <f>IF('PRISM REPORT'!$B148&lt;&gt;"",'RAW DATA'!F148,"")</f>
        <v/>
      </c>
      <c r="F148" s="40" t="str">
        <f>IF('PRISM REPORT'!$B148&lt;&gt;"",IF('PRISM REPORT'!E148&lt;&gt;"",IF('PRISM REPORT'!E148&gt;0,'PRISM REPORT'!E148,0),0),"")</f>
        <v/>
      </c>
      <c r="G148" s="40" t="str">
        <f t="shared" si="4"/>
        <v/>
      </c>
      <c r="I148" s="40" t="str">
        <f t="shared" si="5"/>
        <v/>
      </c>
    </row>
    <row r="149" spans="2:9" x14ac:dyDescent="0.25">
      <c r="B149" s="39" t="str">
        <f>IF('PRISM REPORT'!$B149&lt;&gt;"",'PRISM REPORT'!B149,"")</f>
        <v/>
      </c>
      <c r="C149" s="39" t="str">
        <f>IF('PRISM REPORT'!$B149&lt;&gt;"",'PRISM REPORT'!C149,"")</f>
        <v/>
      </c>
      <c r="D149" s="39" t="str">
        <f>IF('PRISM REPORT'!$B149&lt;&gt;"",'PRISM REPORT'!D149,"")</f>
        <v/>
      </c>
      <c r="E149" s="40" t="str">
        <f>IF('PRISM REPORT'!$B149&lt;&gt;"",'RAW DATA'!F149,"")</f>
        <v/>
      </c>
      <c r="F149" s="40" t="str">
        <f>IF('PRISM REPORT'!$B149&lt;&gt;"",IF('PRISM REPORT'!E149&lt;&gt;"",IF('PRISM REPORT'!E149&gt;0,'PRISM REPORT'!E149,0),0),"")</f>
        <v/>
      </c>
      <c r="G149" s="40" t="str">
        <f t="shared" si="4"/>
        <v/>
      </c>
      <c r="I149" s="40" t="str">
        <f t="shared" si="5"/>
        <v/>
      </c>
    </row>
    <row r="150" spans="2:9" x14ac:dyDescent="0.25">
      <c r="B150" s="39" t="str">
        <f>IF('PRISM REPORT'!$B150&lt;&gt;"",'PRISM REPORT'!B150,"")</f>
        <v/>
      </c>
      <c r="C150" s="39" t="str">
        <f>IF('PRISM REPORT'!$B150&lt;&gt;"",'PRISM REPORT'!C150,"")</f>
        <v/>
      </c>
      <c r="D150" s="39" t="str">
        <f>IF('PRISM REPORT'!$B150&lt;&gt;"",'PRISM REPORT'!D150,"")</f>
        <v/>
      </c>
      <c r="E150" s="40" t="str">
        <f>IF('PRISM REPORT'!$B150&lt;&gt;"",'RAW DATA'!F150,"")</f>
        <v/>
      </c>
      <c r="F150" s="40" t="str">
        <f>IF('PRISM REPORT'!$B150&lt;&gt;"",IF('PRISM REPORT'!E150&lt;&gt;"",IF('PRISM REPORT'!E150&gt;0,'PRISM REPORT'!E150,0),0),"")</f>
        <v/>
      </c>
      <c r="G150" s="40" t="str">
        <f t="shared" si="4"/>
        <v/>
      </c>
      <c r="I150" s="40" t="str">
        <f t="shared" si="5"/>
        <v/>
      </c>
    </row>
    <row r="151" spans="2:9" x14ac:dyDescent="0.25">
      <c r="B151" s="39" t="str">
        <f>IF('PRISM REPORT'!$B151&lt;&gt;"",'PRISM REPORT'!B151,"")</f>
        <v/>
      </c>
      <c r="C151" s="39" t="str">
        <f>IF('PRISM REPORT'!$B151&lt;&gt;"",'PRISM REPORT'!C151,"")</f>
        <v/>
      </c>
      <c r="D151" s="39" t="str">
        <f>IF('PRISM REPORT'!$B151&lt;&gt;"",'PRISM REPORT'!D151,"")</f>
        <v/>
      </c>
      <c r="E151" s="40" t="str">
        <f>IF('PRISM REPORT'!$B151&lt;&gt;"",'RAW DATA'!F151,"")</f>
        <v/>
      </c>
      <c r="F151" s="40" t="str">
        <f>IF('PRISM REPORT'!$B151&lt;&gt;"",IF('PRISM REPORT'!E151&lt;&gt;"",IF('PRISM REPORT'!E151&gt;0,'PRISM REPORT'!E151,0),0),"")</f>
        <v/>
      </c>
      <c r="G151" s="40" t="str">
        <f t="shared" si="4"/>
        <v/>
      </c>
      <c r="I151" s="40" t="str">
        <f t="shared" si="5"/>
        <v/>
      </c>
    </row>
    <row r="152" spans="2:9" x14ac:dyDescent="0.25">
      <c r="B152" s="39" t="str">
        <f>IF('PRISM REPORT'!$B152&lt;&gt;"",'PRISM REPORT'!B152,"")</f>
        <v/>
      </c>
      <c r="C152" s="39" t="str">
        <f>IF('PRISM REPORT'!$B152&lt;&gt;"",'PRISM REPORT'!C152,"")</f>
        <v/>
      </c>
      <c r="D152" s="39" t="str">
        <f>IF('PRISM REPORT'!$B152&lt;&gt;"",'PRISM REPORT'!D152,"")</f>
        <v/>
      </c>
      <c r="E152" s="40" t="str">
        <f>IF('PRISM REPORT'!$B152&lt;&gt;"",'RAW DATA'!F152,"")</f>
        <v/>
      </c>
      <c r="F152" s="40" t="str">
        <f>IF('PRISM REPORT'!$B152&lt;&gt;"",IF('PRISM REPORT'!E152&lt;&gt;"",IF('PRISM REPORT'!E152&gt;0,'PRISM REPORT'!E152,0),0),"")</f>
        <v/>
      </c>
      <c r="G152" s="40" t="str">
        <f t="shared" si="4"/>
        <v/>
      </c>
      <c r="I152" s="40" t="str">
        <f t="shared" si="5"/>
        <v/>
      </c>
    </row>
    <row r="153" spans="2:9" x14ac:dyDescent="0.25">
      <c r="B153" s="39" t="str">
        <f>IF('PRISM REPORT'!$B153&lt;&gt;"",'PRISM REPORT'!B153,"")</f>
        <v/>
      </c>
      <c r="C153" s="39" t="str">
        <f>IF('PRISM REPORT'!$B153&lt;&gt;"",'PRISM REPORT'!C153,"")</f>
        <v/>
      </c>
      <c r="D153" s="39" t="str">
        <f>IF('PRISM REPORT'!$B153&lt;&gt;"",'PRISM REPORT'!D153,"")</f>
        <v/>
      </c>
      <c r="E153" s="40" t="str">
        <f>IF('PRISM REPORT'!$B153&lt;&gt;"",'RAW DATA'!F153,"")</f>
        <v/>
      </c>
      <c r="F153" s="40" t="str">
        <f>IF('PRISM REPORT'!$B153&lt;&gt;"",IF('PRISM REPORT'!E153&lt;&gt;"",IF('PRISM REPORT'!E153&gt;0,'PRISM REPORT'!E153,0),0),"")</f>
        <v/>
      </c>
      <c r="G153" s="40" t="str">
        <f t="shared" si="4"/>
        <v/>
      </c>
      <c r="I153" s="40" t="str">
        <f t="shared" si="5"/>
        <v/>
      </c>
    </row>
    <row r="154" spans="2:9" x14ac:dyDescent="0.25">
      <c r="B154" s="39" t="str">
        <f>IF('PRISM REPORT'!$B154&lt;&gt;"",'PRISM REPORT'!B154,"")</f>
        <v/>
      </c>
      <c r="C154" s="39" t="str">
        <f>IF('PRISM REPORT'!$B154&lt;&gt;"",'PRISM REPORT'!C154,"")</f>
        <v/>
      </c>
      <c r="D154" s="39" t="str">
        <f>IF('PRISM REPORT'!$B154&lt;&gt;"",'PRISM REPORT'!D154,"")</f>
        <v/>
      </c>
      <c r="E154" s="40" t="str">
        <f>IF('PRISM REPORT'!$B154&lt;&gt;"",'RAW DATA'!F154,"")</f>
        <v/>
      </c>
      <c r="F154" s="40" t="str">
        <f>IF('PRISM REPORT'!$B154&lt;&gt;"",IF('PRISM REPORT'!E154&lt;&gt;"",IF('PRISM REPORT'!E154&gt;0,'PRISM REPORT'!E154,0),0),"")</f>
        <v/>
      </c>
      <c r="G154" s="40" t="str">
        <f t="shared" si="4"/>
        <v/>
      </c>
      <c r="I154" s="40" t="str">
        <f t="shared" si="5"/>
        <v/>
      </c>
    </row>
    <row r="155" spans="2:9" x14ac:dyDescent="0.25">
      <c r="B155" s="39" t="str">
        <f>IF('PRISM REPORT'!$B155&lt;&gt;"",'PRISM REPORT'!B155,"")</f>
        <v/>
      </c>
      <c r="C155" s="39" t="str">
        <f>IF('PRISM REPORT'!$B155&lt;&gt;"",'PRISM REPORT'!C155,"")</f>
        <v/>
      </c>
      <c r="D155" s="39" t="str">
        <f>IF('PRISM REPORT'!$B155&lt;&gt;"",'PRISM REPORT'!D155,"")</f>
        <v/>
      </c>
      <c r="E155" s="40" t="str">
        <f>IF('PRISM REPORT'!$B155&lt;&gt;"",'RAW DATA'!F155,"")</f>
        <v/>
      </c>
      <c r="F155" s="40" t="str">
        <f>IF('PRISM REPORT'!$B155&lt;&gt;"",IF('PRISM REPORT'!E155&lt;&gt;"",IF('PRISM REPORT'!E155&gt;0,'PRISM REPORT'!E155,0),0),"")</f>
        <v/>
      </c>
      <c r="G155" s="40" t="str">
        <f t="shared" si="4"/>
        <v/>
      </c>
      <c r="I155" s="40" t="str">
        <f t="shared" si="5"/>
        <v/>
      </c>
    </row>
    <row r="156" spans="2:9" x14ac:dyDescent="0.25">
      <c r="B156" s="39" t="str">
        <f>IF('PRISM REPORT'!$B156&lt;&gt;"",'PRISM REPORT'!B156,"")</f>
        <v/>
      </c>
      <c r="C156" s="39" t="str">
        <f>IF('PRISM REPORT'!$B156&lt;&gt;"",'PRISM REPORT'!C156,"")</f>
        <v/>
      </c>
      <c r="D156" s="39" t="str">
        <f>IF('PRISM REPORT'!$B156&lt;&gt;"",'PRISM REPORT'!D156,"")</f>
        <v/>
      </c>
      <c r="E156" s="40" t="str">
        <f>IF('PRISM REPORT'!$B156&lt;&gt;"",'RAW DATA'!F156,"")</f>
        <v/>
      </c>
      <c r="F156" s="40" t="str">
        <f>IF('PRISM REPORT'!$B156&lt;&gt;"",IF('PRISM REPORT'!E156&lt;&gt;"",IF('PRISM REPORT'!E156&gt;0,'PRISM REPORT'!E156,0),0),"")</f>
        <v/>
      </c>
      <c r="G156" s="40" t="str">
        <f t="shared" si="4"/>
        <v/>
      </c>
      <c r="I156" s="40" t="str">
        <f t="shared" si="5"/>
        <v/>
      </c>
    </row>
    <row r="157" spans="2:9" x14ac:dyDescent="0.25">
      <c r="B157" s="39" t="str">
        <f>IF('PRISM REPORT'!$B157&lt;&gt;"",'PRISM REPORT'!B157,"")</f>
        <v/>
      </c>
      <c r="C157" s="39" t="str">
        <f>IF('PRISM REPORT'!$B157&lt;&gt;"",'PRISM REPORT'!C157,"")</f>
        <v/>
      </c>
      <c r="D157" s="39" t="str">
        <f>IF('PRISM REPORT'!$B157&lt;&gt;"",'PRISM REPORT'!D157,"")</f>
        <v/>
      </c>
      <c r="E157" s="40" t="str">
        <f>IF('PRISM REPORT'!$B157&lt;&gt;"",'RAW DATA'!F157,"")</f>
        <v/>
      </c>
      <c r="F157" s="40" t="str">
        <f>IF('PRISM REPORT'!$B157&lt;&gt;"",IF('PRISM REPORT'!E157&lt;&gt;"",IF('PRISM REPORT'!E157&gt;0,'PRISM REPORT'!E157,0),0),"")</f>
        <v/>
      </c>
      <c r="G157" s="40" t="str">
        <f t="shared" si="4"/>
        <v/>
      </c>
      <c r="I157" s="40" t="str">
        <f t="shared" si="5"/>
        <v/>
      </c>
    </row>
    <row r="158" spans="2:9" x14ac:dyDescent="0.25">
      <c r="B158" s="39" t="str">
        <f>IF('PRISM REPORT'!$B158&lt;&gt;"",'PRISM REPORT'!B158,"")</f>
        <v/>
      </c>
      <c r="C158" s="39" t="str">
        <f>IF('PRISM REPORT'!$B158&lt;&gt;"",'PRISM REPORT'!C158,"")</f>
        <v/>
      </c>
      <c r="D158" s="39" t="str">
        <f>IF('PRISM REPORT'!$B158&lt;&gt;"",'PRISM REPORT'!D158,"")</f>
        <v/>
      </c>
      <c r="E158" s="40" t="str">
        <f>IF('PRISM REPORT'!$B158&lt;&gt;"",'RAW DATA'!F158,"")</f>
        <v/>
      </c>
      <c r="F158" s="40" t="str">
        <f>IF('PRISM REPORT'!$B158&lt;&gt;"",IF('PRISM REPORT'!E158&lt;&gt;"",IF('PRISM REPORT'!E158&gt;0,'PRISM REPORT'!E158,0),0),"")</f>
        <v/>
      </c>
      <c r="G158" s="40" t="str">
        <f t="shared" si="4"/>
        <v/>
      </c>
      <c r="I158" s="40" t="str">
        <f t="shared" si="5"/>
        <v/>
      </c>
    </row>
    <row r="159" spans="2:9" x14ac:dyDescent="0.25">
      <c r="B159" s="39" t="str">
        <f>IF('PRISM REPORT'!$B159&lt;&gt;"",'PRISM REPORT'!B159,"")</f>
        <v/>
      </c>
      <c r="C159" s="39" t="str">
        <f>IF('PRISM REPORT'!$B159&lt;&gt;"",'PRISM REPORT'!C159,"")</f>
        <v/>
      </c>
      <c r="D159" s="39" t="str">
        <f>IF('PRISM REPORT'!$B159&lt;&gt;"",'PRISM REPORT'!D159,"")</f>
        <v/>
      </c>
      <c r="E159" s="40" t="str">
        <f>IF('PRISM REPORT'!$B159&lt;&gt;"",'RAW DATA'!F159,"")</f>
        <v/>
      </c>
      <c r="F159" s="40" t="str">
        <f>IF('PRISM REPORT'!$B159&lt;&gt;"",IF('PRISM REPORT'!E159&lt;&gt;"",IF('PRISM REPORT'!E159&gt;0,'PRISM REPORT'!E159,0),0),"")</f>
        <v/>
      </c>
      <c r="G159" s="40" t="str">
        <f t="shared" si="4"/>
        <v/>
      </c>
      <c r="I159" s="40" t="str">
        <f t="shared" si="5"/>
        <v/>
      </c>
    </row>
    <row r="160" spans="2:9" x14ac:dyDescent="0.25">
      <c r="B160" s="39" t="str">
        <f>IF('PRISM REPORT'!$B160&lt;&gt;"",'PRISM REPORT'!B160,"")</f>
        <v/>
      </c>
      <c r="C160" s="39" t="str">
        <f>IF('PRISM REPORT'!$B160&lt;&gt;"",'PRISM REPORT'!C160,"")</f>
        <v/>
      </c>
      <c r="D160" s="39" t="str">
        <f>IF('PRISM REPORT'!$B160&lt;&gt;"",'PRISM REPORT'!D160,"")</f>
        <v/>
      </c>
      <c r="E160" s="40" t="str">
        <f>IF('PRISM REPORT'!$B160&lt;&gt;"",'RAW DATA'!F160,"")</f>
        <v/>
      </c>
      <c r="F160" s="40" t="str">
        <f>IF('PRISM REPORT'!$B160&lt;&gt;"",IF('PRISM REPORT'!E160&lt;&gt;"",IF('PRISM REPORT'!E160&gt;0,'PRISM REPORT'!E160,0),0),"")</f>
        <v/>
      </c>
      <c r="G160" s="40" t="str">
        <f t="shared" si="4"/>
        <v/>
      </c>
      <c r="I160" s="40" t="str">
        <f t="shared" si="5"/>
        <v/>
      </c>
    </row>
    <row r="161" spans="2:9" x14ac:dyDescent="0.25">
      <c r="B161" s="39" t="str">
        <f>IF('PRISM REPORT'!$B161&lt;&gt;"",'PRISM REPORT'!B161,"")</f>
        <v/>
      </c>
      <c r="C161" s="39" t="str">
        <f>IF('PRISM REPORT'!$B161&lt;&gt;"",'PRISM REPORT'!C161,"")</f>
        <v/>
      </c>
      <c r="D161" s="39" t="str">
        <f>IF('PRISM REPORT'!$B161&lt;&gt;"",'PRISM REPORT'!D161,"")</f>
        <v/>
      </c>
      <c r="E161" s="40" t="str">
        <f>IF('PRISM REPORT'!$B161&lt;&gt;"",'RAW DATA'!F161,"")</f>
        <v/>
      </c>
      <c r="F161" s="40" t="str">
        <f>IF('PRISM REPORT'!$B161&lt;&gt;"",IF('PRISM REPORT'!E161&lt;&gt;"",IF('PRISM REPORT'!E161&gt;0,'PRISM REPORT'!E161,0),0),"")</f>
        <v/>
      </c>
      <c r="G161" s="40" t="str">
        <f t="shared" si="4"/>
        <v/>
      </c>
      <c r="I161" s="40" t="str">
        <f t="shared" si="5"/>
        <v/>
      </c>
    </row>
    <row r="162" spans="2:9" x14ac:dyDescent="0.25">
      <c r="B162" s="39" t="str">
        <f>IF('PRISM REPORT'!$B162&lt;&gt;"",'PRISM REPORT'!B162,"")</f>
        <v/>
      </c>
      <c r="C162" s="39" t="str">
        <f>IF('PRISM REPORT'!$B162&lt;&gt;"",'PRISM REPORT'!C162,"")</f>
        <v/>
      </c>
      <c r="D162" s="39" t="str">
        <f>IF('PRISM REPORT'!$B162&lt;&gt;"",'PRISM REPORT'!D162,"")</f>
        <v/>
      </c>
      <c r="E162" s="40" t="str">
        <f>IF('PRISM REPORT'!$B162&lt;&gt;"",'RAW DATA'!F162,"")</f>
        <v/>
      </c>
      <c r="F162" s="40" t="str">
        <f>IF('PRISM REPORT'!$B162&lt;&gt;"",IF('PRISM REPORT'!E162&lt;&gt;"",IF('PRISM REPORT'!E162&gt;0,'PRISM REPORT'!E162,0),0),"")</f>
        <v/>
      </c>
      <c r="G162" s="40" t="str">
        <f t="shared" si="4"/>
        <v/>
      </c>
      <c r="I162" s="40" t="str">
        <f t="shared" si="5"/>
        <v/>
      </c>
    </row>
    <row r="163" spans="2:9" x14ac:dyDescent="0.25">
      <c r="B163" s="39" t="str">
        <f>IF('PRISM REPORT'!$B163&lt;&gt;"",'PRISM REPORT'!B163,"")</f>
        <v/>
      </c>
      <c r="C163" s="39" t="str">
        <f>IF('PRISM REPORT'!$B163&lt;&gt;"",'PRISM REPORT'!C163,"")</f>
        <v/>
      </c>
      <c r="D163" s="39" t="str">
        <f>IF('PRISM REPORT'!$B163&lt;&gt;"",'PRISM REPORT'!D163,"")</f>
        <v/>
      </c>
      <c r="E163" s="40" t="str">
        <f>IF('PRISM REPORT'!$B163&lt;&gt;"",'RAW DATA'!F163,"")</f>
        <v/>
      </c>
      <c r="F163" s="40" t="str">
        <f>IF('PRISM REPORT'!$B163&lt;&gt;"",IF('PRISM REPORT'!E163&lt;&gt;"",IF('PRISM REPORT'!E163&gt;0,'PRISM REPORT'!E163,0),0),"")</f>
        <v/>
      </c>
      <c r="G163" s="40" t="str">
        <f t="shared" si="4"/>
        <v/>
      </c>
      <c r="I163" s="40" t="str">
        <f t="shared" si="5"/>
        <v/>
      </c>
    </row>
    <row r="164" spans="2:9" x14ac:dyDescent="0.25">
      <c r="B164" s="39" t="str">
        <f>IF('PRISM REPORT'!$B164&lt;&gt;"",'PRISM REPORT'!B164,"")</f>
        <v/>
      </c>
      <c r="C164" s="39" t="str">
        <f>IF('PRISM REPORT'!$B164&lt;&gt;"",'PRISM REPORT'!C164,"")</f>
        <v/>
      </c>
      <c r="D164" s="39" t="str">
        <f>IF('PRISM REPORT'!$B164&lt;&gt;"",'PRISM REPORT'!D164,"")</f>
        <v/>
      </c>
      <c r="E164" s="40" t="str">
        <f>IF('PRISM REPORT'!$B164&lt;&gt;"",'RAW DATA'!F164,"")</f>
        <v/>
      </c>
      <c r="F164" s="40" t="str">
        <f>IF('PRISM REPORT'!$B164&lt;&gt;"",IF('PRISM REPORT'!E164&lt;&gt;"",IF('PRISM REPORT'!E164&gt;0,'PRISM REPORT'!E164,0),0),"")</f>
        <v/>
      </c>
      <c r="G164" s="40" t="str">
        <f t="shared" si="4"/>
        <v/>
      </c>
      <c r="I164" s="40" t="str">
        <f t="shared" si="5"/>
        <v/>
      </c>
    </row>
    <row r="165" spans="2:9" x14ac:dyDescent="0.25">
      <c r="B165" s="39" t="str">
        <f>IF('PRISM REPORT'!$B165&lt;&gt;"",'PRISM REPORT'!B165,"")</f>
        <v/>
      </c>
      <c r="C165" s="39" t="str">
        <f>IF('PRISM REPORT'!$B165&lt;&gt;"",'PRISM REPORT'!C165,"")</f>
        <v/>
      </c>
      <c r="D165" s="39" t="str">
        <f>IF('PRISM REPORT'!$B165&lt;&gt;"",'PRISM REPORT'!D165,"")</f>
        <v/>
      </c>
      <c r="E165" s="40" t="str">
        <f>IF('PRISM REPORT'!$B165&lt;&gt;"",'RAW DATA'!F165,"")</f>
        <v/>
      </c>
      <c r="F165" s="40" t="str">
        <f>IF('PRISM REPORT'!$B165&lt;&gt;"",IF('PRISM REPORT'!E165&lt;&gt;"",IF('PRISM REPORT'!E165&gt;0,'PRISM REPORT'!E165,0),0),"")</f>
        <v/>
      </c>
      <c r="G165" s="40" t="str">
        <f t="shared" si="4"/>
        <v/>
      </c>
      <c r="I165" s="40" t="str">
        <f t="shared" si="5"/>
        <v/>
      </c>
    </row>
    <row r="166" spans="2:9" x14ac:dyDescent="0.25">
      <c r="B166" s="39" t="str">
        <f>IF('PRISM REPORT'!$B166&lt;&gt;"",'PRISM REPORT'!B166,"")</f>
        <v/>
      </c>
      <c r="C166" s="39" t="str">
        <f>IF('PRISM REPORT'!$B166&lt;&gt;"",'PRISM REPORT'!C166,"")</f>
        <v/>
      </c>
      <c r="D166" s="39" t="str">
        <f>IF('PRISM REPORT'!$B166&lt;&gt;"",'PRISM REPORT'!D166,"")</f>
        <v/>
      </c>
      <c r="E166" s="40" t="str">
        <f>IF('PRISM REPORT'!$B166&lt;&gt;"",'RAW DATA'!F166,"")</f>
        <v/>
      </c>
      <c r="F166" s="40" t="str">
        <f>IF('PRISM REPORT'!$B166&lt;&gt;"",IF('PRISM REPORT'!E166&lt;&gt;"",IF('PRISM REPORT'!E166&gt;0,'PRISM REPORT'!E166,0),0),"")</f>
        <v/>
      </c>
      <c r="G166" s="40" t="str">
        <f t="shared" si="4"/>
        <v/>
      </c>
      <c r="I166" s="40" t="str">
        <f t="shared" si="5"/>
        <v/>
      </c>
    </row>
    <row r="167" spans="2:9" x14ac:dyDescent="0.25">
      <c r="B167" s="39" t="str">
        <f>IF('PRISM REPORT'!$B167&lt;&gt;"",'PRISM REPORT'!B167,"")</f>
        <v/>
      </c>
      <c r="C167" s="39" t="str">
        <f>IF('PRISM REPORT'!$B167&lt;&gt;"",'PRISM REPORT'!C167,"")</f>
        <v/>
      </c>
      <c r="D167" s="39" t="str">
        <f>IF('PRISM REPORT'!$B167&lt;&gt;"",'PRISM REPORT'!D167,"")</f>
        <v/>
      </c>
      <c r="E167" s="40" t="str">
        <f>IF('PRISM REPORT'!$B167&lt;&gt;"",'RAW DATA'!F167,"")</f>
        <v/>
      </c>
      <c r="F167" s="40" t="str">
        <f>IF('PRISM REPORT'!$B167&lt;&gt;"",IF('PRISM REPORT'!E167&lt;&gt;"",IF('PRISM REPORT'!E167&gt;0,'PRISM REPORT'!E167,0),0),"")</f>
        <v/>
      </c>
      <c r="G167" s="40" t="str">
        <f t="shared" si="4"/>
        <v/>
      </c>
      <c r="I167" s="40" t="str">
        <f t="shared" si="5"/>
        <v/>
      </c>
    </row>
    <row r="168" spans="2:9" x14ac:dyDescent="0.25">
      <c r="B168" s="39" t="str">
        <f>IF('PRISM REPORT'!$B168&lt;&gt;"",'PRISM REPORT'!B168,"")</f>
        <v/>
      </c>
      <c r="C168" s="39" t="str">
        <f>IF('PRISM REPORT'!$B168&lt;&gt;"",'PRISM REPORT'!C168,"")</f>
        <v/>
      </c>
      <c r="D168" s="39" t="str">
        <f>IF('PRISM REPORT'!$B168&lt;&gt;"",'PRISM REPORT'!D168,"")</f>
        <v/>
      </c>
      <c r="E168" s="40" t="str">
        <f>IF('PRISM REPORT'!$B168&lt;&gt;"",'RAW DATA'!F168,"")</f>
        <v/>
      </c>
      <c r="F168" s="40" t="str">
        <f>IF('PRISM REPORT'!$B168&lt;&gt;"",IF('PRISM REPORT'!E168&lt;&gt;"",IF('PRISM REPORT'!E168&gt;0,'PRISM REPORT'!E168,0),0),"")</f>
        <v/>
      </c>
      <c r="G168" s="40" t="str">
        <f t="shared" si="4"/>
        <v/>
      </c>
      <c r="I168" s="40" t="str">
        <f t="shared" si="5"/>
        <v/>
      </c>
    </row>
    <row r="169" spans="2:9" x14ac:dyDescent="0.25">
      <c r="B169" s="39" t="str">
        <f>IF('PRISM REPORT'!$B169&lt;&gt;"",'PRISM REPORT'!B169,"")</f>
        <v/>
      </c>
      <c r="C169" s="39" t="str">
        <f>IF('PRISM REPORT'!$B169&lt;&gt;"",'PRISM REPORT'!C169,"")</f>
        <v/>
      </c>
      <c r="D169" s="39" t="str">
        <f>IF('PRISM REPORT'!$B169&lt;&gt;"",'PRISM REPORT'!D169,"")</f>
        <v/>
      </c>
      <c r="E169" s="40" t="str">
        <f>IF('PRISM REPORT'!$B169&lt;&gt;"",'RAW DATA'!F169,"")</f>
        <v/>
      </c>
      <c r="F169" s="40" t="str">
        <f>IF('PRISM REPORT'!$B169&lt;&gt;"",IF('PRISM REPORT'!E169&lt;&gt;"",IF('PRISM REPORT'!E169&gt;0,'PRISM REPORT'!E169,0),0),"")</f>
        <v/>
      </c>
      <c r="G169" s="40" t="str">
        <f t="shared" si="4"/>
        <v/>
      </c>
      <c r="I169" s="40" t="str">
        <f t="shared" si="5"/>
        <v/>
      </c>
    </row>
    <row r="170" spans="2:9" x14ac:dyDescent="0.25">
      <c r="B170" s="39" t="str">
        <f>IF('PRISM REPORT'!$B170&lt;&gt;"",'PRISM REPORT'!B170,"")</f>
        <v/>
      </c>
      <c r="C170" s="39" t="str">
        <f>IF('PRISM REPORT'!$B170&lt;&gt;"",'PRISM REPORT'!C170,"")</f>
        <v/>
      </c>
      <c r="D170" s="39" t="str">
        <f>IF('PRISM REPORT'!$B170&lt;&gt;"",'PRISM REPORT'!D170,"")</f>
        <v/>
      </c>
      <c r="E170" s="40" t="str">
        <f>IF('PRISM REPORT'!$B170&lt;&gt;"",'RAW DATA'!F170,"")</f>
        <v/>
      </c>
      <c r="F170" s="40" t="str">
        <f>IF('PRISM REPORT'!$B170&lt;&gt;"",IF('PRISM REPORT'!E170&lt;&gt;"",IF('PRISM REPORT'!E170&gt;0,'PRISM REPORT'!E170,0),0),"")</f>
        <v/>
      </c>
      <c r="G170" s="40" t="str">
        <f t="shared" si="4"/>
        <v/>
      </c>
      <c r="I170" s="40" t="str">
        <f t="shared" si="5"/>
        <v/>
      </c>
    </row>
    <row r="171" spans="2:9" x14ac:dyDescent="0.25">
      <c r="B171" s="39" t="str">
        <f>IF('PRISM REPORT'!$B171&lt;&gt;"",'PRISM REPORT'!B171,"")</f>
        <v/>
      </c>
      <c r="C171" s="39" t="str">
        <f>IF('PRISM REPORT'!$B171&lt;&gt;"",'PRISM REPORT'!C171,"")</f>
        <v/>
      </c>
      <c r="D171" s="39" t="str">
        <f>IF('PRISM REPORT'!$B171&lt;&gt;"",'PRISM REPORT'!D171,"")</f>
        <v/>
      </c>
      <c r="E171" s="40" t="str">
        <f>IF('PRISM REPORT'!$B171&lt;&gt;"",'RAW DATA'!F171,"")</f>
        <v/>
      </c>
      <c r="F171" s="40" t="str">
        <f>IF('PRISM REPORT'!$B171&lt;&gt;"",IF('PRISM REPORT'!E171&lt;&gt;"",IF('PRISM REPORT'!E171&gt;0,'PRISM REPORT'!E171,0),0),"")</f>
        <v/>
      </c>
      <c r="G171" s="40" t="str">
        <f t="shared" si="4"/>
        <v/>
      </c>
      <c r="I171" s="40" t="str">
        <f t="shared" si="5"/>
        <v/>
      </c>
    </row>
    <row r="172" spans="2:9" x14ac:dyDescent="0.25">
      <c r="B172" s="39" t="str">
        <f>IF('PRISM REPORT'!$B172&lt;&gt;"",'PRISM REPORT'!B172,"")</f>
        <v/>
      </c>
      <c r="C172" s="39" t="str">
        <f>IF('PRISM REPORT'!$B172&lt;&gt;"",'PRISM REPORT'!C172,"")</f>
        <v/>
      </c>
      <c r="D172" s="39" t="str">
        <f>IF('PRISM REPORT'!$B172&lt;&gt;"",'PRISM REPORT'!D172,"")</f>
        <v/>
      </c>
      <c r="E172" s="40" t="str">
        <f>IF('PRISM REPORT'!$B172&lt;&gt;"",'RAW DATA'!F172,"")</f>
        <v/>
      </c>
      <c r="F172" s="40" t="str">
        <f>IF('PRISM REPORT'!$B172&lt;&gt;"",IF('PRISM REPORT'!E172&lt;&gt;"",IF('PRISM REPORT'!E172&gt;0,'PRISM REPORT'!E172,0),0),"")</f>
        <v/>
      </c>
      <c r="G172" s="40" t="str">
        <f t="shared" si="4"/>
        <v/>
      </c>
      <c r="I172" s="40" t="str">
        <f t="shared" si="5"/>
        <v/>
      </c>
    </row>
    <row r="173" spans="2:9" x14ac:dyDescent="0.25">
      <c r="B173" s="39" t="str">
        <f>IF('PRISM REPORT'!$B173&lt;&gt;"",'PRISM REPORT'!B173,"")</f>
        <v/>
      </c>
      <c r="C173" s="39" t="str">
        <f>IF('PRISM REPORT'!$B173&lt;&gt;"",'PRISM REPORT'!C173,"")</f>
        <v/>
      </c>
      <c r="D173" s="39" t="str">
        <f>IF('PRISM REPORT'!$B173&lt;&gt;"",'PRISM REPORT'!D173,"")</f>
        <v/>
      </c>
      <c r="E173" s="40" t="str">
        <f>IF('PRISM REPORT'!$B173&lt;&gt;"",'RAW DATA'!F173,"")</f>
        <v/>
      </c>
      <c r="F173" s="40" t="str">
        <f>IF('PRISM REPORT'!$B173&lt;&gt;"",IF('PRISM REPORT'!E173&lt;&gt;"",IF('PRISM REPORT'!E173&gt;0,'PRISM REPORT'!E173,0),0),"")</f>
        <v/>
      </c>
      <c r="G173" s="40" t="str">
        <f t="shared" si="4"/>
        <v/>
      </c>
      <c r="I173" s="40" t="str">
        <f t="shared" si="5"/>
        <v/>
      </c>
    </row>
    <row r="174" spans="2:9" x14ac:dyDescent="0.25">
      <c r="B174" s="39" t="str">
        <f>IF('PRISM REPORT'!$B174&lt;&gt;"",'PRISM REPORT'!B174,"")</f>
        <v/>
      </c>
      <c r="C174" s="39" t="str">
        <f>IF('PRISM REPORT'!$B174&lt;&gt;"",'PRISM REPORT'!C174,"")</f>
        <v/>
      </c>
      <c r="D174" s="39" t="str">
        <f>IF('PRISM REPORT'!$B174&lt;&gt;"",'PRISM REPORT'!D174,"")</f>
        <v/>
      </c>
      <c r="E174" s="40" t="str">
        <f>IF('PRISM REPORT'!$B174&lt;&gt;"",'RAW DATA'!F174,"")</f>
        <v/>
      </c>
      <c r="F174" s="40" t="str">
        <f>IF('PRISM REPORT'!$B174&lt;&gt;"",IF('PRISM REPORT'!E174&lt;&gt;"",IF('PRISM REPORT'!E174&gt;0,'PRISM REPORT'!E174,0),0),"")</f>
        <v/>
      </c>
      <c r="G174" s="40" t="str">
        <f t="shared" si="4"/>
        <v/>
      </c>
      <c r="I174" s="40" t="str">
        <f t="shared" si="5"/>
        <v/>
      </c>
    </row>
    <row r="175" spans="2:9" x14ac:dyDescent="0.25">
      <c r="B175" s="39" t="str">
        <f>IF('PRISM REPORT'!$B175&lt;&gt;"",'PRISM REPORT'!B175,"")</f>
        <v/>
      </c>
      <c r="C175" s="39" t="str">
        <f>IF('PRISM REPORT'!$B175&lt;&gt;"",'PRISM REPORT'!C175,"")</f>
        <v/>
      </c>
      <c r="D175" s="39" t="str">
        <f>IF('PRISM REPORT'!$B175&lt;&gt;"",'PRISM REPORT'!D175,"")</f>
        <v/>
      </c>
      <c r="E175" s="40" t="str">
        <f>IF('PRISM REPORT'!$B175&lt;&gt;"",'RAW DATA'!F175,"")</f>
        <v/>
      </c>
      <c r="F175" s="40" t="str">
        <f>IF('PRISM REPORT'!$B175&lt;&gt;"",IF('PRISM REPORT'!E175&lt;&gt;"",IF('PRISM REPORT'!E175&gt;0,'PRISM REPORT'!E175,0),0),"")</f>
        <v/>
      </c>
      <c r="G175" s="40" t="str">
        <f t="shared" si="4"/>
        <v/>
      </c>
      <c r="I175" s="40" t="str">
        <f t="shared" si="5"/>
        <v/>
      </c>
    </row>
    <row r="176" spans="2:9" x14ac:dyDescent="0.25">
      <c r="B176" s="39" t="str">
        <f>IF('PRISM REPORT'!$B176&lt;&gt;"",'PRISM REPORT'!B176,"")</f>
        <v/>
      </c>
      <c r="C176" s="39" t="str">
        <f>IF('PRISM REPORT'!$B176&lt;&gt;"",'PRISM REPORT'!C176,"")</f>
        <v/>
      </c>
      <c r="D176" s="39" t="str">
        <f>IF('PRISM REPORT'!$B176&lt;&gt;"",'PRISM REPORT'!D176,"")</f>
        <v/>
      </c>
      <c r="E176" s="40" t="str">
        <f>IF('PRISM REPORT'!$B176&lt;&gt;"",'RAW DATA'!F176,"")</f>
        <v/>
      </c>
      <c r="F176" s="40" t="str">
        <f>IF('PRISM REPORT'!$B176&lt;&gt;"",IF('PRISM REPORT'!E176&lt;&gt;"",IF('PRISM REPORT'!E176&gt;0,'PRISM REPORT'!E176,0),0),"")</f>
        <v/>
      </c>
      <c r="G176" s="40" t="str">
        <f t="shared" si="4"/>
        <v/>
      </c>
      <c r="I176" s="40" t="str">
        <f t="shared" si="5"/>
        <v/>
      </c>
    </row>
    <row r="177" spans="2:9" x14ac:dyDescent="0.25">
      <c r="B177" s="39" t="str">
        <f>IF('PRISM REPORT'!$B177&lt;&gt;"",'PRISM REPORT'!B177,"")</f>
        <v/>
      </c>
      <c r="C177" s="39" t="str">
        <f>IF('PRISM REPORT'!$B177&lt;&gt;"",'PRISM REPORT'!C177,"")</f>
        <v/>
      </c>
      <c r="D177" s="39" t="str">
        <f>IF('PRISM REPORT'!$B177&lt;&gt;"",'PRISM REPORT'!D177,"")</f>
        <v/>
      </c>
      <c r="E177" s="40" t="str">
        <f>IF('PRISM REPORT'!$B177&lt;&gt;"",'RAW DATA'!F177,"")</f>
        <v/>
      </c>
      <c r="F177" s="40" t="str">
        <f>IF('PRISM REPORT'!$B177&lt;&gt;"",IF('PRISM REPORT'!E177&lt;&gt;"",IF('PRISM REPORT'!E177&gt;0,'PRISM REPORT'!E177,0),0),"")</f>
        <v/>
      </c>
      <c r="G177" s="40" t="str">
        <f t="shared" si="4"/>
        <v/>
      </c>
      <c r="I177" s="40" t="str">
        <f t="shared" si="5"/>
        <v/>
      </c>
    </row>
    <row r="178" spans="2:9" x14ac:dyDescent="0.25">
      <c r="B178" s="39" t="str">
        <f>IF('PRISM REPORT'!$B178&lt;&gt;"",'PRISM REPORT'!B178,"")</f>
        <v/>
      </c>
      <c r="C178" s="39" t="str">
        <f>IF('PRISM REPORT'!$B178&lt;&gt;"",'PRISM REPORT'!C178,"")</f>
        <v/>
      </c>
      <c r="D178" s="39" t="str">
        <f>IF('PRISM REPORT'!$B178&lt;&gt;"",'PRISM REPORT'!D178,"")</f>
        <v/>
      </c>
      <c r="E178" s="40" t="str">
        <f>IF('PRISM REPORT'!$B178&lt;&gt;"",'RAW DATA'!F178,"")</f>
        <v/>
      </c>
      <c r="F178" s="40" t="str">
        <f>IF('PRISM REPORT'!$B178&lt;&gt;"",IF('PRISM REPORT'!E178&lt;&gt;"",IF('PRISM REPORT'!E178&gt;0,'PRISM REPORT'!E178,0),0),"")</f>
        <v/>
      </c>
      <c r="G178" s="40" t="str">
        <f t="shared" si="4"/>
        <v/>
      </c>
      <c r="I178" s="40" t="str">
        <f t="shared" si="5"/>
        <v/>
      </c>
    </row>
    <row r="179" spans="2:9" x14ac:dyDescent="0.25">
      <c r="B179" s="39" t="str">
        <f>IF('PRISM REPORT'!$B179&lt;&gt;"",'PRISM REPORT'!B179,"")</f>
        <v/>
      </c>
      <c r="C179" s="39" t="str">
        <f>IF('PRISM REPORT'!$B179&lt;&gt;"",'PRISM REPORT'!C179,"")</f>
        <v/>
      </c>
      <c r="D179" s="39" t="str">
        <f>IF('PRISM REPORT'!$B179&lt;&gt;"",'PRISM REPORT'!D179,"")</f>
        <v/>
      </c>
      <c r="E179" s="40" t="str">
        <f>IF('PRISM REPORT'!$B179&lt;&gt;"",'RAW DATA'!F179,"")</f>
        <v/>
      </c>
      <c r="F179" s="40" t="str">
        <f>IF('PRISM REPORT'!$B179&lt;&gt;"",IF('PRISM REPORT'!E179&lt;&gt;"",IF('PRISM REPORT'!E179&gt;0,'PRISM REPORT'!E179,0),0),"")</f>
        <v/>
      </c>
      <c r="G179" s="40" t="str">
        <f t="shared" si="4"/>
        <v/>
      </c>
      <c r="I179" s="40" t="str">
        <f t="shared" si="5"/>
        <v/>
      </c>
    </row>
    <row r="180" spans="2:9" x14ac:dyDescent="0.25">
      <c r="B180" s="39" t="str">
        <f>IF('PRISM REPORT'!$B180&lt;&gt;"",'PRISM REPORT'!B180,"")</f>
        <v/>
      </c>
      <c r="C180" s="39" t="str">
        <f>IF('PRISM REPORT'!$B180&lt;&gt;"",'PRISM REPORT'!C180,"")</f>
        <v/>
      </c>
      <c r="D180" s="39" t="str">
        <f>IF('PRISM REPORT'!$B180&lt;&gt;"",'PRISM REPORT'!D180,"")</f>
        <v/>
      </c>
      <c r="E180" s="40" t="str">
        <f>IF('PRISM REPORT'!$B180&lt;&gt;"",'RAW DATA'!F180,"")</f>
        <v/>
      </c>
      <c r="F180" s="40" t="str">
        <f>IF('PRISM REPORT'!$B180&lt;&gt;"",IF('PRISM REPORT'!E180&lt;&gt;"",IF('PRISM REPORT'!E180&gt;0,'PRISM REPORT'!E180,0),0),"")</f>
        <v/>
      </c>
      <c r="G180" s="40" t="str">
        <f t="shared" si="4"/>
        <v/>
      </c>
      <c r="I180" s="40" t="str">
        <f t="shared" si="5"/>
        <v/>
      </c>
    </row>
    <row r="181" spans="2:9" x14ac:dyDescent="0.25">
      <c r="B181" s="39" t="str">
        <f>IF('PRISM REPORT'!$B181&lt;&gt;"",'PRISM REPORT'!B181,"")</f>
        <v/>
      </c>
      <c r="C181" s="39" t="str">
        <f>IF('PRISM REPORT'!$B181&lt;&gt;"",'PRISM REPORT'!C181,"")</f>
        <v/>
      </c>
      <c r="D181" s="39" t="str">
        <f>IF('PRISM REPORT'!$B181&lt;&gt;"",'PRISM REPORT'!D181,"")</f>
        <v/>
      </c>
      <c r="E181" s="40" t="str">
        <f>IF('PRISM REPORT'!$B181&lt;&gt;"",'RAW DATA'!F181,"")</f>
        <v/>
      </c>
      <c r="F181" s="40" t="str">
        <f>IF('PRISM REPORT'!$B181&lt;&gt;"",IF('PRISM REPORT'!E181&lt;&gt;"",IF('PRISM REPORT'!E181&gt;0,'PRISM REPORT'!E181,0),0),"")</f>
        <v/>
      </c>
      <c r="G181" s="40" t="str">
        <f t="shared" si="4"/>
        <v/>
      </c>
      <c r="I181" s="40" t="str">
        <f t="shared" si="5"/>
        <v/>
      </c>
    </row>
    <row r="182" spans="2:9" x14ac:dyDescent="0.25">
      <c r="B182" s="39" t="str">
        <f>IF('PRISM REPORT'!$B182&lt;&gt;"",'PRISM REPORT'!B182,"")</f>
        <v/>
      </c>
      <c r="C182" s="39" t="str">
        <f>IF('PRISM REPORT'!$B182&lt;&gt;"",'PRISM REPORT'!C182,"")</f>
        <v/>
      </c>
      <c r="D182" s="39" t="str">
        <f>IF('PRISM REPORT'!$B182&lt;&gt;"",'PRISM REPORT'!D182,"")</f>
        <v/>
      </c>
      <c r="E182" s="40" t="str">
        <f>IF('PRISM REPORT'!$B182&lt;&gt;"",'RAW DATA'!F182,"")</f>
        <v/>
      </c>
      <c r="F182" s="40" t="str">
        <f>IF('PRISM REPORT'!$B182&lt;&gt;"",IF('PRISM REPORT'!E182&lt;&gt;"",IF('PRISM REPORT'!E182&gt;0,'PRISM REPORT'!E182,0),0),"")</f>
        <v/>
      </c>
      <c r="G182" s="40" t="str">
        <f t="shared" si="4"/>
        <v/>
      </c>
      <c r="I182" s="40" t="str">
        <f t="shared" si="5"/>
        <v/>
      </c>
    </row>
    <row r="183" spans="2:9" x14ac:dyDescent="0.25">
      <c r="B183" s="39" t="str">
        <f>IF('PRISM REPORT'!$B183&lt;&gt;"",'PRISM REPORT'!B183,"")</f>
        <v/>
      </c>
      <c r="C183" s="39" t="str">
        <f>IF('PRISM REPORT'!$B183&lt;&gt;"",'PRISM REPORT'!C183,"")</f>
        <v/>
      </c>
      <c r="D183" s="39" t="str">
        <f>IF('PRISM REPORT'!$B183&lt;&gt;"",'PRISM REPORT'!D183,"")</f>
        <v/>
      </c>
      <c r="E183" s="40" t="str">
        <f>IF('PRISM REPORT'!$B183&lt;&gt;"",'RAW DATA'!F183,"")</f>
        <v/>
      </c>
      <c r="F183" s="40" t="str">
        <f>IF('PRISM REPORT'!$B183&lt;&gt;"",IF('PRISM REPORT'!E183&lt;&gt;"",IF('PRISM REPORT'!E183&gt;0,'PRISM REPORT'!E183,0),0),"")</f>
        <v/>
      </c>
      <c r="G183" s="40" t="str">
        <f t="shared" si="4"/>
        <v/>
      </c>
      <c r="I183" s="40" t="str">
        <f t="shared" si="5"/>
        <v/>
      </c>
    </row>
    <row r="184" spans="2:9" x14ac:dyDescent="0.25">
      <c r="B184" s="39" t="str">
        <f>IF('PRISM REPORT'!$B184&lt;&gt;"",'PRISM REPORT'!B184,"")</f>
        <v/>
      </c>
      <c r="C184" s="39" t="str">
        <f>IF('PRISM REPORT'!$B184&lt;&gt;"",'PRISM REPORT'!C184,"")</f>
        <v/>
      </c>
      <c r="D184" s="39" t="str">
        <f>IF('PRISM REPORT'!$B184&lt;&gt;"",'PRISM REPORT'!D184,"")</f>
        <v/>
      </c>
      <c r="E184" s="40" t="str">
        <f>IF('PRISM REPORT'!$B184&lt;&gt;"",'RAW DATA'!F184,"")</f>
        <v/>
      </c>
      <c r="F184" s="40" t="str">
        <f>IF('PRISM REPORT'!$B184&lt;&gt;"",IF('PRISM REPORT'!E184&lt;&gt;"",IF('PRISM REPORT'!E184&gt;0,'PRISM REPORT'!E184,0),0),"")</f>
        <v/>
      </c>
      <c r="G184" s="40" t="str">
        <f t="shared" si="4"/>
        <v/>
      </c>
      <c r="I184" s="40" t="str">
        <f t="shared" si="5"/>
        <v/>
      </c>
    </row>
    <row r="185" spans="2:9" x14ac:dyDescent="0.25">
      <c r="B185" s="39" t="str">
        <f>IF('PRISM REPORT'!$B185&lt;&gt;"",'PRISM REPORT'!B185,"")</f>
        <v/>
      </c>
      <c r="C185" s="39" t="str">
        <f>IF('PRISM REPORT'!$B185&lt;&gt;"",'PRISM REPORT'!C185,"")</f>
        <v/>
      </c>
      <c r="D185" s="39" t="str">
        <f>IF('PRISM REPORT'!$B185&lt;&gt;"",'PRISM REPORT'!D185,"")</f>
        <v/>
      </c>
      <c r="E185" s="40" t="str">
        <f>IF('PRISM REPORT'!$B185&lt;&gt;"",'RAW DATA'!F185,"")</f>
        <v/>
      </c>
      <c r="F185" s="40" t="str">
        <f>IF('PRISM REPORT'!$B185&lt;&gt;"",IF('PRISM REPORT'!E185&lt;&gt;"",IF('PRISM REPORT'!E185&gt;0,'PRISM REPORT'!E185,0),0),"")</f>
        <v/>
      </c>
      <c r="G185" s="40" t="str">
        <f t="shared" si="4"/>
        <v/>
      </c>
      <c r="I185" s="40" t="str">
        <f t="shared" si="5"/>
        <v/>
      </c>
    </row>
    <row r="186" spans="2:9" x14ac:dyDescent="0.25">
      <c r="B186" s="39" t="str">
        <f>IF('PRISM REPORT'!$B186&lt;&gt;"",'PRISM REPORT'!B186,"")</f>
        <v/>
      </c>
      <c r="C186" s="39" t="str">
        <f>IF('PRISM REPORT'!$B186&lt;&gt;"",'PRISM REPORT'!C186,"")</f>
        <v/>
      </c>
      <c r="D186" s="39" t="str">
        <f>IF('PRISM REPORT'!$B186&lt;&gt;"",'PRISM REPORT'!D186,"")</f>
        <v/>
      </c>
      <c r="E186" s="40" t="str">
        <f>IF('PRISM REPORT'!$B186&lt;&gt;"",'RAW DATA'!F186,"")</f>
        <v/>
      </c>
      <c r="F186" s="40" t="str">
        <f>IF('PRISM REPORT'!$B186&lt;&gt;"",IF('PRISM REPORT'!E186&lt;&gt;"",IF('PRISM REPORT'!E186&gt;0,'PRISM REPORT'!E186,0),0),"")</f>
        <v/>
      </c>
      <c r="G186" s="40" t="str">
        <f t="shared" si="4"/>
        <v/>
      </c>
      <c r="I186" s="40" t="str">
        <f t="shared" si="5"/>
        <v/>
      </c>
    </row>
    <row r="187" spans="2:9" x14ac:dyDescent="0.25">
      <c r="B187" s="39" t="str">
        <f>IF('PRISM REPORT'!$B187&lt;&gt;"",'PRISM REPORT'!B187,"")</f>
        <v/>
      </c>
      <c r="C187" s="39" t="str">
        <f>IF('PRISM REPORT'!$B187&lt;&gt;"",'PRISM REPORT'!C187,"")</f>
        <v/>
      </c>
      <c r="D187" s="39" t="str">
        <f>IF('PRISM REPORT'!$B187&lt;&gt;"",'PRISM REPORT'!D187,"")</f>
        <v/>
      </c>
      <c r="E187" s="40" t="str">
        <f>IF('PRISM REPORT'!$B187&lt;&gt;"",'RAW DATA'!F187,"")</f>
        <v/>
      </c>
      <c r="F187" s="40" t="str">
        <f>IF('PRISM REPORT'!$B187&lt;&gt;"",IF('PRISM REPORT'!E187&lt;&gt;"",IF('PRISM REPORT'!E187&gt;0,'PRISM REPORT'!E187,0),0),"")</f>
        <v/>
      </c>
      <c r="G187" s="40" t="str">
        <f t="shared" si="4"/>
        <v/>
      </c>
      <c r="I187" s="40" t="str">
        <f t="shared" si="5"/>
        <v/>
      </c>
    </row>
    <row r="188" spans="2:9" x14ac:dyDescent="0.25">
      <c r="B188" s="39" t="str">
        <f>IF('PRISM REPORT'!$B188&lt;&gt;"",'PRISM REPORT'!B188,"")</f>
        <v/>
      </c>
      <c r="C188" s="39" t="str">
        <f>IF('PRISM REPORT'!$B188&lt;&gt;"",'PRISM REPORT'!C188,"")</f>
        <v/>
      </c>
      <c r="D188" s="39" t="str">
        <f>IF('PRISM REPORT'!$B188&lt;&gt;"",'PRISM REPORT'!D188,"")</f>
        <v/>
      </c>
      <c r="E188" s="40" t="str">
        <f>IF('PRISM REPORT'!$B188&lt;&gt;"",'RAW DATA'!F188,"")</f>
        <v/>
      </c>
      <c r="F188" s="40" t="str">
        <f>IF('PRISM REPORT'!$B188&lt;&gt;"",IF('PRISM REPORT'!E188&lt;&gt;"",IF('PRISM REPORT'!E188&gt;0,'PRISM REPORT'!E188,0),0),"")</f>
        <v/>
      </c>
      <c r="G188" s="40" t="str">
        <f t="shared" si="4"/>
        <v/>
      </c>
      <c r="I188" s="40" t="str">
        <f t="shared" si="5"/>
        <v/>
      </c>
    </row>
    <row r="189" spans="2:9" x14ac:dyDescent="0.25">
      <c r="B189" s="39" t="str">
        <f>IF('PRISM REPORT'!$B189&lt;&gt;"",'PRISM REPORT'!B189,"")</f>
        <v/>
      </c>
      <c r="C189" s="39" t="str">
        <f>IF('PRISM REPORT'!$B189&lt;&gt;"",'PRISM REPORT'!C189,"")</f>
        <v/>
      </c>
      <c r="D189" s="39" t="str">
        <f>IF('PRISM REPORT'!$B189&lt;&gt;"",'PRISM REPORT'!D189,"")</f>
        <v/>
      </c>
      <c r="E189" s="40" t="str">
        <f>IF('PRISM REPORT'!$B189&lt;&gt;"",'RAW DATA'!F189,"")</f>
        <v/>
      </c>
      <c r="F189" s="40" t="str">
        <f>IF('PRISM REPORT'!$B189&lt;&gt;"",IF('PRISM REPORT'!E189&lt;&gt;"",IF('PRISM REPORT'!E189&gt;0,'PRISM REPORT'!E189,0),0),"")</f>
        <v/>
      </c>
      <c r="G189" s="40" t="str">
        <f t="shared" si="4"/>
        <v/>
      </c>
      <c r="I189" s="40" t="str">
        <f t="shared" si="5"/>
        <v/>
      </c>
    </row>
    <row r="190" spans="2:9" x14ac:dyDescent="0.25">
      <c r="B190" s="39" t="str">
        <f>IF('PRISM REPORT'!$B190&lt;&gt;"",'PRISM REPORT'!B190,"")</f>
        <v/>
      </c>
      <c r="C190" s="39" t="str">
        <f>IF('PRISM REPORT'!$B190&lt;&gt;"",'PRISM REPORT'!C190,"")</f>
        <v/>
      </c>
      <c r="D190" s="39" t="str">
        <f>IF('PRISM REPORT'!$B190&lt;&gt;"",'PRISM REPORT'!D190,"")</f>
        <v/>
      </c>
      <c r="E190" s="40" t="str">
        <f>IF('PRISM REPORT'!$B190&lt;&gt;"",'RAW DATA'!F190,"")</f>
        <v/>
      </c>
      <c r="F190" s="40" t="str">
        <f>IF('PRISM REPORT'!$B190&lt;&gt;"",IF('PRISM REPORT'!E190&lt;&gt;"",IF('PRISM REPORT'!E190&gt;0,'PRISM REPORT'!E190,0),0),"")</f>
        <v/>
      </c>
      <c r="G190" s="40" t="str">
        <f t="shared" si="4"/>
        <v/>
      </c>
      <c r="I190" s="40" t="str">
        <f t="shared" si="5"/>
        <v/>
      </c>
    </row>
    <row r="191" spans="2:9" x14ac:dyDescent="0.25">
      <c r="B191" s="39" t="str">
        <f>IF('PRISM REPORT'!$B191&lt;&gt;"",'PRISM REPORT'!B191,"")</f>
        <v/>
      </c>
      <c r="C191" s="39" t="str">
        <f>IF('PRISM REPORT'!$B191&lt;&gt;"",'PRISM REPORT'!C191,"")</f>
        <v/>
      </c>
      <c r="D191" s="39" t="str">
        <f>IF('PRISM REPORT'!$B191&lt;&gt;"",'PRISM REPORT'!D191,"")</f>
        <v/>
      </c>
      <c r="E191" s="40" t="str">
        <f>IF('PRISM REPORT'!$B191&lt;&gt;"",'RAW DATA'!F191,"")</f>
        <v/>
      </c>
      <c r="F191" s="40" t="str">
        <f>IF('PRISM REPORT'!$B191&lt;&gt;"",IF('PRISM REPORT'!E191&lt;&gt;"",IF('PRISM REPORT'!E191&gt;0,'PRISM REPORT'!E191,0),0),"")</f>
        <v/>
      </c>
      <c r="G191" s="40" t="str">
        <f t="shared" si="4"/>
        <v/>
      </c>
      <c r="I191" s="40" t="str">
        <f t="shared" si="5"/>
        <v/>
      </c>
    </row>
    <row r="192" spans="2:9" x14ac:dyDescent="0.25">
      <c r="B192" s="39" t="str">
        <f>IF('PRISM REPORT'!$B192&lt;&gt;"",'PRISM REPORT'!B192,"")</f>
        <v/>
      </c>
      <c r="C192" s="39" t="str">
        <f>IF('PRISM REPORT'!$B192&lt;&gt;"",'PRISM REPORT'!C192,"")</f>
        <v/>
      </c>
      <c r="D192" s="39" t="str">
        <f>IF('PRISM REPORT'!$B192&lt;&gt;"",'PRISM REPORT'!D192,"")</f>
        <v/>
      </c>
      <c r="E192" s="40" t="str">
        <f>IF('PRISM REPORT'!$B192&lt;&gt;"",'RAW DATA'!F192,"")</f>
        <v/>
      </c>
      <c r="F192" s="40" t="str">
        <f>IF('PRISM REPORT'!$B192&lt;&gt;"",IF('PRISM REPORT'!E192&lt;&gt;"",IF('PRISM REPORT'!E192&gt;0,'PRISM REPORT'!E192,0),0),"")</f>
        <v/>
      </c>
      <c r="G192" s="40" t="str">
        <f t="shared" si="4"/>
        <v/>
      </c>
      <c r="I192" s="40" t="str">
        <f t="shared" si="5"/>
        <v/>
      </c>
    </row>
    <row r="193" spans="2:9" x14ac:dyDescent="0.25">
      <c r="B193" s="39" t="str">
        <f>IF('PRISM REPORT'!$B193&lt;&gt;"",'PRISM REPORT'!B193,"")</f>
        <v/>
      </c>
      <c r="C193" s="39" t="str">
        <f>IF('PRISM REPORT'!$B193&lt;&gt;"",'PRISM REPORT'!C193,"")</f>
        <v/>
      </c>
      <c r="D193" s="39" t="str">
        <f>IF('PRISM REPORT'!$B193&lt;&gt;"",'PRISM REPORT'!D193,"")</f>
        <v/>
      </c>
      <c r="E193" s="40" t="str">
        <f>IF('PRISM REPORT'!$B193&lt;&gt;"",'RAW DATA'!F193,"")</f>
        <v/>
      </c>
      <c r="F193" s="40" t="str">
        <f>IF('PRISM REPORT'!$B193&lt;&gt;"",IF('PRISM REPORT'!E193&lt;&gt;"",IF('PRISM REPORT'!E193&gt;0,'PRISM REPORT'!E193,0),0),"")</f>
        <v/>
      </c>
      <c r="G193" s="40" t="str">
        <f t="shared" si="4"/>
        <v/>
      </c>
      <c r="I193" s="40" t="str">
        <f t="shared" si="5"/>
        <v/>
      </c>
    </row>
    <row r="194" spans="2:9" x14ac:dyDescent="0.25">
      <c r="B194" s="39" t="str">
        <f>IF('PRISM REPORT'!$B194&lt;&gt;"",'PRISM REPORT'!B194,"")</f>
        <v/>
      </c>
      <c r="C194" s="39" t="str">
        <f>IF('PRISM REPORT'!$B194&lt;&gt;"",'PRISM REPORT'!C194,"")</f>
        <v/>
      </c>
      <c r="D194" s="39" t="str">
        <f>IF('PRISM REPORT'!$B194&lt;&gt;"",'PRISM REPORT'!D194,"")</f>
        <v/>
      </c>
      <c r="E194" s="40" t="str">
        <f>IF('PRISM REPORT'!$B194&lt;&gt;"",'RAW DATA'!F194,"")</f>
        <v/>
      </c>
      <c r="F194" s="40" t="str">
        <f>IF('PRISM REPORT'!$B194&lt;&gt;"",IF('PRISM REPORT'!E194&lt;&gt;"",IF('PRISM REPORT'!E194&gt;0,'PRISM REPORT'!E194,0),0),"")</f>
        <v/>
      </c>
      <c r="G194" s="40" t="str">
        <f t="shared" si="4"/>
        <v/>
      </c>
      <c r="I194" s="40" t="str">
        <f t="shared" si="5"/>
        <v/>
      </c>
    </row>
    <row r="195" spans="2:9" x14ac:dyDescent="0.25">
      <c r="B195" s="39" t="str">
        <f>IF('PRISM REPORT'!$B195&lt;&gt;"",'PRISM REPORT'!B195,"")</f>
        <v/>
      </c>
      <c r="C195" s="39" t="str">
        <f>IF('PRISM REPORT'!$B195&lt;&gt;"",'PRISM REPORT'!C195,"")</f>
        <v/>
      </c>
      <c r="D195" s="39" t="str">
        <f>IF('PRISM REPORT'!$B195&lt;&gt;"",'PRISM REPORT'!D195,"")</f>
        <v/>
      </c>
      <c r="E195" s="40" t="str">
        <f>IF('PRISM REPORT'!$B195&lt;&gt;"",'RAW DATA'!F195,"")</f>
        <v/>
      </c>
      <c r="F195" s="40" t="str">
        <f>IF('PRISM REPORT'!$B195&lt;&gt;"",IF('PRISM REPORT'!E195&lt;&gt;"",IF('PRISM REPORT'!E195&gt;0,'PRISM REPORT'!E195,0),0),"")</f>
        <v/>
      </c>
      <c r="G195" s="40" t="str">
        <f t="shared" si="4"/>
        <v/>
      </c>
      <c r="I195" s="40" t="str">
        <f t="shared" si="5"/>
        <v/>
      </c>
    </row>
    <row r="196" spans="2:9" x14ac:dyDescent="0.25">
      <c r="B196" s="39" t="str">
        <f>IF('PRISM REPORT'!$B196&lt;&gt;"",'PRISM REPORT'!B196,"")</f>
        <v/>
      </c>
      <c r="C196" s="39" t="str">
        <f>IF('PRISM REPORT'!$B196&lt;&gt;"",'PRISM REPORT'!C196,"")</f>
        <v/>
      </c>
      <c r="D196" s="39" t="str">
        <f>IF('PRISM REPORT'!$B196&lt;&gt;"",'PRISM REPORT'!D196,"")</f>
        <v/>
      </c>
      <c r="E196" s="40" t="str">
        <f>IF('PRISM REPORT'!$B196&lt;&gt;"",'RAW DATA'!F196,"")</f>
        <v/>
      </c>
      <c r="F196" s="40" t="str">
        <f>IF('PRISM REPORT'!$B196&lt;&gt;"",IF('PRISM REPORT'!E196&lt;&gt;"",IF('PRISM REPORT'!E196&gt;0,'PRISM REPORT'!E196,0),0),"")</f>
        <v/>
      </c>
      <c r="G196" s="40" t="str">
        <f t="shared" si="4"/>
        <v/>
      </c>
      <c r="I196" s="40" t="str">
        <f t="shared" si="5"/>
        <v/>
      </c>
    </row>
    <row r="197" spans="2:9" x14ac:dyDescent="0.25">
      <c r="B197" s="39" t="str">
        <f>IF('PRISM REPORT'!$B197&lt;&gt;"",'PRISM REPORT'!B197,"")</f>
        <v/>
      </c>
      <c r="C197" s="39" t="str">
        <f>IF('PRISM REPORT'!$B197&lt;&gt;"",'PRISM REPORT'!C197,"")</f>
        <v/>
      </c>
      <c r="D197" s="39" t="str">
        <f>IF('PRISM REPORT'!$B197&lt;&gt;"",'PRISM REPORT'!D197,"")</f>
        <v/>
      </c>
      <c r="E197" s="40" t="str">
        <f>IF('PRISM REPORT'!$B197&lt;&gt;"",'RAW DATA'!F197,"")</f>
        <v/>
      </c>
      <c r="F197" s="40" t="str">
        <f>IF('PRISM REPORT'!$B197&lt;&gt;"",IF('PRISM REPORT'!E197&lt;&gt;"",IF('PRISM REPORT'!E197&gt;0,'PRISM REPORT'!E197,0),0),"")</f>
        <v/>
      </c>
      <c r="G197" s="40" t="str">
        <f t="shared" ref="G197:G260" si="6">IF(AND(B197&lt;&gt;"",C197&lt;&gt;""),SUM(E197,F197),"")</f>
        <v/>
      </c>
      <c r="I197" s="40" t="str">
        <f t="shared" ref="I197:I260" si="7">IF(AND(B197&lt;&gt;"",C197&lt;&gt;""),G197-(H197*50),"")</f>
        <v/>
      </c>
    </row>
    <row r="198" spans="2:9" x14ac:dyDescent="0.25">
      <c r="B198" s="39" t="str">
        <f>IF('PRISM REPORT'!$B198&lt;&gt;"",'PRISM REPORT'!B198,"")</f>
        <v/>
      </c>
      <c r="C198" s="39" t="str">
        <f>IF('PRISM REPORT'!$B198&lt;&gt;"",'PRISM REPORT'!C198,"")</f>
        <v/>
      </c>
      <c r="D198" s="39" t="str">
        <f>IF('PRISM REPORT'!$B198&lt;&gt;"",'PRISM REPORT'!D198,"")</f>
        <v/>
      </c>
      <c r="E198" s="40" t="str">
        <f>IF('PRISM REPORT'!$B198&lt;&gt;"",'RAW DATA'!F198,"")</f>
        <v/>
      </c>
      <c r="F198" s="40" t="str">
        <f>IF('PRISM REPORT'!$B198&lt;&gt;"",IF('PRISM REPORT'!E198&lt;&gt;"",IF('PRISM REPORT'!E198&gt;0,'PRISM REPORT'!E198,0),0),"")</f>
        <v/>
      </c>
      <c r="G198" s="40" t="str">
        <f t="shared" si="6"/>
        <v/>
      </c>
      <c r="I198" s="40" t="str">
        <f t="shared" si="7"/>
        <v/>
      </c>
    </row>
    <row r="199" spans="2:9" x14ac:dyDescent="0.25">
      <c r="B199" s="39" t="str">
        <f>IF('PRISM REPORT'!$B199&lt;&gt;"",'PRISM REPORT'!B199,"")</f>
        <v/>
      </c>
      <c r="C199" s="39" t="str">
        <f>IF('PRISM REPORT'!$B199&lt;&gt;"",'PRISM REPORT'!C199,"")</f>
        <v/>
      </c>
      <c r="D199" s="39" t="str">
        <f>IF('PRISM REPORT'!$B199&lt;&gt;"",'PRISM REPORT'!D199,"")</f>
        <v/>
      </c>
      <c r="E199" s="40" t="str">
        <f>IF('PRISM REPORT'!$B199&lt;&gt;"",'RAW DATA'!F199,"")</f>
        <v/>
      </c>
      <c r="F199" s="40" t="str">
        <f>IF('PRISM REPORT'!$B199&lt;&gt;"",IF('PRISM REPORT'!E199&lt;&gt;"",IF('PRISM REPORT'!E199&gt;0,'PRISM REPORT'!E199,0),0),"")</f>
        <v/>
      </c>
      <c r="G199" s="40" t="str">
        <f t="shared" si="6"/>
        <v/>
      </c>
      <c r="I199" s="40" t="str">
        <f t="shared" si="7"/>
        <v/>
      </c>
    </row>
    <row r="200" spans="2:9" x14ac:dyDescent="0.25">
      <c r="B200" s="39" t="str">
        <f>IF('PRISM REPORT'!$B200&lt;&gt;"",'PRISM REPORT'!B200,"")</f>
        <v/>
      </c>
      <c r="C200" s="39" t="str">
        <f>IF('PRISM REPORT'!$B200&lt;&gt;"",'PRISM REPORT'!C200,"")</f>
        <v/>
      </c>
      <c r="D200" s="39" t="str">
        <f>IF('PRISM REPORT'!$B200&lt;&gt;"",'PRISM REPORT'!D200,"")</f>
        <v/>
      </c>
      <c r="E200" s="40" t="str">
        <f>IF('PRISM REPORT'!$B200&lt;&gt;"",'RAW DATA'!F200,"")</f>
        <v/>
      </c>
      <c r="F200" s="40" t="str">
        <f>IF('PRISM REPORT'!$B200&lt;&gt;"",IF('PRISM REPORT'!E200&lt;&gt;"",IF('PRISM REPORT'!E200&gt;0,'PRISM REPORT'!E200,0),0),"")</f>
        <v/>
      </c>
      <c r="G200" s="40" t="str">
        <f t="shared" si="6"/>
        <v/>
      </c>
      <c r="I200" s="40" t="str">
        <f t="shared" si="7"/>
        <v/>
      </c>
    </row>
    <row r="201" spans="2:9" x14ac:dyDescent="0.25">
      <c r="B201" s="39" t="str">
        <f>IF('PRISM REPORT'!$B201&lt;&gt;"",'PRISM REPORT'!B201,"")</f>
        <v/>
      </c>
      <c r="C201" s="39" t="str">
        <f>IF('PRISM REPORT'!$B201&lt;&gt;"",'PRISM REPORT'!C201,"")</f>
        <v/>
      </c>
      <c r="D201" s="39" t="str">
        <f>IF('PRISM REPORT'!$B201&lt;&gt;"",'PRISM REPORT'!D201,"")</f>
        <v/>
      </c>
      <c r="E201" s="40" t="str">
        <f>IF('PRISM REPORT'!$B201&lt;&gt;"",'RAW DATA'!F201,"")</f>
        <v/>
      </c>
      <c r="F201" s="40" t="str">
        <f>IF('PRISM REPORT'!$B201&lt;&gt;"",IF('PRISM REPORT'!E201&lt;&gt;"",IF('PRISM REPORT'!E201&gt;0,'PRISM REPORT'!E201,0),0),"")</f>
        <v/>
      </c>
      <c r="G201" s="40" t="str">
        <f t="shared" si="6"/>
        <v/>
      </c>
      <c r="I201" s="40" t="str">
        <f t="shared" si="7"/>
        <v/>
      </c>
    </row>
    <row r="202" spans="2:9" x14ac:dyDescent="0.25">
      <c r="B202" s="39" t="str">
        <f>IF('PRISM REPORT'!$B202&lt;&gt;"",'PRISM REPORT'!B202,"")</f>
        <v/>
      </c>
      <c r="C202" s="39" t="str">
        <f>IF('PRISM REPORT'!$B202&lt;&gt;"",'PRISM REPORT'!C202,"")</f>
        <v/>
      </c>
      <c r="D202" s="39" t="str">
        <f>IF('PRISM REPORT'!$B202&lt;&gt;"",'PRISM REPORT'!D202,"")</f>
        <v/>
      </c>
      <c r="E202" s="40" t="str">
        <f>IF('PRISM REPORT'!$B202&lt;&gt;"",'RAW DATA'!F202,"")</f>
        <v/>
      </c>
      <c r="F202" s="40" t="str">
        <f>IF('PRISM REPORT'!$B202&lt;&gt;"",IF('PRISM REPORT'!E202&lt;&gt;"",IF('PRISM REPORT'!E202&gt;0,'PRISM REPORT'!E202,0),0),"")</f>
        <v/>
      </c>
      <c r="G202" s="40" t="str">
        <f t="shared" si="6"/>
        <v/>
      </c>
      <c r="I202" s="40" t="str">
        <f t="shared" si="7"/>
        <v/>
      </c>
    </row>
    <row r="203" spans="2:9" x14ac:dyDescent="0.25">
      <c r="B203" s="39" t="str">
        <f>IF('PRISM REPORT'!$B203&lt;&gt;"",'PRISM REPORT'!B203,"")</f>
        <v/>
      </c>
      <c r="C203" s="39" t="str">
        <f>IF('PRISM REPORT'!$B203&lt;&gt;"",'PRISM REPORT'!C203,"")</f>
        <v/>
      </c>
      <c r="D203" s="39" t="str">
        <f>IF('PRISM REPORT'!$B203&lt;&gt;"",'PRISM REPORT'!D203,"")</f>
        <v/>
      </c>
      <c r="E203" s="40" t="str">
        <f>IF('PRISM REPORT'!$B203&lt;&gt;"",'RAW DATA'!F203,"")</f>
        <v/>
      </c>
      <c r="F203" s="40" t="str">
        <f>IF('PRISM REPORT'!$B203&lt;&gt;"",IF('PRISM REPORT'!E203&lt;&gt;"",IF('PRISM REPORT'!E203&gt;0,'PRISM REPORT'!E203,0),0),"")</f>
        <v/>
      </c>
      <c r="G203" s="40" t="str">
        <f t="shared" si="6"/>
        <v/>
      </c>
      <c r="I203" s="40" t="str">
        <f t="shared" si="7"/>
        <v/>
      </c>
    </row>
    <row r="204" spans="2:9" x14ac:dyDescent="0.25">
      <c r="B204" s="39" t="str">
        <f>IF('PRISM REPORT'!$B204&lt;&gt;"",'PRISM REPORT'!B204,"")</f>
        <v/>
      </c>
      <c r="C204" s="39" t="str">
        <f>IF('PRISM REPORT'!$B204&lt;&gt;"",'PRISM REPORT'!C204,"")</f>
        <v/>
      </c>
      <c r="D204" s="39" t="str">
        <f>IF('PRISM REPORT'!$B204&lt;&gt;"",'PRISM REPORT'!D204,"")</f>
        <v/>
      </c>
      <c r="E204" s="40" t="str">
        <f>IF('PRISM REPORT'!$B204&lt;&gt;"",'RAW DATA'!F204,"")</f>
        <v/>
      </c>
      <c r="F204" s="40" t="str">
        <f>IF('PRISM REPORT'!$B204&lt;&gt;"",IF('PRISM REPORT'!E204&lt;&gt;"",IF('PRISM REPORT'!E204&gt;0,'PRISM REPORT'!E204,0),0),"")</f>
        <v/>
      </c>
      <c r="G204" s="40" t="str">
        <f t="shared" si="6"/>
        <v/>
      </c>
      <c r="I204" s="40" t="str">
        <f t="shared" si="7"/>
        <v/>
      </c>
    </row>
    <row r="205" spans="2:9" x14ac:dyDescent="0.25">
      <c r="B205" s="39" t="str">
        <f>IF('PRISM REPORT'!$B205&lt;&gt;"",'PRISM REPORT'!B205,"")</f>
        <v/>
      </c>
      <c r="C205" s="39" t="str">
        <f>IF('PRISM REPORT'!$B205&lt;&gt;"",'PRISM REPORT'!C205,"")</f>
        <v/>
      </c>
      <c r="D205" s="39" t="str">
        <f>IF('PRISM REPORT'!$B205&lt;&gt;"",'PRISM REPORT'!D205,"")</f>
        <v/>
      </c>
      <c r="E205" s="40" t="str">
        <f>IF('PRISM REPORT'!$B205&lt;&gt;"",'RAW DATA'!F205,"")</f>
        <v/>
      </c>
      <c r="F205" s="40" t="str">
        <f>IF('PRISM REPORT'!$B205&lt;&gt;"",IF('PRISM REPORT'!E205&lt;&gt;"",IF('PRISM REPORT'!E205&gt;0,'PRISM REPORT'!E205,0),0),"")</f>
        <v/>
      </c>
      <c r="G205" s="40" t="str">
        <f t="shared" si="6"/>
        <v/>
      </c>
      <c r="I205" s="40" t="str">
        <f t="shared" si="7"/>
        <v/>
      </c>
    </row>
    <row r="206" spans="2:9" x14ac:dyDescent="0.25">
      <c r="B206" s="39" t="str">
        <f>IF('PRISM REPORT'!$B206&lt;&gt;"",'PRISM REPORT'!B206,"")</f>
        <v/>
      </c>
      <c r="C206" s="39" t="str">
        <f>IF('PRISM REPORT'!$B206&lt;&gt;"",'PRISM REPORT'!C206,"")</f>
        <v/>
      </c>
      <c r="D206" s="39" t="str">
        <f>IF('PRISM REPORT'!$B206&lt;&gt;"",'PRISM REPORT'!D206,"")</f>
        <v/>
      </c>
      <c r="E206" s="40" t="str">
        <f>IF('PRISM REPORT'!$B206&lt;&gt;"",'RAW DATA'!F206,"")</f>
        <v/>
      </c>
      <c r="F206" s="40" t="str">
        <f>IF('PRISM REPORT'!$B206&lt;&gt;"",IF('PRISM REPORT'!E206&lt;&gt;"",IF('PRISM REPORT'!E206&gt;0,'PRISM REPORT'!E206,0),0),"")</f>
        <v/>
      </c>
      <c r="G206" s="40" t="str">
        <f t="shared" si="6"/>
        <v/>
      </c>
      <c r="I206" s="40" t="str">
        <f t="shared" si="7"/>
        <v/>
      </c>
    </row>
    <row r="207" spans="2:9" x14ac:dyDescent="0.25">
      <c r="B207" s="39" t="str">
        <f>IF('PRISM REPORT'!$B207&lt;&gt;"",'PRISM REPORT'!B207,"")</f>
        <v/>
      </c>
      <c r="C207" s="39" t="str">
        <f>IF('PRISM REPORT'!$B207&lt;&gt;"",'PRISM REPORT'!C207,"")</f>
        <v/>
      </c>
      <c r="D207" s="39" t="str">
        <f>IF('PRISM REPORT'!$B207&lt;&gt;"",'PRISM REPORT'!D207,"")</f>
        <v/>
      </c>
      <c r="E207" s="40" t="str">
        <f>IF('PRISM REPORT'!$B207&lt;&gt;"",'RAW DATA'!F207,"")</f>
        <v/>
      </c>
      <c r="F207" s="40" t="str">
        <f>IF('PRISM REPORT'!$B207&lt;&gt;"",IF('PRISM REPORT'!E207&lt;&gt;"",IF('PRISM REPORT'!E207&gt;0,'PRISM REPORT'!E207,0),0),"")</f>
        <v/>
      </c>
      <c r="G207" s="40" t="str">
        <f t="shared" si="6"/>
        <v/>
      </c>
      <c r="I207" s="40" t="str">
        <f t="shared" si="7"/>
        <v/>
      </c>
    </row>
    <row r="208" spans="2:9" x14ac:dyDescent="0.25">
      <c r="B208" s="39" t="str">
        <f>IF('PRISM REPORT'!$B208&lt;&gt;"",'PRISM REPORT'!B208,"")</f>
        <v/>
      </c>
      <c r="C208" s="39" t="str">
        <f>IF('PRISM REPORT'!$B208&lt;&gt;"",'PRISM REPORT'!C208,"")</f>
        <v/>
      </c>
      <c r="D208" s="39" t="str">
        <f>IF('PRISM REPORT'!$B208&lt;&gt;"",'PRISM REPORT'!D208,"")</f>
        <v/>
      </c>
      <c r="E208" s="40" t="str">
        <f>IF('PRISM REPORT'!$B208&lt;&gt;"",'RAW DATA'!F208,"")</f>
        <v/>
      </c>
      <c r="F208" s="40" t="str">
        <f>IF('PRISM REPORT'!$B208&lt;&gt;"",IF('PRISM REPORT'!E208&lt;&gt;"",IF('PRISM REPORT'!E208&gt;0,'PRISM REPORT'!E208,0),0),"")</f>
        <v/>
      </c>
      <c r="G208" s="40" t="str">
        <f t="shared" si="6"/>
        <v/>
      </c>
      <c r="I208" s="40" t="str">
        <f t="shared" si="7"/>
        <v/>
      </c>
    </row>
    <row r="209" spans="2:9" x14ac:dyDescent="0.25">
      <c r="B209" s="39" t="str">
        <f>IF('PRISM REPORT'!$B209&lt;&gt;"",'PRISM REPORT'!B209,"")</f>
        <v/>
      </c>
      <c r="C209" s="39" t="str">
        <f>IF('PRISM REPORT'!$B209&lt;&gt;"",'PRISM REPORT'!C209,"")</f>
        <v/>
      </c>
      <c r="D209" s="39" t="str">
        <f>IF('PRISM REPORT'!$B209&lt;&gt;"",'PRISM REPORT'!D209,"")</f>
        <v/>
      </c>
      <c r="E209" s="40" t="str">
        <f>IF('PRISM REPORT'!$B209&lt;&gt;"",'RAW DATA'!F209,"")</f>
        <v/>
      </c>
      <c r="F209" s="40" t="str">
        <f>IF('PRISM REPORT'!$B209&lt;&gt;"",IF('PRISM REPORT'!E209&lt;&gt;"",IF('PRISM REPORT'!E209&gt;0,'PRISM REPORT'!E209,0),0),"")</f>
        <v/>
      </c>
      <c r="G209" s="40" t="str">
        <f t="shared" si="6"/>
        <v/>
      </c>
      <c r="I209" s="40" t="str">
        <f t="shared" si="7"/>
        <v/>
      </c>
    </row>
    <row r="210" spans="2:9" x14ac:dyDescent="0.25">
      <c r="B210" s="39" t="str">
        <f>IF('PRISM REPORT'!$B210&lt;&gt;"",'PRISM REPORT'!B210,"")</f>
        <v/>
      </c>
      <c r="C210" s="39" t="str">
        <f>IF('PRISM REPORT'!$B210&lt;&gt;"",'PRISM REPORT'!C210,"")</f>
        <v/>
      </c>
      <c r="D210" s="39" t="str">
        <f>IF('PRISM REPORT'!$B210&lt;&gt;"",'PRISM REPORT'!D210,"")</f>
        <v/>
      </c>
      <c r="E210" s="40" t="str">
        <f>IF('PRISM REPORT'!$B210&lt;&gt;"",'RAW DATA'!F210,"")</f>
        <v/>
      </c>
      <c r="F210" s="40" t="str">
        <f>IF('PRISM REPORT'!$B210&lt;&gt;"",IF('PRISM REPORT'!E210&lt;&gt;"",IF('PRISM REPORT'!E210&gt;0,'PRISM REPORT'!E210,0),0),"")</f>
        <v/>
      </c>
      <c r="G210" s="40" t="str">
        <f t="shared" si="6"/>
        <v/>
      </c>
      <c r="I210" s="40" t="str">
        <f t="shared" si="7"/>
        <v/>
      </c>
    </row>
    <row r="211" spans="2:9" x14ac:dyDescent="0.25">
      <c r="B211" s="39" t="str">
        <f>IF('PRISM REPORT'!$B211&lt;&gt;"",'PRISM REPORT'!B211,"")</f>
        <v/>
      </c>
      <c r="C211" s="39" t="str">
        <f>IF('PRISM REPORT'!$B211&lt;&gt;"",'PRISM REPORT'!C211,"")</f>
        <v/>
      </c>
      <c r="D211" s="39" t="str">
        <f>IF('PRISM REPORT'!$B211&lt;&gt;"",'PRISM REPORT'!D211,"")</f>
        <v/>
      </c>
      <c r="E211" s="40" t="str">
        <f>IF('PRISM REPORT'!$B211&lt;&gt;"",'RAW DATA'!F211,"")</f>
        <v/>
      </c>
      <c r="F211" s="40" t="str">
        <f>IF('PRISM REPORT'!$B211&lt;&gt;"",IF('PRISM REPORT'!E211&lt;&gt;"",IF('PRISM REPORT'!E211&gt;0,'PRISM REPORT'!E211,0),0),"")</f>
        <v/>
      </c>
      <c r="G211" s="40" t="str">
        <f t="shared" si="6"/>
        <v/>
      </c>
      <c r="I211" s="40" t="str">
        <f t="shared" si="7"/>
        <v/>
      </c>
    </row>
    <row r="212" spans="2:9" x14ac:dyDescent="0.25">
      <c r="B212" s="39" t="str">
        <f>IF('PRISM REPORT'!$B212&lt;&gt;"",'PRISM REPORT'!B212,"")</f>
        <v/>
      </c>
      <c r="C212" s="39" t="str">
        <f>IF('PRISM REPORT'!$B212&lt;&gt;"",'PRISM REPORT'!C212,"")</f>
        <v/>
      </c>
      <c r="D212" s="39" t="str">
        <f>IF('PRISM REPORT'!$B212&lt;&gt;"",'PRISM REPORT'!D212,"")</f>
        <v/>
      </c>
      <c r="E212" s="40" t="str">
        <f>IF('PRISM REPORT'!$B212&lt;&gt;"",'RAW DATA'!F212,"")</f>
        <v/>
      </c>
      <c r="F212" s="40" t="str">
        <f>IF('PRISM REPORT'!$B212&lt;&gt;"",IF('PRISM REPORT'!E212&lt;&gt;"",IF('PRISM REPORT'!E212&gt;0,'PRISM REPORT'!E212,0),0),"")</f>
        <v/>
      </c>
      <c r="G212" s="40" t="str">
        <f t="shared" si="6"/>
        <v/>
      </c>
      <c r="I212" s="40" t="str">
        <f t="shared" si="7"/>
        <v/>
      </c>
    </row>
    <row r="213" spans="2:9" x14ac:dyDescent="0.25">
      <c r="B213" s="39" t="str">
        <f>IF('PRISM REPORT'!$B213&lt;&gt;"",'PRISM REPORT'!B213,"")</f>
        <v/>
      </c>
      <c r="C213" s="39" t="str">
        <f>IF('PRISM REPORT'!$B213&lt;&gt;"",'PRISM REPORT'!C213,"")</f>
        <v/>
      </c>
      <c r="D213" s="39" t="str">
        <f>IF('PRISM REPORT'!$B213&lt;&gt;"",'PRISM REPORT'!D213,"")</f>
        <v/>
      </c>
      <c r="E213" s="40" t="str">
        <f>IF('PRISM REPORT'!$B213&lt;&gt;"",'RAW DATA'!F213,"")</f>
        <v/>
      </c>
      <c r="F213" s="40" t="str">
        <f>IF('PRISM REPORT'!$B213&lt;&gt;"",IF('PRISM REPORT'!E213&lt;&gt;"",IF('PRISM REPORT'!E213&gt;0,'PRISM REPORT'!E213,0),0),"")</f>
        <v/>
      </c>
      <c r="G213" s="40" t="str">
        <f t="shared" si="6"/>
        <v/>
      </c>
      <c r="I213" s="40" t="str">
        <f t="shared" si="7"/>
        <v/>
      </c>
    </row>
    <row r="214" spans="2:9" x14ac:dyDescent="0.25">
      <c r="B214" s="39" t="str">
        <f>IF('PRISM REPORT'!$B214&lt;&gt;"",'PRISM REPORT'!B214,"")</f>
        <v/>
      </c>
      <c r="C214" s="39" t="str">
        <f>IF('PRISM REPORT'!$B214&lt;&gt;"",'PRISM REPORT'!C214,"")</f>
        <v/>
      </c>
      <c r="D214" s="39" t="str">
        <f>IF('PRISM REPORT'!$B214&lt;&gt;"",'PRISM REPORT'!D214,"")</f>
        <v/>
      </c>
      <c r="E214" s="40" t="str">
        <f>IF('PRISM REPORT'!$B214&lt;&gt;"",'RAW DATA'!F214,"")</f>
        <v/>
      </c>
      <c r="F214" s="40" t="str">
        <f>IF('PRISM REPORT'!$B214&lt;&gt;"",IF('PRISM REPORT'!E214&lt;&gt;"",IF('PRISM REPORT'!E214&gt;0,'PRISM REPORT'!E214,0),0),"")</f>
        <v/>
      </c>
      <c r="G214" s="40" t="str">
        <f t="shared" si="6"/>
        <v/>
      </c>
      <c r="I214" s="40" t="str">
        <f t="shared" si="7"/>
        <v/>
      </c>
    </row>
    <row r="215" spans="2:9" x14ac:dyDescent="0.25">
      <c r="B215" s="39" t="str">
        <f>IF('PRISM REPORT'!$B215&lt;&gt;"",'PRISM REPORT'!B215,"")</f>
        <v/>
      </c>
      <c r="C215" s="39" t="str">
        <f>IF('PRISM REPORT'!$B215&lt;&gt;"",'PRISM REPORT'!C215,"")</f>
        <v/>
      </c>
      <c r="D215" s="39" t="str">
        <f>IF('PRISM REPORT'!$B215&lt;&gt;"",'PRISM REPORT'!D215,"")</f>
        <v/>
      </c>
      <c r="E215" s="40" t="str">
        <f>IF('PRISM REPORT'!$B215&lt;&gt;"",'RAW DATA'!F215,"")</f>
        <v/>
      </c>
      <c r="F215" s="40" t="str">
        <f>IF('PRISM REPORT'!$B215&lt;&gt;"",IF('PRISM REPORT'!E215&lt;&gt;"",IF('PRISM REPORT'!E215&gt;0,'PRISM REPORT'!E215,0),0),"")</f>
        <v/>
      </c>
      <c r="G215" s="40" t="str">
        <f t="shared" si="6"/>
        <v/>
      </c>
      <c r="I215" s="40" t="str">
        <f t="shared" si="7"/>
        <v/>
      </c>
    </row>
    <row r="216" spans="2:9" x14ac:dyDescent="0.25">
      <c r="B216" s="39" t="str">
        <f>IF('PRISM REPORT'!$B216&lt;&gt;"",'PRISM REPORT'!B216,"")</f>
        <v/>
      </c>
      <c r="C216" s="39" t="str">
        <f>IF('PRISM REPORT'!$B216&lt;&gt;"",'PRISM REPORT'!C216,"")</f>
        <v/>
      </c>
      <c r="D216" s="39" t="str">
        <f>IF('PRISM REPORT'!$B216&lt;&gt;"",'PRISM REPORT'!D216,"")</f>
        <v/>
      </c>
      <c r="E216" s="40" t="str">
        <f>IF('PRISM REPORT'!$B216&lt;&gt;"",'RAW DATA'!F216,"")</f>
        <v/>
      </c>
      <c r="F216" s="40" t="str">
        <f>IF('PRISM REPORT'!$B216&lt;&gt;"",IF('PRISM REPORT'!E216&lt;&gt;"",IF('PRISM REPORT'!E216&gt;0,'PRISM REPORT'!E216,0),0),"")</f>
        <v/>
      </c>
      <c r="G216" s="40" t="str">
        <f t="shared" si="6"/>
        <v/>
      </c>
      <c r="I216" s="40" t="str">
        <f t="shared" si="7"/>
        <v/>
      </c>
    </row>
    <row r="217" spans="2:9" x14ac:dyDescent="0.25">
      <c r="B217" s="39" t="str">
        <f>IF('PRISM REPORT'!$B217&lt;&gt;"",'PRISM REPORT'!B217,"")</f>
        <v/>
      </c>
      <c r="C217" s="39" t="str">
        <f>IF('PRISM REPORT'!$B217&lt;&gt;"",'PRISM REPORT'!C217,"")</f>
        <v/>
      </c>
      <c r="D217" s="39" t="str">
        <f>IF('PRISM REPORT'!$B217&lt;&gt;"",'PRISM REPORT'!D217,"")</f>
        <v/>
      </c>
      <c r="E217" s="40" t="str">
        <f>IF('PRISM REPORT'!$B217&lt;&gt;"",'RAW DATA'!F217,"")</f>
        <v/>
      </c>
      <c r="F217" s="40" t="str">
        <f>IF('PRISM REPORT'!$B217&lt;&gt;"",IF('PRISM REPORT'!E217&lt;&gt;"",IF('PRISM REPORT'!E217&gt;0,'PRISM REPORT'!E217,0),0),"")</f>
        <v/>
      </c>
      <c r="G217" s="40" t="str">
        <f t="shared" si="6"/>
        <v/>
      </c>
      <c r="I217" s="40" t="str">
        <f t="shared" si="7"/>
        <v/>
      </c>
    </row>
    <row r="218" spans="2:9" x14ac:dyDescent="0.25">
      <c r="B218" s="39" t="str">
        <f>IF('PRISM REPORT'!$B218&lt;&gt;"",'PRISM REPORT'!B218,"")</f>
        <v/>
      </c>
      <c r="C218" s="39" t="str">
        <f>IF('PRISM REPORT'!$B218&lt;&gt;"",'PRISM REPORT'!C218,"")</f>
        <v/>
      </c>
      <c r="D218" s="39" t="str">
        <f>IF('PRISM REPORT'!$B218&lt;&gt;"",'PRISM REPORT'!D218,"")</f>
        <v/>
      </c>
      <c r="E218" s="40" t="str">
        <f>IF('PRISM REPORT'!$B218&lt;&gt;"",'RAW DATA'!F218,"")</f>
        <v/>
      </c>
      <c r="F218" s="40" t="str">
        <f>IF('PRISM REPORT'!$B218&lt;&gt;"",IF('PRISM REPORT'!E218&lt;&gt;"",IF('PRISM REPORT'!E218&gt;0,'PRISM REPORT'!E218,0),0),"")</f>
        <v/>
      </c>
      <c r="G218" s="40" t="str">
        <f t="shared" si="6"/>
        <v/>
      </c>
      <c r="I218" s="40" t="str">
        <f t="shared" si="7"/>
        <v/>
      </c>
    </row>
    <row r="219" spans="2:9" x14ac:dyDescent="0.25">
      <c r="B219" s="39" t="str">
        <f>IF('PRISM REPORT'!$B219&lt;&gt;"",'PRISM REPORT'!B219,"")</f>
        <v/>
      </c>
      <c r="C219" s="39" t="str">
        <f>IF('PRISM REPORT'!$B219&lt;&gt;"",'PRISM REPORT'!C219,"")</f>
        <v/>
      </c>
      <c r="D219" s="39" t="str">
        <f>IF('PRISM REPORT'!$B219&lt;&gt;"",'PRISM REPORT'!D219,"")</f>
        <v/>
      </c>
      <c r="E219" s="40" t="str">
        <f>IF('PRISM REPORT'!$B219&lt;&gt;"",'RAW DATA'!F219,"")</f>
        <v/>
      </c>
      <c r="F219" s="40" t="str">
        <f>IF('PRISM REPORT'!$B219&lt;&gt;"",IF('PRISM REPORT'!E219&lt;&gt;"",IF('PRISM REPORT'!E219&gt;0,'PRISM REPORT'!E219,0),0),"")</f>
        <v/>
      </c>
      <c r="G219" s="40" t="str">
        <f t="shared" si="6"/>
        <v/>
      </c>
      <c r="I219" s="40" t="str">
        <f t="shared" si="7"/>
        <v/>
      </c>
    </row>
    <row r="220" spans="2:9" x14ac:dyDescent="0.25">
      <c r="B220" s="39" t="str">
        <f>IF('PRISM REPORT'!$B220&lt;&gt;"",'PRISM REPORT'!B220,"")</f>
        <v/>
      </c>
      <c r="C220" s="39" t="str">
        <f>IF('PRISM REPORT'!$B220&lt;&gt;"",'PRISM REPORT'!C220,"")</f>
        <v/>
      </c>
      <c r="D220" s="39" t="str">
        <f>IF('PRISM REPORT'!$B220&lt;&gt;"",'PRISM REPORT'!D220,"")</f>
        <v/>
      </c>
      <c r="E220" s="40" t="str">
        <f>IF('PRISM REPORT'!$B220&lt;&gt;"",'RAW DATA'!F220,"")</f>
        <v/>
      </c>
      <c r="F220" s="40" t="str">
        <f>IF('PRISM REPORT'!$B220&lt;&gt;"",IF('PRISM REPORT'!E220&lt;&gt;"",IF('PRISM REPORT'!E220&gt;0,'PRISM REPORT'!E220,0),0),"")</f>
        <v/>
      </c>
      <c r="G220" s="40" t="str">
        <f t="shared" si="6"/>
        <v/>
      </c>
      <c r="I220" s="40" t="str">
        <f t="shared" si="7"/>
        <v/>
      </c>
    </row>
    <row r="221" spans="2:9" x14ac:dyDescent="0.25">
      <c r="B221" s="39" t="str">
        <f>IF('PRISM REPORT'!$B221&lt;&gt;"",'PRISM REPORT'!B221,"")</f>
        <v/>
      </c>
      <c r="C221" s="39" t="str">
        <f>IF('PRISM REPORT'!$B221&lt;&gt;"",'PRISM REPORT'!C221,"")</f>
        <v/>
      </c>
      <c r="D221" s="39" t="str">
        <f>IF('PRISM REPORT'!$B221&lt;&gt;"",'PRISM REPORT'!D221,"")</f>
        <v/>
      </c>
      <c r="E221" s="40" t="str">
        <f>IF('PRISM REPORT'!$B221&lt;&gt;"",'RAW DATA'!F221,"")</f>
        <v/>
      </c>
      <c r="F221" s="40" t="str">
        <f>IF('PRISM REPORT'!$B221&lt;&gt;"",IF('PRISM REPORT'!E221&lt;&gt;"",IF('PRISM REPORT'!E221&gt;0,'PRISM REPORT'!E221,0),0),"")</f>
        <v/>
      </c>
      <c r="G221" s="40" t="str">
        <f t="shared" si="6"/>
        <v/>
      </c>
      <c r="I221" s="40" t="str">
        <f t="shared" si="7"/>
        <v/>
      </c>
    </row>
    <row r="222" spans="2:9" x14ac:dyDescent="0.25">
      <c r="B222" s="39" t="str">
        <f>IF('PRISM REPORT'!$B222&lt;&gt;"",'PRISM REPORT'!B222,"")</f>
        <v/>
      </c>
      <c r="C222" s="39" t="str">
        <f>IF('PRISM REPORT'!$B222&lt;&gt;"",'PRISM REPORT'!C222,"")</f>
        <v/>
      </c>
      <c r="D222" s="39" t="str">
        <f>IF('PRISM REPORT'!$B222&lt;&gt;"",'PRISM REPORT'!D222,"")</f>
        <v/>
      </c>
      <c r="E222" s="40" t="str">
        <f>IF('PRISM REPORT'!$B222&lt;&gt;"",'RAW DATA'!F222,"")</f>
        <v/>
      </c>
      <c r="F222" s="40" t="str">
        <f>IF('PRISM REPORT'!$B222&lt;&gt;"",IF('PRISM REPORT'!E222&lt;&gt;"",IF('PRISM REPORT'!E222&gt;0,'PRISM REPORT'!E222,0),0),"")</f>
        <v/>
      </c>
      <c r="G222" s="40" t="str">
        <f t="shared" si="6"/>
        <v/>
      </c>
      <c r="I222" s="40" t="str">
        <f t="shared" si="7"/>
        <v/>
      </c>
    </row>
    <row r="223" spans="2:9" x14ac:dyDescent="0.25">
      <c r="B223" s="39" t="str">
        <f>IF('PRISM REPORT'!$B223&lt;&gt;"",'PRISM REPORT'!B223,"")</f>
        <v/>
      </c>
      <c r="C223" s="39" t="str">
        <f>IF('PRISM REPORT'!$B223&lt;&gt;"",'PRISM REPORT'!C223,"")</f>
        <v/>
      </c>
      <c r="D223" s="39" t="str">
        <f>IF('PRISM REPORT'!$B223&lt;&gt;"",'PRISM REPORT'!D223,"")</f>
        <v/>
      </c>
      <c r="E223" s="40" t="str">
        <f>IF('PRISM REPORT'!$B223&lt;&gt;"",'RAW DATA'!F223,"")</f>
        <v/>
      </c>
      <c r="F223" s="40" t="str">
        <f>IF('PRISM REPORT'!$B223&lt;&gt;"",IF('PRISM REPORT'!E223&lt;&gt;"",IF('PRISM REPORT'!E223&gt;0,'PRISM REPORT'!E223,0),0),"")</f>
        <v/>
      </c>
      <c r="G223" s="40" t="str">
        <f t="shared" si="6"/>
        <v/>
      </c>
      <c r="I223" s="40" t="str">
        <f t="shared" si="7"/>
        <v/>
      </c>
    </row>
    <row r="224" spans="2:9" x14ac:dyDescent="0.25">
      <c r="B224" s="39" t="str">
        <f>IF('PRISM REPORT'!$B224&lt;&gt;"",'PRISM REPORT'!B224,"")</f>
        <v/>
      </c>
      <c r="C224" s="39" t="str">
        <f>IF('PRISM REPORT'!$B224&lt;&gt;"",'PRISM REPORT'!C224,"")</f>
        <v/>
      </c>
      <c r="D224" s="39" t="str">
        <f>IF('PRISM REPORT'!$B224&lt;&gt;"",'PRISM REPORT'!D224,"")</f>
        <v/>
      </c>
      <c r="E224" s="40" t="str">
        <f>IF('PRISM REPORT'!$B224&lt;&gt;"",'RAW DATA'!F224,"")</f>
        <v/>
      </c>
      <c r="F224" s="40" t="str">
        <f>IF('PRISM REPORT'!$B224&lt;&gt;"",IF('PRISM REPORT'!E224&lt;&gt;"",IF('PRISM REPORT'!E224&gt;0,'PRISM REPORT'!E224,0),0),"")</f>
        <v/>
      </c>
      <c r="G224" s="40" t="str">
        <f t="shared" si="6"/>
        <v/>
      </c>
      <c r="I224" s="40" t="str">
        <f t="shared" si="7"/>
        <v/>
      </c>
    </row>
    <row r="225" spans="2:9" x14ac:dyDescent="0.25">
      <c r="B225" s="39" t="str">
        <f>IF('PRISM REPORT'!$B225&lt;&gt;"",'PRISM REPORT'!B225,"")</f>
        <v/>
      </c>
      <c r="C225" s="39" t="str">
        <f>IF('PRISM REPORT'!$B225&lt;&gt;"",'PRISM REPORT'!C225,"")</f>
        <v/>
      </c>
      <c r="D225" s="39" t="str">
        <f>IF('PRISM REPORT'!$B225&lt;&gt;"",'PRISM REPORT'!D225,"")</f>
        <v/>
      </c>
      <c r="E225" s="40" t="str">
        <f>IF('PRISM REPORT'!$B225&lt;&gt;"",'RAW DATA'!F225,"")</f>
        <v/>
      </c>
      <c r="F225" s="40" t="str">
        <f>IF('PRISM REPORT'!$B225&lt;&gt;"",IF('PRISM REPORT'!E225&lt;&gt;"",IF('PRISM REPORT'!E225&gt;0,'PRISM REPORT'!E225,0),0),"")</f>
        <v/>
      </c>
      <c r="G225" s="40" t="str">
        <f t="shared" si="6"/>
        <v/>
      </c>
      <c r="I225" s="40" t="str">
        <f t="shared" si="7"/>
        <v/>
      </c>
    </row>
    <row r="226" spans="2:9" x14ac:dyDescent="0.25">
      <c r="B226" s="39" t="str">
        <f>IF('PRISM REPORT'!$B226&lt;&gt;"",'PRISM REPORT'!B226,"")</f>
        <v/>
      </c>
      <c r="C226" s="39" t="str">
        <f>IF('PRISM REPORT'!$B226&lt;&gt;"",'PRISM REPORT'!C226,"")</f>
        <v/>
      </c>
      <c r="D226" s="39" t="str">
        <f>IF('PRISM REPORT'!$B226&lt;&gt;"",'PRISM REPORT'!D226,"")</f>
        <v/>
      </c>
      <c r="E226" s="40" t="str">
        <f>IF('PRISM REPORT'!$B226&lt;&gt;"",'RAW DATA'!F226,"")</f>
        <v/>
      </c>
      <c r="F226" s="40" t="str">
        <f>IF('PRISM REPORT'!$B226&lt;&gt;"",IF('PRISM REPORT'!E226&lt;&gt;"",IF('PRISM REPORT'!E226&gt;0,'PRISM REPORT'!E226,0),0),"")</f>
        <v/>
      </c>
      <c r="G226" s="40" t="str">
        <f t="shared" si="6"/>
        <v/>
      </c>
      <c r="I226" s="40" t="str">
        <f t="shared" si="7"/>
        <v/>
      </c>
    </row>
    <row r="227" spans="2:9" x14ac:dyDescent="0.25">
      <c r="B227" s="39" t="str">
        <f>IF('PRISM REPORT'!$B227&lt;&gt;"",'PRISM REPORT'!B227,"")</f>
        <v/>
      </c>
      <c r="C227" s="39" t="str">
        <f>IF('PRISM REPORT'!$B227&lt;&gt;"",'PRISM REPORT'!C227,"")</f>
        <v/>
      </c>
      <c r="D227" s="39" t="str">
        <f>IF('PRISM REPORT'!$B227&lt;&gt;"",'PRISM REPORT'!D227,"")</f>
        <v/>
      </c>
      <c r="E227" s="40" t="str">
        <f>IF('PRISM REPORT'!$B227&lt;&gt;"",'RAW DATA'!F227,"")</f>
        <v/>
      </c>
      <c r="F227" s="40" t="str">
        <f>IF('PRISM REPORT'!$B227&lt;&gt;"",IF('PRISM REPORT'!E227&lt;&gt;"",IF('PRISM REPORT'!E227&gt;0,'PRISM REPORT'!E227,0),0),"")</f>
        <v/>
      </c>
      <c r="G227" s="40" t="str">
        <f t="shared" si="6"/>
        <v/>
      </c>
      <c r="I227" s="40" t="str">
        <f t="shared" si="7"/>
        <v/>
      </c>
    </row>
    <row r="228" spans="2:9" x14ac:dyDescent="0.25">
      <c r="B228" s="39" t="str">
        <f>IF('PRISM REPORT'!$B228&lt;&gt;"",'PRISM REPORT'!B228,"")</f>
        <v/>
      </c>
      <c r="C228" s="39" t="str">
        <f>IF('PRISM REPORT'!$B228&lt;&gt;"",'PRISM REPORT'!C228,"")</f>
        <v/>
      </c>
      <c r="D228" s="39" t="str">
        <f>IF('PRISM REPORT'!$B228&lt;&gt;"",'PRISM REPORT'!D228,"")</f>
        <v/>
      </c>
      <c r="E228" s="40" t="str">
        <f>IF('PRISM REPORT'!$B228&lt;&gt;"",'RAW DATA'!F228,"")</f>
        <v/>
      </c>
      <c r="F228" s="40" t="str">
        <f>IF('PRISM REPORT'!$B228&lt;&gt;"",IF('PRISM REPORT'!E228&lt;&gt;"",IF('PRISM REPORT'!E228&gt;0,'PRISM REPORT'!E228,0),0),"")</f>
        <v/>
      </c>
      <c r="G228" s="40" t="str">
        <f t="shared" si="6"/>
        <v/>
      </c>
      <c r="I228" s="40" t="str">
        <f t="shared" si="7"/>
        <v/>
      </c>
    </row>
    <row r="229" spans="2:9" x14ac:dyDescent="0.25">
      <c r="B229" s="39" t="str">
        <f>IF('PRISM REPORT'!$B229&lt;&gt;"",'PRISM REPORT'!B229,"")</f>
        <v/>
      </c>
      <c r="C229" s="39" t="str">
        <f>IF('PRISM REPORT'!$B229&lt;&gt;"",'PRISM REPORT'!C229,"")</f>
        <v/>
      </c>
      <c r="D229" s="39" t="str">
        <f>IF('PRISM REPORT'!$B229&lt;&gt;"",'PRISM REPORT'!D229,"")</f>
        <v/>
      </c>
      <c r="E229" s="40" t="str">
        <f>IF('PRISM REPORT'!$B229&lt;&gt;"",'RAW DATA'!F229,"")</f>
        <v/>
      </c>
      <c r="F229" s="40" t="str">
        <f>IF('PRISM REPORT'!$B229&lt;&gt;"",IF('PRISM REPORT'!E229&lt;&gt;"",IF('PRISM REPORT'!E229&gt;0,'PRISM REPORT'!E229,0),0),"")</f>
        <v/>
      </c>
      <c r="G229" s="40" t="str">
        <f t="shared" si="6"/>
        <v/>
      </c>
      <c r="I229" s="40" t="str">
        <f t="shared" si="7"/>
        <v/>
      </c>
    </row>
    <row r="230" spans="2:9" x14ac:dyDescent="0.25">
      <c r="B230" s="39" t="str">
        <f>IF('PRISM REPORT'!$B230&lt;&gt;"",'PRISM REPORT'!B230,"")</f>
        <v/>
      </c>
      <c r="C230" s="39" t="str">
        <f>IF('PRISM REPORT'!$B230&lt;&gt;"",'PRISM REPORT'!C230,"")</f>
        <v/>
      </c>
      <c r="D230" s="39" t="str">
        <f>IF('PRISM REPORT'!$B230&lt;&gt;"",'PRISM REPORT'!D230,"")</f>
        <v/>
      </c>
      <c r="E230" s="40" t="str">
        <f>IF('PRISM REPORT'!$B230&lt;&gt;"",'RAW DATA'!F230,"")</f>
        <v/>
      </c>
      <c r="F230" s="40" t="str">
        <f>IF('PRISM REPORT'!$B230&lt;&gt;"",IF('PRISM REPORT'!E230&lt;&gt;"",IF('PRISM REPORT'!E230&gt;0,'PRISM REPORT'!E230,0),0),"")</f>
        <v/>
      </c>
      <c r="G230" s="40" t="str">
        <f t="shared" si="6"/>
        <v/>
      </c>
      <c r="I230" s="40" t="str">
        <f t="shared" si="7"/>
        <v/>
      </c>
    </row>
    <row r="231" spans="2:9" x14ac:dyDescent="0.25">
      <c r="B231" s="39" t="str">
        <f>IF('PRISM REPORT'!$B231&lt;&gt;"",'PRISM REPORT'!B231,"")</f>
        <v/>
      </c>
      <c r="C231" s="39" t="str">
        <f>IF('PRISM REPORT'!$B231&lt;&gt;"",'PRISM REPORT'!C231,"")</f>
        <v/>
      </c>
      <c r="D231" s="39" t="str">
        <f>IF('PRISM REPORT'!$B231&lt;&gt;"",'PRISM REPORT'!D231,"")</f>
        <v/>
      </c>
      <c r="E231" s="40" t="str">
        <f>IF('PRISM REPORT'!$B231&lt;&gt;"",'RAW DATA'!F231,"")</f>
        <v/>
      </c>
      <c r="F231" s="40" t="str">
        <f>IF('PRISM REPORT'!$B231&lt;&gt;"",IF('PRISM REPORT'!E231&lt;&gt;"",IF('PRISM REPORT'!E231&gt;0,'PRISM REPORT'!E231,0),0),"")</f>
        <v/>
      </c>
      <c r="G231" s="40" t="str">
        <f t="shared" si="6"/>
        <v/>
      </c>
      <c r="I231" s="40" t="str">
        <f t="shared" si="7"/>
        <v/>
      </c>
    </row>
    <row r="232" spans="2:9" x14ac:dyDescent="0.25">
      <c r="B232" s="39" t="str">
        <f>IF('PRISM REPORT'!$B232&lt;&gt;"",'PRISM REPORT'!B232,"")</f>
        <v/>
      </c>
      <c r="C232" s="39" t="str">
        <f>IF('PRISM REPORT'!$B232&lt;&gt;"",'PRISM REPORT'!C232,"")</f>
        <v/>
      </c>
      <c r="D232" s="39" t="str">
        <f>IF('PRISM REPORT'!$B232&lt;&gt;"",'PRISM REPORT'!D232,"")</f>
        <v/>
      </c>
      <c r="E232" s="40" t="str">
        <f>IF('PRISM REPORT'!$B232&lt;&gt;"",'RAW DATA'!F232,"")</f>
        <v/>
      </c>
      <c r="F232" s="40" t="str">
        <f>IF('PRISM REPORT'!$B232&lt;&gt;"",IF('PRISM REPORT'!E232&lt;&gt;"",IF('PRISM REPORT'!E232&gt;0,'PRISM REPORT'!E232,0),0),"")</f>
        <v/>
      </c>
      <c r="G232" s="40" t="str">
        <f t="shared" si="6"/>
        <v/>
      </c>
      <c r="I232" s="40" t="str">
        <f t="shared" si="7"/>
        <v/>
      </c>
    </row>
    <row r="233" spans="2:9" x14ac:dyDescent="0.25">
      <c r="B233" s="39" t="str">
        <f>IF('PRISM REPORT'!$B233&lt;&gt;"",'PRISM REPORT'!B233,"")</f>
        <v/>
      </c>
      <c r="C233" s="39" t="str">
        <f>IF('PRISM REPORT'!$B233&lt;&gt;"",'PRISM REPORT'!C233,"")</f>
        <v/>
      </c>
      <c r="D233" s="39" t="str">
        <f>IF('PRISM REPORT'!$B233&lt;&gt;"",'PRISM REPORT'!D233,"")</f>
        <v/>
      </c>
      <c r="E233" s="40" t="str">
        <f>IF('PRISM REPORT'!$B233&lt;&gt;"",'RAW DATA'!F233,"")</f>
        <v/>
      </c>
      <c r="F233" s="40" t="str">
        <f>IF('PRISM REPORT'!$B233&lt;&gt;"",IF('PRISM REPORT'!E233&lt;&gt;"",IF('PRISM REPORT'!E233&gt;0,'PRISM REPORT'!E233,0),0),"")</f>
        <v/>
      </c>
      <c r="G233" s="40" t="str">
        <f t="shared" si="6"/>
        <v/>
      </c>
      <c r="I233" s="40" t="str">
        <f t="shared" si="7"/>
        <v/>
      </c>
    </row>
    <row r="234" spans="2:9" x14ac:dyDescent="0.25">
      <c r="B234" s="39" t="str">
        <f>IF('PRISM REPORT'!$B234&lt;&gt;"",'PRISM REPORT'!B234,"")</f>
        <v/>
      </c>
      <c r="C234" s="39" t="str">
        <f>IF('PRISM REPORT'!$B234&lt;&gt;"",'PRISM REPORT'!C234,"")</f>
        <v/>
      </c>
      <c r="D234" s="39" t="str">
        <f>IF('PRISM REPORT'!$B234&lt;&gt;"",'PRISM REPORT'!D234,"")</f>
        <v/>
      </c>
      <c r="E234" s="40" t="str">
        <f>IF('PRISM REPORT'!$B234&lt;&gt;"",'RAW DATA'!F234,"")</f>
        <v/>
      </c>
      <c r="F234" s="40" t="str">
        <f>IF('PRISM REPORT'!$B234&lt;&gt;"",IF('PRISM REPORT'!E234&lt;&gt;"",IF('PRISM REPORT'!E234&gt;0,'PRISM REPORT'!E234,0),0),"")</f>
        <v/>
      </c>
      <c r="G234" s="40" t="str">
        <f t="shared" si="6"/>
        <v/>
      </c>
      <c r="I234" s="40" t="str">
        <f t="shared" si="7"/>
        <v/>
      </c>
    </row>
    <row r="235" spans="2:9" x14ac:dyDescent="0.25">
      <c r="B235" s="39" t="str">
        <f>IF('PRISM REPORT'!$B235&lt;&gt;"",'PRISM REPORT'!B235,"")</f>
        <v/>
      </c>
      <c r="C235" s="39" t="str">
        <f>IF('PRISM REPORT'!$B235&lt;&gt;"",'PRISM REPORT'!C235,"")</f>
        <v/>
      </c>
      <c r="D235" s="39" t="str">
        <f>IF('PRISM REPORT'!$B235&lt;&gt;"",'PRISM REPORT'!D235,"")</f>
        <v/>
      </c>
      <c r="E235" s="40" t="str">
        <f>IF('PRISM REPORT'!$B235&lt;&gt;"",'RAW DATA'!F235,"")</f>
        <v/>
      </c>
      <c r="F235" s="40" t="str">
        <f>IF('PRISM REPORT'!$B235&lt;&gt;"",IF('PRISM REPORT'!E235&lt;&gt;"",IF('PRISM REPORT'!E235&gt;0,'PRISM REPORT'!E235,0),0),"")</f>
        <v/>
      </c>
      <c r="G235" s="40" t="str">
        <f t="shared" si="6"/>
        <v/>
      </c>
      <c r="I235" s="40" t="str">
        <f t="shared" si="7"/>
        <v/>
      </c>
    </row>
    <row r="236" spans="2:9" x14ac:dyDescent="0.25">
      <c r="B236" s="39" t="str">
        <f>IF('PRISM REPORT'!$B236&lt;&gt;"",'PRISM REPORT'!B236,"")</f>
        <v/>
      </c>
      <c r="C236" s="39" t="str">
        <f>IF('PRISM REPORT'!$B236&lt;&gt;"",'PRISM REPORT'!C236,"")</f>
        <v/>
      </c>
      <c r="D236" s="39" t="str">
        <f>IF('PRISM REPORT'!$B236&lt;&gt;"",'PRISM REPORT'!D236,"")</f>
        <v/>
      </c>
      <c r="E236" s="40" t="str">
        <f>IF('PRISM REPORT'!$B236&lt;&gt;"",'RAW DATA'!F236,"")</f>
        <v/>
      </c>
      <c r="F236" s="40" t="str">
        <f>IF('PRISM REPORT'!$B236&lt;&gt;"",IF('PRISM REPORT'!E236&lt;&gt;"",IF('PRISM REPORT'!E236&gt;0,'PRISM REPORT'!E236,0),0),"")</f>
        <v/>
      </c>
      <c r="G236" s="40" t="str">
        <f t="shared" si="6"/>
        <v/>
      </c>
      <c r="I236" s="40" t="str">
        <f t="shared" si="7"/>
        <v/>
      </c>
    </row>
    <row r="237" spans="2:9" x14ac:dyDescent="0.25">
      <c r="B237" s="39" t="str">
        <f>IF('PRISM REPORT'!$B237&lt;&gt;"",'PRISM REPORT'!B237,"")</f>
        <v/>
      </c>
      <c r="C237" s="39" t="str">
        <f>IF('PRISM REPORT'!$B237&lt;&gt;"",'PRISM REPORT'!C237,"")</f>
        <v/>
      </c>
      <c r="D237" s="39" t="str">
        <f>IF('PRISM REPORT'!$B237&lt;&gt;"",'PRISM REPORT'!D237,"")</f>
        <v/>
      </c>
      <c r="E237" s="40" t="str">
        <f>IF('PRISM REPORT'!$B237&lt;&gt;"",'RAW DATA'!F237,"")</f>
        <v/>
      </c>
      <c r="F237" s="40" t="str">
        <f>IF('PRISM REPORT'!$B237&lt;&gt;"",IF('PRISM REPORT'!E237&lt;&gt;"",IF('PRISM REPORT'!E237&gt;0,'PRISM REPORT'!E237,0),0),"")</f>
        <v/>
      </c>
      <c r="G237" s="40" t="str">
        <f t="shared" si="6"/>
        <v/>
      </c>
      <c r="I237" s="40" t="str">
        <f t="shared" si="7"/>
        <v/>
      </c>
    </row>
    <row r="238" spans="2:9" x14ac:dyDescent="0.25">
      <c r="B238" s="39" t="str">
        <f>IF('PRISM REPORT'!$B238&lt;&gt;"",'PRISM REPORT'!B238,"")</f>
        <v/>
      </c>
      <c r="C238" s="39" t="str">
        <f>IF('PRISM REPORT'!$B238&lt;&gt;"",'PRISM REPORT'!C238,"")</f>
        <v/>
      </c>
      <c r="D238" s="39" t="str">
        <f>IF('PRISM REPORT'!$B238&lt;&gt;"",'PRISM REPORT'!D238,"")</f>
        <v/>
      </c>
      <c r="E238" s="40" t="str">
        <f>IF('PRISM REPORT'!$B238&lt;&gt;"",'RAW DATA'!F238,"")</f>
        <v/>
      </c>
      <c r="F238" s="40" t="str">
        <f>IF('PRISM REPORT'!$B238&lt;&gt;"",IF('PRISM REPORT'!E238&lt;&gt;"",IF('PRISM REPORT'!E238&gt;0,'PRISM REPORT'!E238,0),0),"")</f>
        <v/>
      </c>
      <c r="G238" s="40" t="str">
        <f t="shared" si="6"/>
        <v/>
      </c>
      <c r="I238" s="40" t="str">
        <f t="shared" si="7"/>
        <v/>
      </c>
    </row>
    <row r="239" spans="2:9" x14ac:dyDescent="0.25">
      <c r="B239" s="39" t="str">
        <f>IF('PRISM REPORT'!$B239&lt;&gt;"",'PRISM REPORT'!B239,"")</f>
        <v/>
      </c>
      <c r="C239" s="39" t="str">
        <f>IF('PRISM REPORT'!$B239&lt;&gt;"",'PRISM REPORT'!C239,"")</f>
        <v/>
      </c>
      <c r="D239" s="39" t="str">
        <f>IF('PRISM REPORT'!$B239&lt;&gt;"",'PRISM REPORT'!D239,"")</f>
        <v/>
      </c>
      <c r="E239" s="40" t="str">
        <f>IF('PRISM REPORT'!$B239&lt;&gt;"",'RAW DATA'!F239,"")</f>
        <v/>
      </c>
      <c r="F239" s="40" t="str">
        <f>IF('PRISM REPORT'!$B239&lt;&gt;"",IF('PRISM REPORT'!E239&lt;&gt;"",IF('PRISM REPORT'!E239&gt;0,'PRISM REPORT'!E239,0),0),"")</f>
        <v/>
      </c>
      <c r="G239" s="40" t="str">
        <f t="shared" si="6"/>
        <v/>
      </c>
      <c r="I239" s="40" t="str">
        <f t="shared" si="7"/>
        <v/>
      </c>
    </row>
    <row r="240" spans="2:9" x14ac:dyDescent="0.25">
      <c r="B240" s="39" t="str">
        <f>IF('PRISM REPORT'!$B240&lt;&gt;"",'PRISM REPORT'!B240,"")</f>
        <v/>
      </c>
      <c r="C240" s="39" t="str">
        <f>IF('PRISM REPORT'!$B240&lt;&gt;"",'PRISM REPORT'!C240,"")</f>
        <v/>
      </c>
      <c r="D240" s="39" t="str">
        <f>IF('PRISM REPORT'!$B240&lt;&gt;"",'PRISM REPORT'!D240,"")</f>
        <v/>
      </c>
      <c r="E240" s="40" t="str">
        <f>IF('PRISM REPORT'!$B240&lt;&gt;"",'RAW DATA'!F240,"")</f>
        <v/>
      </c>
      <c r="F240" s="40" t="str">
        <f>IF('PRISM REPORT'!$B240&lt;&gt;"",IF('PRISM REPORT'!E240&lt;&gt;"",IF('PRISM REPORT'!E240&gt;0,'PRISM REPORT'!E240,0),0),"")</f>
        <v/>
      </c>
      <c r="G240" s="40" t="str">
        <f t="shared" si="6"/>
        <v/>
      </c>
      <c r="I240" s="40" t="str">
        <f t="shared" si="7"/>
        <v/>
      </c>
    </row>
    <row r="241" spans="2:9" x14ac:dyDescent="0.25">
      <c r="B241" s="39" t="str">
        <f>IF('PRISM REPORT'!$B241&lt;&gt;"",'PRISM REPORT'!B241,"")</f>
        <v/>
      </c>
      <c r="C241" s="39" t="str">
        <f>IF('PRISM REPORT'!$B241&lt;&gt;"",'PRISM REPORT'!C241,"")</f>
        <v/>
      </c>
      <c r="D241" s="39" t="str">
        <f>IF('PRISM REPORT'!$B241&lt;&gt;"",'PRISM REPORT'!D241,"")</f>
        <v/>
      </c>
      <c r="E241" s="40" t="str">
        <f>IF('PRISM REPORT'!$B241&lt;&gt;"",'RAW DATA'!F241,"")</f>
        <v/>
      </c>
      <c r="F241" s="40" t="str">
        <f>IF('PRISM REPORT'!$B241&lt;&gt;"",IF('PRISM REPORT'!E241&lt;&gt;"",IF('PRISM REPORT'!E241&gt;0,'PRISM REPORT'!E241,0),0),"")</f>
        <v/>
      </c>
      <c r="G241" s="40" t="str">
        <f t="shared" si="6"/>
        <v/>
      </c>
      <c r="I241" s="40" t="str">
        <f t="shared" si="7"/>
        <v/>
      </c>
    </row>
    <row r="242" spans="2:9" x14ac:dyDescent="0.25">
      <c r="B242" s="39" t="str">
        <f>IF('PRISM REPORT'!$B242&lt;&gt;"",'PRISM REPORT'!B242,"")</f>
        <v/>
      </c>
      <c r="C242" s="39" t="str">
        <f>IF('PRISM REPORT'!$B242&lt;&gt;"",'PRISM REPORT'!C242,"")</f>
        <v/>
      </c>
      <c r="D242" s="39" t="str">
        <f>IF('PRISM REPORT'!$B242&lt;&gt;"",'PRISM REPORT'!D242,"")</f>
        <v/>
      </c>
      <c r="E242" s="40" t="str">
        <f>IF('PRISM REPORT'!$B242&lt;&gt;"",'RAW DATA'!F242,"")</f>
        <v/>
      </c>
      <c r="F242" s="40" t="str">
        <f>IF('PRISM REPORT'!$B242&lt;&gt;"",IF('PRISM REPORT'!E242&lt;&gt;"",IF('PRISM REPORT'!E242&gt;0,'PRISM REPORT'!E242,0),0),"")</f>
        <v/>
      </c>
      <c r="G242" s="40" t="str">
        <f t="shared" si="6"/>
        <v/>
      </c>
      <c r="I242" s="40" t="str">
        <f t="shared" si="7"/>
        <v/>
      </c>
    </row>
    <row r="243" spans="2:9" x14ac:dyDescent="0.25">
      <c r="B243" s="39" t="str">
        <f>IF('PRISM REPORT'!$B243&lt;&gt;"",'PRISM REPORT'!B243,"")</f>
        <v/>
      </c>
      <c r="C243" s="39" t="str">
        <f>IF('PRISM REPORT'!$B243&lt;&gt;"",'PRISM REPORT'!C243,"")</f>
        <v/>
      </c>
      <c r="D243" s="39" t="str">
        <f>IF('PRISM REPORT'!$B243&lt;&gt;"",'PRISM REPORT'!D243,"")</f>
        <v/>
      </c>
      <c r="E243" s="40" t="str">
        <f>IF('PRISM REPORT'!$B243&lt;&gt;"",'RAW DATA'!F243,"")</f>
        <v/>
      </c>
      <c r="F243" s="40" t="str">
        <f>IF('PRISM REPORT'!$B243&lt;&gt;"",IF('PRISM REPORT'!E243&lt;&gt;"",IF('PRISM REPORT'!E243&gt;0,'PRISM REPORT'!E243,0),0),"")</f>
        <v/>
      </c>
      <c r="G243" s="40" t="str">
        <f t="shared" si="6"/>
        <v/>
      </c>
      <c r="I243" s="40" t="str">
        <f t="shared" si="7"/>
        <v/>
      </c>
    </row>
    <row r="244" spans="2:9" x14ac:dyDescent="0.25">
      <c r="B244" s="39" t="str">
        <f>IF('PRISM REPORT'!$B244&lt;&gt;"",'PRISM REPORT'!B244,"")</f>
        <v/>
      </c>
      <c r="C244" s="39" t="str">
        <f>IF('PRISM REPORT'!$B244&lt;&gt;"",'PRISM REPORT'!C244,"")</f>
        <v/>
      </c>
      <c r="D244" s="39" t="str">
        <f>IF('PRISM REPORT'!$B244&lt;&gt;"",'PRISM REPORT'!D244,"")</f>
        <v/>
      </c>
      <c r="E244" s="40" t="str">
        <f>IF('PRISM REPORT'!$B244&lt;&gt;"",'RAW DATA'!F244,"")</f>
        <v/>
      </c>
      <c r="F244" s="40" t="str">
        <f>IF('PRISM REPORT'!$B244&lt;&gt;"",IF('PRISM REPORT'!E244&lt;&gt;"",IF('PRISM REPORT'!E244&gt;0,'PRISM REPORT'!E244,0),0),"")</f>
        <v/>
      </c>
      <c r="G244" s="40" t="str">
        <f t="shared" si="6"/>
        <v/>
      </c>
      <c r="I244" s="40" t="str">
        <f t="shared" si="7"/>
        <v/>
      </c>
    </row>
    <row r="245" spans="2:9" x14ac:dyDescent="0.25">
      <c r="B245" s="39" t="str">
        <f>IF('PRISM REPORT'!$B245&lt;&gt;"",'PRISM REPORT'!B245,"")</f>
        <v/>
      </c>
      <c r="C245" s="39" t="str">
        <f>IF('PRISM REPORT'!$B245&lt;&gt;"",'PRISM REPORT'!C245,"")</f>
        <v/>
      </c>
      <c r="D245" s="39" t="str">
        <f>IF('PRISM REPORT'!$B245&lt;&gt;"",'PRISM REPORT'!D245,"")</f>
        <v/>
      </c>
      <c r="E245" s="40" t="str">
        <f>IF('PRISM REPORT'!$B245&lt;&gt;"",'RAW DATA'!F245,"")</f>
        <v/>
      </c>
      <c r="F245" s="40" t="str">
        <f>IF('PRISM REPORT'!$B245&lt;&gt;"",IF('PRISM REPORT'!E245&lt;&gt;"",IF('PRISM REPORT'!E245&gt;0,'PRISM REPORT'!E245,0),0),"")</f>
        <v/>
      </c>
      <c r="G245" s="40" t="str">
        <f t="shared" si="6"/>
        <v/>
      </c>
      <c r="I245" s="40" t="str">
        <f t="shared" si="7"/>
        <v/>
      </c>
    </row>
    <row r="246" spans="2:9" x14ac:dyDescent="0.25">
      <c r="B246" s="39" t="str">
        <f>IF('PRISM REPORT'!$B246&lt;&gt;"",'PRISM REPORT'!B246,"")</f>
        <v/>
      </c>
      <c r="C246" s="39" t="str">
        <f>IF('PRISM REPORT'!$B246&lt;&gt;"",'PRISM REPORT'!C246,"")</f>
        <v/>
      </c>
      <c r="D246" s="39" t="str">
        <f>IF('PRISM REPORT'!$B246&lt;&gt;"",'PRISM REPORT'!D246,"")</f>
        <v/>
      </c>
      <c r="E246" s="40" t="str">
        <f>IF('PRISM REPORT'!$B246&lt;&gt;"",'RAW DATA'!F246,"")</f>
        <v/>
      </c>
      <c r="F246" s="40" t="str">
        <f>IF('PRISM REPORT'!$B246&lt;&gt;"",IF('PRISM REPORT'!E246&lt;&gt;"",IF('PRISM REPORT'!E246&gt;0,'PRISM REPORT'!E246,0),0),"")</f>
        <v/>
      </c>
      <c r="G246" s="40" t="str">
        <f t="shared" si="6"/>
        <v/>
      </c>
      <c r="I246" s="40" t="str">
        <f t="shared" si="7"/>
        <v/>
      </c>
    </row>
    <row r="247" spans="2:9" x14ac:dyDescent="0.25">
      <c r="B247" s="39" t="str">
        <f>IF('PRISM REPORT'!$B247&lt;&gt;"",'PRISM REPORT'!B247,"")</f>
        <v/>
      </c>
      <c r="C247" s="39" t="str">
        <f>IF('PRISM REPORT'!$B247&lt;&gt;"",'PRISM REPORT'!C247,"")</f>
        <v/>
      </c>
      <c r="D247" s="39" t="str">
        <f>IF('PRISM REPORT'!$B247&lt;&gt;"",'PRISM REPORT'!D247,"")</f>
        <v/>
      </c>
      <c r="E247" s="40" t="str">
        <f>IF('PRISM REPORT'!$B247&lt;&gt;"",'RAW DATA'!F247,"")</f>
        <v/>
      </c>
      <c r="F247" s="40" t="str">
        <f>IF('PRISM REPORT'!$B247&lt;&gt;"",IF('PRISM REPORT'!E247&lt;&gt;"",IF('PRISM REPORT'!E247&gt;0,'PRISM REPORT'!E247,0),0),"")</f>
        <v/>
      </c>
      <c r="G247" s="40" t="str">
        <f t="shared" si="6"/>
        <v/>
      </c>
      <c r="I247" s="40" t="str">
        <f t="shared" si="7"/>
        <v/>
      </c>
    </row>
    <row r="248" spans="2:9" x14ac:dyDescent="0.25">
      <c r="B248" s="39" t="str">
        <f>IF('PRISM REPORT'!$B248&lt;&gt;"",'PRISM REPORT'!B248,"")</f>
        <v/>
      </c>
      <c r="C248" s="39" t="str">
        <f>IF('PRISM REPORT'!$B248&lt;&gt;"",'PRISM REPORT'!C248,"")</f>
        <v/>
      </c>
      <c r="D248" s="39" t="str">
        <f>IF('PRISM REPORT'!$B248&lt;&gt;"",'PRISM REPORT'!D248,"")</f>
        <v/>
      </c>
      <c r="E248" s="40" t="str">
        <f>IF('PRISM REPORT'!$B248&lt;&gt;"",'RAW DATA'!F248,"")</f>
        <v/>
      </c>
      <c r="F248" s="40" t="str">
        <f>IF('PRISM REPORT'!$B248&lt;&gt;"",IF('PRISM REPORT'!E248&lt;&gt;"",IF('PRISM REPORT'!E248&gt;0,'PRISM REPORT'!E248,0),0),"")</f>
        <v/>
      </c>
      <c r="G248" s="40" t="str">
        <f t="shared" si="6"/>
        <v/>
      </c>
      <c r="I248" s="40" t="str">
        <f t="shared" si="7"/>
        <v/>
      </c>
    </row>
    <row r="249" spans="2:9" x14ac:dyDescent="0.25">
      <c r="B249" s="39" t="str">
        <f>IF('PRISM REPORT'!$B249&lt;&gt;"",'PRISM REPORT'!B249,"")</f>
        <v/>
      </c>
      <c r="C249" s="39" t="str">
        <f>IF('PRISM REPORT'!$B249&lt;&gt;"",'PRISM REPORT'!C249,"")</f>
        <v/>
      </c>
      <c r="D249" s="39" t="str">
        <f>IF('PRISM REPORT'!$B249&lt;&gt;"",'PRISM REPORT'!D249,"")</f>
        <v/>
      </c>
      <c r="E249" s="40" t="str">
        <f>IF('PRISM REPORT'!$B249&lt;&gt;"",'RAW DATA'!F249,"")</f>
        <v/>
      </c>
      <c r="F249" s="40" t="str">
        <f>IF('PRISM REPORT'!$B249&lt;&gt;"",IF('PRISM REPORT'!E249&lt;&gt;"",IF('PRISM REPORT'!E249&gt;0,'PRISM REPORT'!E249,0),0),"")</f>
        <v/>
      </c>
      <c r="G249" s="40" t="str">
        <f t="shared" si="6"/>
        <v/>
      </c>
      <c r="I249" s="40" t="str">
        <f t="shared" si="7"/>
        <v/>
      </c>
    </row>
    <row r="250" spans="2:9" x14ac:dyDescent="0.25">
      <c r="B250" s="39" t="str">
        <f>IF('PRISM REPORT'!$B250&lt;&gt;"",'PRISM REPORT'!B250,"")</f>
        <v/>
      </c>
      <c r="C250" s="39" t="str">
        <f>IF('PRISM REPORT'!$B250&lt;&gt;"",'PRISM REPORT'!C250,"")</f>
        <v/>
      </c>
      <c r="D250" s="39" t="str">
        <f>IF('PRISM REPORT'!$B250&lt;&gt;"",'PRISM REPORT'!D250,"")</f>
        <v/>
      </c>
      <c r="E250" s="40" t="str">
        <f>IF('PRISM REPORT'!$B250&lt;&gt;"",'RAW DATA'!F250,"")</f>
        <v/>
      </c>
      <c r="F250" s="40" t="str">
        <f>IF('PRISM REPORT'!$B250&lt;&gt;"",IF('PRISM REPORT'!E250&lt;&gt;"",IF('PRISM REPORT'!E250&gt;0,'PRISM REPORT'!E250,0),0),"")</f>
        <v/>
      </c>
      <c r="G250" s="40" t="str">
        <f t="shared" si="6"/>
        <v/>
      </c>
      <c r="I250" s="40" t="str">
        <f t="shared" si="7"/>
        <v/>
      </c>
    </row>
    <row r="251" spans="2:9" x14ac:dyDescent="0.25">
      <c r="B251" s="39" t="str">
        <f>IF('PRISM REPORT'!$B251&lt;&gt;"",'PRISM REPORT'!B251,"")</f>
        <v/>
      </c>
      <c r="C251" s="39" t="str">
        <f>IF('PRISM REPORT'!$B251&lt;&gt;"",'PRISM REPORT'!C251,"")</f>
        <v/>
      </c>
      <c r="D251" s="39" t="str">
        <f>IF('PRISM REPORT'!$B251&lt;&gt;"",'PRISM REPORT'!D251,"")</f>
        <v/>
      </c>
      <c r="E251" s="40" t="str">
        <f>IF('PRISM REPORT'!$B251&lt;&gt;"",'RAW DATA'!F251,"")</f>
        <v/>
      </c>
      <c r="F251" s="40" t="str">
        <f>IF('PRISM REPORT'!$B251&lt;&gt;"",IF('PRISM REPORT'!E251&lt;&gt;"",IF('PRISM REPORT'!E251&gt;0,'PRISM REPORT'!E251,0),0),"")</f>
        <v/>
      </c>
      <c r="G251" s="40" t="str">
        <f t="shared" si="6"/>
        <v/>
      </c>
      <c r="I251" s="40" t="str">
        <f t="shared" si="7"/>
        <v/>
      </c>
    </row>
    <row r="252" spans="2:9" x14ac:dyDescent="0.25">
      <c r="B252" s="39" t="str">
        <f>IF('PRISM REPORT'!$B252&lt;&gt;"",'PRISM REPORT'!B252,"")</f>
        <v/>
      </c>
      <c r="C252" s="39" t="str">
        <f>IF('PRISM REPORT'!$B252&lt;&gt;"",'PRISM REPORT'!C252,"")</f>
        <v/>
      </c>
      <c r="D252" s="39" t="str">
        <f>IF('PRISM REPORT'!$B252&lt;&gt;"",'PRISM REPORT'!D252,"")</f>
        <v/>
      </c>
      <c r="E252" s="40" t="str">
        <f>IF('PRISM REPORT'!$B252&lt;&gt;"",'RAW DATA'!F252,"")</f>
        <v/>
      </c>
      <c r="F252" s="40" t="str">
        <f>IF('PRISM REPORT'!$B252&lt;&gt;"",IF('PRISM REPORT'!E252&lt;&gt;"",IF('PRISM REPORT'!E252&gt;0,'PRISM REPORT'!E252,0),0),"")</f>
        <v/>
      </c>
      <c r="G252" s="40" t="str">
        <f t="shared" si="6"/>
        <v/>
      </c>
      <c r="I252" s="40" t="str">
        <f t="shared" si="7"/>
        <v/>
      </c>
    </row>
    <row r="253" spans="2:9" x14ac:dyDescent="0.25">
      <c r="B253" s="39" t="str">
        <f>IF('PRISM REPORT'!$B253&lt;&gt;"",'PRISM REPORT'!B253,"")</f>
        <v/>
      </c>
      <c r="C253" s="39" t="str">
        <f>IF('PRISM REPORT'!$B253&lt;&gt;"",'PRISM REPORT'!C253,"")</f>
        <v/>
      </c>
      <c r="D253" s="39" t="str">
        <f>IF('PRISM REPORT'!$B253&lt;&gt;"",'PRISM REPORT'!D253,"")</f>
        <v/>
      </c>
      <c r="E253" s="40" t="str">
        <f>IF('PRISM REPORT'!$B253&lt;&gt;"",'RAW DATA'!F253,"")</f>
        <v/>
      </c>
      <c r="F253" s="40" t="str">
        <f>IF('PRISM REPORT'!$B253&lt;&gt;"",IF('PRISM REPORT'!E253&lt;&gt;"",IF('PRISM REPORT'!E253&gt;0,'PRISM REPORT'!E253,0),0),"")</f>
        <v/>
      </c>
      <c r="G253" s="40" t="str">
        <f t="shared" si="6"/>
        <v/>
      </c>
      <c r="I253" s="40" t="str">
        <f t="shared" si="7"/>
        <v/>
      </c>
    </row>
    <row r="254" spans="2:9" x14ac:dyDescent="0.25">
      <c r="B254" s="39" t="str">
        <f>IF('PRISM REPORT'!$B254&lt;&gt;"",'PRISM REPORT'!B254,"")</f>
        <v/>
      </c>
      <c r="C254" s="39" t="str">
        <f>IF('PRISM REPORT'!$B254&lt;&gt;"",'PRISM REPORT'!C254,"")</f>
        <v/>
      </c>
      <c r="D254" s="39" t="str">
        <f>IF('PRISM REPORT'!$B254&lt;&gt;"",'PRISM REPORT'!D254,"")</f>
        <v/>
      </c>
      <c r="E254" s="40" t="str">
        <f>IF('PRISM REPORT'!$B254&lt;&gt;"",'RAW DATA'!F254,"")</f>
        <v/>
      </c>
      <c r="F254" s="40" t="str">
        <f>IF('PRISM REPORT'!$B254&lt;&gt;"",IF('PRISM REPORT'!E254&lt;&gt;"",IF('PRISM REPORT'!E254&gt;0,'PRISM REPORT'!E254,0),0),"")</f>
        <v/>
      </c>
      <c r="G254" s="40" t="str">
        <f t="shared" si="6"/>
        <v/>
      </c>
      <c r="I254" s="40" t="str">
        <f t="shared" si="7"/>
        <v/>
      </c>
    </row>
    <row r="255" spans="2:9" x14ac:dyDescent="0.25">
      <c r="B255" s="39" t="str">
        <f>IF('PRISM REPORT'!$B255&lt;&gt;"",'PRISM REPORT'!B255,"")</f>
        <v/>
      </c>
      <c r="C255" s="39" t="str">
        <f>IF('PRISM REPORT'!$B255&lt;&gt;"",'PRISM REPORT'!C255,"")</f>
        <v/>
      </c>
      <c r="D255" s="39" t="str">
        <f>IF('PRISM REPORT'!$B255&lt;&gt;"",'PRISM REPORT'!D255,"")</f>
        <v/>
      </c>
      <c r="E255" s="40" t="str">
        <f>IF('PRISM REPORT'!$B255&lt;&gt;"",'RAW DATA'!F255,"")</f>
        <v/>
      </c>
      <c r="F255" s="40" t="str">
        <f>IF('PRISM REPORT'!$B255&lt;&gt;"",IF('PRISM REPORT'!E255&lt;&gt;"",IF('PRISM REPORT'!E255&gt;0,'PRISM REPORT'!E255,0),0),"")</f>
        <v/>
      </c>
      <c r="G255" s="40" t="str">
        <f t="shared" si="6"/>
        <v/>
      </c>
      <c r="I255" s="40" t="str">
        <f t="shared" si="7"/>
        <v/>
      </c>
    </row>
    <row r="256" spans="2:9" x14ac:dyDescent="0.25">
      <c r="B256" s="39" t="str">
        <f>IF('PRISM REPORT'!$B256&lt;&gt;"",'PRISM REPORT'!B256,"")</f>
        <v/>
      </c>
      <c r="C256" s="39" t="str">
        <f>IF('PRISM REPORT'!$B256&lt;&gt;"",'PRISM REPORT'!C256,"")</f>
        <v/>
      </c>
      <c r="D256" s="39" t="str">
        <f>IF('PRISM REPORT'!$B256&lt;&gt;"",'PRISM REPORT'!D256,"")</f>
        <v/>
      </c>
      <c r="E256" s="40" t="str">
        <f>IF('PRISM REPORT'!$B256&lt;&gt;"",'RAW DATA'!F256,"")</f>
        <v/>
      </c>
      <c r="F256" s="40" t="str">
        <f>IF('PRISM REPORT'!$B256&lt;&gt;"",IF('PRISM REPORT'!E256&lt;&gt;"",IF('PRISM REPORT'!E256&gt;0,'PRISM REPORT'!E256,0),0),"")</f>
        <v/>
      </c>
      <c r="G256" s="40" t="str">
        <f t="shared" si="6"/>
        <v/>
      </c>
      <c r="I256" s="40" t="str">
        <f t="shared" si="7"/>
        <v/>
      </c>
    </row>
    <row r="257" spans="2:9" x14ac:dyDescent="0.25">
      <c r="B257" s="39" t="str">
        <f>IF('PRISM REPORT'!$B257&lt;&gt;"",'PRISM REPORT'!B257,"")</f>
        <v/>
      </c>
      <c r="C257" s="39" t="str">
        <f>IF('PRISM REPORT'!$B257&lt;&gt;"",'PRISM REPORT'!C257,"")</f>
        <v/>
      </c>
      <c r="D257" s="39" t="str">
        <f>IF('PRISM REPORT'!$B257&lt;&gt;"",'PRISM REPORT'!D257,"")</f>
        <v/>
      </c>
      <c r="E257" s="40" t="str">
        <f>IF('PRISM REPORT'!$B257&lt;&gt;"",'RAW DATA'!F257,"")</f>
        <v/>
      </c>
      <c r="F257" s="40" t="str">
        <f>IF('PRISM REPORT'!$B257&lt;&gt;"",IF('PRISM REPORT'!E257&lt;&gt;"",IF('PRISM REPORT'!E257&gt;0,'PRISM REPORT'!E257,0),0),"")</f>
        <v/>
      </c>
      <c r="G257" s="40" t="str">
        <f t="shared" si="6"/>
        <v/>
      </c>
      <c r="I257" s="40" t="str">
        <f t="shared" si="7"/>
        <v/>
      </c>
    </row>
    <row r="258" spans="2:9" x14ac:dyDescent="0.25">
      <c r="B258" s="39" t="str">
        <f>IF('PRISM REPORT'!$B258&lt;&gt;"",'PRISM REPORT'!B258,"")</f>
        <v/>
      </c>
      <c r="C258" s="39" t="str">
        <f>IF('PRISM REPORT'!$B258&lt;&gt;"",'PRISM REPORT'!C258,"")</f>
        <v/>
      </c>
      <c r="D258" s="39" t="str">
        <f>IF('PRISM REPORT'!$B258&lt;&gt;"",'PRISM REPORT'!D258,"")</f>
        <v/>
      </c>
      <c r="E258" s="40" t="str">
        <f>IF('PRISM REPORT'!$B258&lt;&gt;"",'RAW DATA'!F258,"")</f>
        <v/>
      </c>
      <c r="F258" s="40" t="str">
        <f>IF('PRISM REPORT'!$B258&lt;&gt;"",IF('PRISM REPORT'!E258&lt;&gt;"",IF('PRISM REPORT'!E258&gt;0,'PRISM REPORT'!E258,0),0),"")</f>
        <v/>
      </c>
      <c r="G258" s="40" t="str">
        <f t="shared" si="6"/>
        <v/>
      </c>
      <c r="I258" s="40" t="str">
        <f t="shared" si="7"/>
        <v/>
      </c>
    </row>
    <row r="259" spans="2:9" x14ac:dyDescent="0.25">
      <c r="B259" s="39" t="str">
        <f>IF('PRISM REPORT'!$B259&lt;&gt;"",'PRISM REPORT'!B259,"")</f>
        <v/>
      </c>
      <c r="C259" s="39" t="str">
        <f>IF('PRISM REPORT'!$B259&lt;&gt;"",'PRISM REPORT'!C259,"")</f>
        <v/>
      </c>
      <c r="D259" s="39" t="str">
        <f>IF('PRISM REPORT'!$B259&lt;&gt;"",'PRISM REPORT'!D259,"")</f>
        <v/>
      </c>
      <c r="E259" s="40" t="str">
        <f>IF('PRISM REPORT'!$B259&lt;&gt;"",'RAW DATA'!F259,"")</f>
        <v/>
      </c>
      <c r="F259" s="40" t="str">
        <f>IF('PRISM REPORT'!$B259&lt;&gt;"",IF('PRISM REPORT'!E259&lt;&gt;"",IF('PRISM REPORT'!E259&gt;0,'PRISM REPORT'!E259,0),0),"")</f>
        <v/>
      </c>
      <c r="G259" s="40" t="str">
        <f t="shared" si="6"/>
        <v/>
      </c>
      <c r="I259" s="40" t="str">
        <f t="shared" si="7"/>
        <v/>
      </c>
    </row>
    <row r="260" spans="2:9" x14ac:dyDescent="0.25">
      <c r="B260" s="39" t="str">
        <f>IF('PRISM REPORT'!$B260&lt;&gt;"",'PRISM REPORT'!B260,"")</f>
        <v/>
      </c>
      <c r="C260" s="39" t="str">
        <f>IF('PRISM REPORT'!$B260&lt;&gt;"",'PRISM REPORT'!C260,"")</f>
        <v/>
      </c>
      <c r="D260" s="39" t="str">
        <f>IF('PRISM REPORT'!$B260&lt;&gt;"",'PRISM REPORT'!D260,"")</f>
        <v/>
      </c>
      <c r="E260" s="40" t="str">
        <f>IF('PRISM REPORT'!$B260&lt;&gt;"",'RAW DATA'!F260,"")</f>
        <v/>
      </c>
      <c r="F260" s="40" t="str">
        <f>IF('PRISM REPORT'!$B260&lt;&gt;"",IF('PRISM REPORT'!E260&lt;&gt;"",IF('PRISM REPORT'!E260&gt;0,'PRISM REPORT'!E260,0),0),"")</f>
        <v/>
      </c>
      <c r="G260" s="40" t="str">
        <f t="shared" si="6"/>
        <v/>
      </c>
      <c r="I260" s="40" t="str">
        <f t="shared" si="7"/>
        <v/>
      </c>
    </row>
    <row r="261" spans="2:9" x14ac:dyDescent="0.25">
      <c r="B261" s="39" t="str">
        <f>IF('PRISM REPORT'!$B261&lt;&gt;"",'PRISM REPORT'!B261,"")</f>
        <v/>
      </c>
      <c r="C261" s="39" t="str">
        <f>IF('PRISM REPORT'!$B261&lt;&gt;"",'PRISM REPORT'!C261,"")</f>
        <v/>
      </c>
      <c r="D261" s="39" t="str">
        <f>IF('PRISM REPORT'!$B261&lt;&gt;"",'PRISM REPORT'!D261,"")</f>
        <v/>
      </c>
      <c r="E261" s="40" t="str">
        <f>IF('PRISM REPORT'!$B261&lt;&gt;"",'RAW DATA'!F261,"")</f>
        <v/>
      </c>
      <c r="F261" s="40" t="str">
        <f>IF('PRISM REPORT'!$B261&lt;&gt;"",IF('PRISM REPORT'!E261&lt;&gt;"",IF('PRISM REPORT'!E261&gt;0,'PRISM REPORT'!E261,0),0),"")</f>
        <v/>
      </c>
      <c r="G261" s="40" t="str">
        <f t="shared" ref="G261:G324" si="8">IF(AND(B261&lt;&gt;"",C261&lt;&gt;""),SUM(E261,F261),"")</f>
        <v/>
      </c>
      <c r="I261" s="40" t="str">
        <f t="shared" ref="I261:I324" si="9">IF(AND(B261&lt;&gt;"",C261&lt;&gt;""),G261-(H261*50),"")</f>
        <v/>
      </c>
    </row>
    <row r="262" spans="2:9" x14ac:dyDescent="0.25">
      <c r="B262" s="39" t="str">
        <f>IF('PRISM REPORT'!$B262&lt;&gt;"",'PRISM REPORT'!B262,"")</f>
        <v/>
      </c>
      <c r="C262" s="39" t="str">
        <f>IF('PRISM REPORT'!$B262&lt;&gt;"",'PRISM REPORT'!C262,"")</f>
        <v/>
      </c>
      <c r="D262" s="39" t="str">
        <f>IF('PRISM REPORT'!$B262&lt;&gt;"",'PRISM REPORT'!D262,"")</f>
        <v/>
      </c>
      <c r="E262" s="40" t="str">
        <f>IF('PRISM REPORT'!$B262&lt;&gt;"",'RAW DATA'!F262,"")</f>
        <v/>
      </c>
      <c r="F262" s="40" t="str">
        <f>IF('PRISM REPORT'!$B262&lt;&gt;"",IF('PRISM REPORT'!E262&lt;&gt;"",IF('PRISM REPORT'!E262&gt;0,'PRISM REPORT'!E262,0),0),"")</f>
        <v/>
      </c>
      <c r="G262" s="40" t="str">
        <f t="shared" si="8"/>
        <v/>
      </c>
      <c r="I262" s="40" t="str">
        <f t="shared" si="9"/>
        <v/>
      </c>
    </row>
    <row r="263" spans="2:9" x14ac:dyDescent="0.25">
      <c r="B263" s="39" t="str">
        <f>IF('PRISM REPORT'!$B263&lt;&gt;"",'PRISM REPORT'!B263,"")</f>
        <v/>
      </c>
      <c r="C263" s="39" t="str">
        <f>IF('PRISM REPORT'!$B263&lt;&gt;"",'PRISM REPORT'!C263,"")</f>
        <v/>
      </c>
      <c r="D263" s="39" t="str">
        <f>IF('PRISM REPORT'!$B263&lt;&gt;"",'PRISM REPORT'!D263,"")</f>
        <v/>
      </c>
      <c r="E263" s="40" t="str">
        <f>IF('PRISM REPORT'!$B263&lt;&gt;"",'RAW DATA'!F263,"")</f>
        <v/>
      </c>
      <c r="F263" s="40" t="str">
        <f>IF('PRISM REPORT'!$B263&lt;&gt;"",IF('PRISM REPORT'!E263&lt;&gt;"",IF('PRISM REPORT'!E263&gt;0,'PRISM REPORT'!E263,0),0),"")</f>
        <v/>
      </c>
      <c r="G263" s="40" t="str">
        <f t="shared" si="8"/>
        <v/>
      </c>
      <c r="I263" s="40" t="str">
        <f t="shared" si="9"/>
        <v/>
      </c>
    </row>
    <row r="264" spans="2:9" x14ac:dyDescent="0.25">
      <c r="B264" s="39" t="str">
        <f>IF('PRISM REPORT'!$B264&lt;&gt;"",'PRISM REPORT'!B264,"")</f>
        <v/>
      </c>
      <c r="C264" s="39" t="str">
        <f>IF('PRISM REPORT'!$B264&lt;&gt;"",'PRISM REPORT'!C264,"")</f>
        <v/>
      </c>
      <c r="D264" s="39" t="str">
        <f>IF('PRISM REPORT'!$B264&lt;&gt;"",'PRISM REPORT'!D264,"")</f>
        <v/>
      </c>
      <c r="E264" s="40" t="str">
        <f>IF('PRISM REPORT'!$B264&lt;&gt;"",'RAW DATA'!F264,"")</f>
        <v/>
      </c>
      <c r="F264" s="40" t="str">
        <f>IF('PRISM REPORT'!$B264&lt;&gt;"",IF('PRISM REPORT'!E264&lt;&gt;"",IF('PRISM REPORT'!E264&gt;0,'PRISM REPORT'!E264,0),0),"")</f>
        <v/>
      </c>
      <c r="G264" s="40" t="str">
        <f t="shared" si="8"/>
        <v/>
      </c>
      <c r="I264" s="40" t="str">
        <f t="shared" si="9"/>
        <v/>
      </c>
    </row>
    <row r="265" spans="2:9" x14ac:dyDescent="0.25">
      <c r="B265" s="39" t="str">
        <f>IF('PRISM REPORT'!$B265&lt;&gt;"",'PRISM REPORT'!B265,"")</f>
        <v/>
      </c>
      <c r="C265" s="39" t="str">
        <f>IF('PRISM REPORT'!$B265&lt;&gt;"",'PRISM REPORT'!C265,"")</f>
        <v/>
      </c>
      <c r="D265" s="39" t="str">
        <f>IF('PRISM REPORT'!$B265&lt;&gt;"",'PRISM REPORT'!D265,"")</f>
        <v/>
      </c>
      <c r="E265" s="40" t="str">
        <f>IF('PRISM REPORT'!$B265&lt;&gt;"",'RAW DATA'!F265,"")</f>
        <v/>
      </c>
      <c r="F265" s="40" t="str">
        <f>IF('PRISM REPORT'!$B265&lt;&gt;"",IF('PRISM REPORT'!E265&lt;&gt;"",IF('PRISM REPORT'!E265&gt;0,'PRISM REPORT'!E265,0),0),"")</f>
        <v/>
      </c>
      <c r="G265" s="40" t="str">
        <f t="shared" si="8"/>
        <v/>
      </c>
      <c r="I265" s="40" t="str">
        <f t="shared" si="9"/>
        <v/>
      </c>
    </row>
    <row r="266" spans="2:9" x14ac:dyDescent="0.25">
      <c r="B266" s="39" t="str">
        <f>IF('PRISM REPORT'!$B266&lt;&gt;"",'PRISM REPORT'!B266,"")</f>
        <v/>
      </c>
      <c r="C266" s="39" t="str">
        <f>IF('PRISM REPORT'!$B266&lt;&gt;"",'PRISM REPORT'!C266,"")</f>
        <v/>
      </c>
      <c r="D266" s="39" t="str">
        <f>IF('PRISM REPORT'!$B266&lt;&gt;"",'PRISM REPORT'!D266,"")</f>
        <v/>
      </c>
      <c r="E266" s="40" t="str">
        <f>IF('PRISM REPORT'!$B266&lt;&gt;"",'RAW DATA'!F266,"")</f>
        <v/>
      </c>
      <c r="F266" s="40" t="str">
        <f>IF('PRISM REPORT'!$B266&lt;&gt;"",IF('PRISM REPORT'!E266&lt;&gt;"",IF('PRISM REPORT'!E266&gt;0,'PRISM REPORT'!E266,0),0),"")</f>
        <v/>
      </c>
      <c r="G266" s="40" t="str">
        <f t="shared" si="8"/>
        <v/>
      </c>
      <c r="I266" s="40" t="str">
        <f t="shared" si="9"/>
        <v/>
      </c>
    </row>
    <row r="267" spans="2:9" x14ac:dyDescent="0.25">
      <c r="B267" s="39" t="str">
        <f>IF('PRISM REPORT'!$B267&lt;&gt;"",'PRISM REPORT'!B267,"")</f>
        <v/>
      </c>
      <c r="C267" s="39" t="str">
        <f>IF('PRISM REPORT'!$B267&lt;&gt;"",'PRISM REPORT'!C267,"")</f>
        <v/>
      </c>
      <c r="D267" s="39" t="str">
        <f>IF('PRISM REPORT'!$B267&lt;&gt;"",'PRISM REPORT'!D267,"")</f>
        <v/>
      </c>
      <c r="E267" s="40" t="str">
        <f>IF('PRISM REPORT'!$B267&lt;&gt;"",'RAW DATA'!F267,"")</f>
        <v/>
      </c>
      <c r="F267" s="40" t="str">
        <f>IF('PRISM REPORT'!$B267&lt;&gt;"",IF('PRISM REPORT'!E267&lt;&gt;"",IF('PRISM REPORT'!E267&gt;0,'PRISM REPORT'!E267,0),0),"")</f>
        <v/>
      </c>
      <c r="G267" s="40" t="str">
        <f t="shared" si="8"/>
        <v/>
      </c>
      <c r="I267" s="40" t="str">
        <f t="shared" si="9"/>
        <v/>
      </c>
    </row>
    <row r="268" spans="2:9" x14ac:dyDescent="0.25">
      <c r="B268" s="39" t="str">
        <f>IF('PRISM REPORT'!$B268&lt;&gt;"",'PRISM REPORT'!B268,"")</f>
        <v/>
      </c>
      <c r="C268" s="39" t="str">
        <f>IF('PRISM REPORT'!$B268&lt;&gt;"",'PRISM REPORT'!C268,"")</f>
        <v/>
      </c>
      <c r="D268" s="39" t="str">
        <f>IF('PRISM REPORT'!$B268&lt;&gt;"",'PRISM REPORT'!D268,"")</f>
        <v/>
      </c>
      <c r="E268" s="40" t="str">
        <f>IF('PRISM REPORT'!$B268&lt;&gt;"",'RAW DATA'!F268,"")</f>
        <v/>
      </c>
      <c r="F268" s="40" t="str">
        <f>IF('PRISM REPORT'!$B268&lt;&gt;"",IF('PRISM REPORT'!E268&lt;&gt;"",IF('PRISM REPORT'!E268&gt;0,'PRISM REPORT'!E268,0),0),"")</f>
        <v/>
      </c>
      <c r="G268" s="40" t="str">
        <f t="shared" si="8"/>
        <v/>
      </c>
      <c r="I268" s="40" t="str">
        <f t="shared" si="9"/>
        <v/>
      </c>
    </row>
    <row r="269" spans="2:9" x14ac:dyDescent="0.25">
      <c r="B269" s="39" t="str">
        <f>IF('PRISM REPORT'!$B269&lt;&gt;"",'PRISM REPORT'!B269,"")</f>
        <v/>
      </c>
      <c r="C269" s="39" t="str">
        <f>IF('PRISM REPORT'!$B269&lt;&gt;"",'PRISM REPORT'!C269,"")</f>
        <v/>
      </c>
      <c r="D269" s="39" t="str">
        <f>IF('PRISM REPORT'!$B269&lt;&gt;"",'PRISM REPORT'!D269,"")</f>
        <v/>
      </c>
      <c r="E269" s="40" t="str">
        <f>IF('PRISM REPORT'!$B269&lt;&gt;"",'RAW DATA'!F269,"")</f>
        <v/>
      </c>
      <c r="F269" s="40" t="str">
        <f>IF('PRISM REPORT'!$B269&lt;&gt;"",IF('PRISM REPORT'!E269&lt;&gt;"",IF('PRISM REPORT'!E269&gt;0,'PRISM REPORT'!E269,0),0),"")</f>
        <v/>
      </c>
      <c r="G269" s="40" t="str">
        <f t="shared" si="8"/>
        <v/>
      </c>
      <c r="I269" s="40" t="str">
        <f t="shared" si="9"/>
        <v/>
      </c>
    </row>
    <row r="270" spans="2:9" x14ac:dyDescent="0.25">
      <c r="B270" s="39" t="str">
        <f>IF('PRISM REPORT'!$B270&lt;&gt;"",'PRISM REPORT'!B270,"")</f>
        <v/>
      </c>
      <c r="C270" s="39" t="str">
        <f>IF('PRISM REPORT'!$B270&lt;&gt;"",'PRISM REPORT'!C270,"")</f>
        <v/>
      </c>
      <c r="D270" s="39" t="str">
        <f>IF('PRISM REPORT'!$B270&lt;&gt;"",'PRISM REPORT'!D270,"")</f>
        <v/>
      </c>
      <c r="E270" s="40" t="str">
        <f>IF('PRISM REPORT'!$B270&lt;&gt;"",'RAW DATA'!F270,"")</f>
        <v/>
      </c>
      <c r="F270" s="40" t="str">
        <f>IF('PRISM REPORT'!$B270&lt;&gt;"",IF('PRISM REPORT'!E270&lt;&gt;"",IF('PRISM REPORT'!E270&gt;0,'PRISM REPORT'!E270,0),0),"")</f>
        <v/>
      </c>
      <c r="G270" s="40" t="str">
        <f t="shared" si="8"/>
        <v/>
      </c>
      <c r="I270" s="40" t="str">
        <f t="shared" si="9"/>
        <v/>
      </c>
    </row>
    <row r="271" spans="2:9" x14ac:dyDescent="0.25">
      <c r="B271" s="39" t="str">
        <f>IF('PRISM REPORT'!$B271&lt;&gt;"",'PRISM REPORT'!B271,"")</f>
        <v/>
      </c>
      <c r="C271" s="39" t="str">
        <f>IF('PRISM REPORT'!$B271&lt;&gt;"",'PRISM REPORT'!C271,"")</f>
        <v/>
      </c>
      <c r="D271" s="39" t="str">
        <f>IF('PRISM REPORT'!$B271&lt;&gt;"",'PRISM REPORT'!D271,"")</f>
        <v/>
      </c>
      <c r="E271" s="40" t="str">
        <f>IF('PRISM REPORT'!$B271&lt;&gt;"",'RAW DATA'!F271,"")</f>
        <v/>
      </c>
      <c r="F271" s="40" t="str">
        <f>IF('PRISM REPORT'!$B271&lt;&gt;"",IF('PRISM REPORT'!E271&lt;&gt;"",IF('PRISM REPORT'!E271&gt;0,'PRISM REPORT'!E271,0),0),"")</f>
        <v/>
      </c>
      <c r="G271" s="40" t="str">
        <f t="shared" si="8"/>
        <v/>
      </c>
      <c r="I271" s="40" t="str">
        <f t="shared" si="9"/>
        <v/>
      </c>
    </row>
    <row r="272" spans="2:9" x14ac:dyDescent="0.25">
      <c r="B272" s="39" t="str">
        <f>IF('PRISM REPORT'!$B272&lt;&gt;"",'PRISM REPORT'!B272,"")</f>
        <v/>
      </c>
      <c r="C272" s="39" t="str">
        <f>IF('PRISM REPORT'!$B272&lt;&gt;"",'PRISM REPORT'!C272,"")</f>
        <v/>
      </c>
      <c r="D272" s="39" t="str">
        <f>IF('PRISM REPORT'!$B272&lt;&gt;"",'PRISM REPORT'!D272,"")</f>
        <v/>
      </c>
      <c r="E272" s="40" t="str">
        <f>IF('PRISM REPORT'!$B272&lt;&gt;"",'RAW DATA'!F272,"")</f>
        <v/>
      </c>
      <c r="F272" s="40" t="str">
        <f>IF('PRISM REPORT'!$B272&lt;&gt;"",IF('PRISM REPORT'!E272&lt;&gt;"",IF('PRISM REPORT'!E272&gt;0,'PRISM REPORT'!E272,0),0),"")</f>
        <v/>
      </c>
      <c r="G272" s="40" t="str">
        <f t="shared" si="8"/>
        <v/>
      </c>
      <c r="I272" s="40" t="str">
        <f t="shared" si="9"/>
        <v/>
      </c>
    </row>
    <row r="273" spans="2:9" x14ac:dyDescent="0.25">
      <c r="B273" s="39" t="str">
        <f>IF('PRISM REPORT'!$B273&lt;&gt;"",'PRISM REPORT'!B273,"")</f>
        <v/>
      </c>
      <c r="C273" s="39" t="str">
        <f>IF('PRISM REPORT'!$B273&lt;&gt;"",'PRISM REPORT'!C273,"")</f>
        <v/>
      </c>
      <c r="D273" s="39" t="str">
        <f>IF('PRISM REPORT'!$B273&lt;&gt;"",'PRISM REPORT'!D273,"")</f>
        <v/>
      </c>
      <c r="E273" s="40" t="str">
        <f>IF('PRISM REPORT'!$B273&lt;&gt;"",'RAW DATA'!F273,"")</f>
        <v/>
      </c>
      <c r="F273" s="40" t="str">
        <f>IF('PRISM REPORT'!$B273&lt;&gt;"",IF('PRISM REPORT'!E273&lt;&gt;"",IF('PRISM REPORT'!E273&gt;0,'PRISM REPORT'!E273,0),0),"")</f>
        <v/>
      </c>
      <c r="G273" s="40" t="str">
        <f t="shared" si="8"/>
        <v/>
      </c>
      <c r="I273" s="40" t="str">
        <f t="shared" si="9"/>
        <v/>
      </c>
    </row>
    <row r="274" spans="2:9" x14ac:dyDescent="0.25">
      <c r="B274" s="39" t="str">
        <f>IF('PRISM REPORT'!$B274&lt;&gt;"",'PRISM REPORT'!B274,"")</f>
        <v/>
      </c>
      <c r="C274" s="39" t="str">
        <f>IF('PRISM REPORT'!$B274&lt;&gt;"",'PRISM REPORT'!C274,"")</f>
        <v/>
      </c>
      <c r="D274" s="39" t="str">
        <f>IF('PRISM REPORT'!$B274&lt;&gt;"",'PRISM REPORT'!D274,"")</f>
        <v/>
      </c>
      <c r="E274" s="40" t="str">
        <f>IF('PRISM REPORT'!$B274&lt;&gt;"",'RAW DATA'!F274,"")</f>
        <v/>
      </c>
      <c r="F274" s="40" t="str">
        <f>IF('PRISM REPORT'!$B274&lt;&gt;"",IF('PRISM REPORT'!E274&lt;&gt;"",IF('PRISM REPORT'!E274&gt;0,'PRISM REPORT'!E274,0),0),"")</f>
        <v/>
      </c>
      <c r="G274" s="40" t="str">
        <f t="shared" si="8"/>
        <v/>
      </c>
      <c r="I274" s="40" t="str">
        <f t="shared" si="9"/>
        <v/>
      </c>
    </row>
    <row r="275" spans="2:9" x14ac:dyDescent="0.25">
      <c r="B275" s="39" t="str">
        <f>IF('PRISM REPORT'!$B275&lt;&gt;"",'PRISM REPORT'!B275,"")</f>
        <v/>
      </c>
      <c r="C275" s="39" t="str">
        <f>IF('PRISM REPORT'!$B275&lt;&gt;"",'PRISM REPORT'!C275,"")</f>
        <v/>
      </c>
      <c r="D275" s="39" t="str">
        <f>IF('PRISM REPORT'!$B275&lt;&gt;"",'PRISM REPORT'!D275,"")</f>
        <v/>
      </c>
      <c r="E275" s="40" t="str">
        <f>IF('PRISM REPORT'!$B275&lt;&gt;"",'RAW DATA'!F275,"")</f>
        <v/>
      </c>
      <c r="F275" s="40" t="str">
        <f>IF('PRISM REPORT'!$B275&lt;&gt;"",IF('PRISM REPORT'!E275&lt;&gt;"",IF('PRISM REPORT'!E275&gt;0,'PRISM REPORT'!E275,0),0),"")</f>
        <v/>
      </c>
      <c r="G275" s="40" t="str">
        <f t="shared" si="8"/>
        <v/>
      </c>
      <c r="I275" s="40" t="str">
        <f t="shared" si="9"/>
        <v/>
      </c>
    </row>
    <row r="276" spans="2:9" x14ac:dyDescent="0.25">
      <c r="B276" s="39" t="str">
        <f>IF('PRISM REPORT'!$B276&lt;&gt;"",'PRISM REPORT'!B276,"")</f>
        <v/>
      </c>
      <c r="C276" s="39" t="str">
        <f>IF('PRISM REPORT'!$B276&lt;&gt;"",'PRISM REPORT'!C276,"")</f>
        <v/>
      </c>
      <c r="D276" s="39" t="str">
        <f>IF('PRISM REPORT'!$B276&lt;&gt;"",'PRISM REPORT'!D276,"")</f>
        <v/>
      </c>
      <c r="E276" s="40" t="str">
        <f>IF('PRISM REPORT'!$B276&lt;&gt;"",'RAW DATA'!F276,"")</f>
        <v/>
      </c>
      <c r="F276" s="40" t="str">
        <f>IF('PRISM REPORT'!$B276&lt;&gt;"",IF('PRISM REPORT'!E276&lt;&gt;"",IF('PRISM REPORT'!E276&gt;0,'PRISM REPORT'!E276,0),0),"")</f>
        <v/>
      </c>
      <c r="G276" s="40" t="str">
        <f t="shared" si="8"/>
        <v/>
      </c>
      <c r="I276" s="40" t="str">
        <f t="shared" si="9"/>
        <v/>
      </c>
    </row>
    <row r="277" spans="2:9" x14ac:dyDescent="0.25">
      <c r="B277" s="39" t="str">
        <f>IF('PRISM REPORT'!$B277&lt;&gt;"",'PRISM REPORT'!B277,"")</f>
        <v/>
      </c>
      <c r="C277" s="39" t="str">
        <f>IF('PRISM REPORT'!$B277&lt;&gt;"",'PRISM REPORT'!C277,"")</f>
        <v/>
      </c>
      <c r="D277" s="39" t="str">
        <f>IF('PRISM REPORT'!$B277&lt;&gt;"",'PRISM REPORT'!D277,"")</f>
        <v/>
      </c>
      <c r="E277" s="40" t="str">
        <f>IF('PRISM REPORT'!$B277&lt;&gt;"",'RAW DATA'!F277,"")</f>
        <v/>
      </c>
      <c r="F277" s="40" t="str">
        <f>IF('PRISM REPORT'!$B277&lt;&gt;"",IF('PRISM REPORT'!E277&lt;&gt;"",IF('PRISM REPORT'!E277&gt;0,'PRISM REPORT'!E277,0),0),"")</f>
        <v/>
      </c>
      <c r="G277" s="40" t="str">
        <f t="shared" si="8"/>
        <v/>
      </c>
      <c r="I277" s="40" t="str">
        <f t="shared" si="9"/>
        <v/>
      </c>
    </row>
    <row r="278" spans="2:9" x14ac:dyDescent="0.25">
      <c r="B278" s="39" t="str">
        <f>IF('PRISM REPORT'!$B278&lt;&gt;"",'PRISM REPORT'!B278,"")</f>
        <v/>
      </c>
      <c r="C278" s="39" t="str">
        <f>IF('PRISM REPORT'!$B278&lt;&gt;"",'PRISM REPORT'!C278,"")</f>
        <v/>
      </c>
      <c r="D278" s="39" t="str">
        <f>IF('PRISM REPORT'!$B278&lt;&gt;"",'PRISM REPORT'!D278,"")</f>
        <v/>
      </c>
      <c r="E278" s="40" t="str">
        <f>IF('PRISM REPORT'!$B278&lt;&gt;"",'RAW DATA'!F278,"")</f>
        <v/>
      </c>
      <c r="F278" s="40" t="str">
        <f>IF('PRISM REPORT'!$B278&lt;&gt;"",IF('PRISM REPORT'!E278&lt;&gt;"",IF('PRISM REPORT'!E278&gt;0,'PRISM REPORT'!E278,0),0),"")</f>
        <v/>
      </c>
      <c r="G278" s="40" t="str">
        <f t="shared" si="8"/>
        <v/>
      </c>
      <c r="I278" s="40" t="str">
        <f t="shared" si="9"/>
        <v/>
      </c>
    </row>
    <row r="279" spans="2:9" x14ac:dyDescent="0.25">
      <c r="B279" s="39" t="str">
        <f>IF('PRISM REPORT'!$B279&lt;&gt;"",'PRISM REPORT'!B279,"")</f>
        <v/>
      </c>
      <c r="C279" s="39" t="str">
        <f>IF('PRISM REPORT'!$B279&lt;&gt;"",'PRISM REPORT'!C279,"")</f>
        <v/>
      </c>
      <c r="D279" s="39" t="str">
        <f>IF('PRISM REPORT'!$B279&lt;&gt;"",'PRISM REPORT'!D279,"")</f>
        <v/>
      </c>
      <c r="E279" s="40" t="str">
        <f>IF('PRISM REPORT'!$B279&lt;&gt;"",'RAW DATA'!F279,"")</f>
        <v/>
      </c>
      <c r="F279" s="40" t="str">
        <f>IF('PRISM REPORT'!$B279&lt;&gt;"",IF('PRISM REPORT'!E279&lt;&gt;"",IF('PRISM REPORT'!E279&gt;0,'PRISM REPORT'!E279,0),0),"")</f>
        <v/>
      </c>
      <c r="G279" s="40" t="str">
        <f t="shared" si="8"/>
        <v/>
      </c>
      <c r="I279" s="40" t="str">
        <f t="shared" si="9"/>
        <v/>
      </c>
    </row>
    <row r="280" spans="2:9" x14ac:dyDescent="0.25">
      <c r="B280" s="39" t="str">
        <f>IF('PRISM REPORT'!$B280&lt;&gt;"",'PRISM REPORT'!B280,"")</f>
        <v/>
      </c>
      <c r="C280" s="39" t="str">
        <f>IF('PRISM REPORT'!$B280&lt;&gt;"",'PRISM REPORT'!C280,"")</f>
        <v/>
      </c>
      <c r="D280" s="39" t="str">
        <f>IF('PRISM REPORT'!$B280&lt;&gt;"",'PRISM REPORT'!D280,"")</f>
        <v/>
      </c>
      <c r="E280" s="40" t="str">
        <f>IF('PRISM REPORT'!$B280&lt;&gt;"",'RAW DATA'!F280,"")</f>
        <v/>
      </c>
      <c r="F280" s="40" t="str">
        <f>IF('PRISM REPORT'!$B280&lt;&gt;"",IF('PRISM REPORT'!E280&lt;&gt;"",IF('PRISM REPORT'!E280&gt;0,'PRISM REPORT'!E280,0),0),"")</f>
        <v/>
      </c>
      <c r="G280" s="40" t="str">
        <f t="shared" si="8"/>
        <v/>
      </c>
      <c r="I280" s="40" t="str">
        <f t="shared" si="9"/>
        <v/>
      </c>
    </row>
    <row r="281" spans="2:9" x14ac:dyDescent="0.25">
      <c r="B281" s="39" t="str">
        <f>IF('PRISM REPORT'!$B281&lt;&gt;"",'PRISM REPORT'!B281,"")</f>
        <v/>
      </c>
      <c r="C281" s="39" t="str">
        <f>IF('PRISM REPORT'!$B281&lt;&gt;"",'PRISM REPORT'!C281,"")</f>
        <v/>
      </c>
      <c r="D281" s="39" t="str">
        <f>IF('PRISM REPORT'!$B281&lt;&gt;"",'PRISM REPORT'!D281,"")</f>
        <v/>
      </c>
      <c r="E281" s="40" t="str">
        <f>IF('PRISM REPORT'!$B281&lt;&gt;"",'RAW DATA'!F281,"")</f>
        <v/>
      </c>
      <c r="F281" s="40" t="str">
        <f>IF('PRISM REPORT'!$B281&lt;&gt;"",IF('PRISM REPORT'!E281&lt;&gt;"",IF('PRISM REPORT'!E281&gt;0,'PRISM REPORT'!E281,0),0),"")</f>
        <v/>
      </c>
      <c r="G281" s="40" t="str">
        <f t="shared" si="8"/>
        <v/>
      </c>
      <c r="I281" s="40" t="str">
        <f t="shared" si="9"/>
        <v/>
      </c>
    </row>
    <row r="282" spans="2:9" x14ac:dyDescent="0.25">
      <c r="B282" s="39" t="str">
        <f>IF('PRISM REPORT'!$B282&lt;&gt;"",'PRISM REPORT'!B282,"")</f>
        <v/>
      </c>
      <c r="C282" s="39" t="str">
        <f>IF('PRISM REPORT'!$B282&lt;&gt;"",'PRISM REPORT'!C282,"")</f>
        <v/>
      </c>
      <c r="D282" s="39" t="str">
        <f>IF('PRISM REPORT'!$B282&lt;&gt;"",'PRISM REPORT'!D282,"")</f>
        <v/>
      </c>
      <c r="E282" s="40" t="str">
        <f>IF('PRISM REPORT'!$B282&lt;&gt;"",'RAW DATA'!F282,"")</f>
        <v/>
      </c>
      <c r="F282" s="40" t="str">
        <f>IF('PRISM REPORT'!$B282&lt;&gt;"",IF('PRISM REPORT'!E282&lt;&gt;"",IF('PRISM REPORT'!E282&gt;0,'PRISM REPORT'!E282,0),0),"")</f>
        <v/>
      </c>
      <c r="G282" s="40" t="str">
        <f t="shared" si="8"/>
        <v/>
      </c>
      <c r="I282" s="40" t="str">
        <f t="shared" si="9"/>
        <v/>
      </c>
    </row>
    <row r="283" spans="2:9" x14ac:dyDescent="0.25">
      <c r="B283" s="39" t="str">
        <f>IF('PRISM REPORT'!$B283&lt;&gt;"",'PRISM REPORT'!B283,"")</f>
        <v/>
      </c>
      <c r="C283" s="39" t="str">
        <f>IF('PRISM REPORT'!$B283&lt;&gt;"",'PRISM REPORT'!C283,"")</f>
        <v/>
      </c>
      <c r="D283" s="39" t="str">
        <f>IF('PRISM REPORT'!$B283&lt;&gt;"",'PRISM REPORT'!D283,"")</f>
        <v/>
      </c>
      <c r="E283" s="40" t="str">
        <f>IF('PRISM REPORT'!$B283&lt;&gt;"",'RAW DATA'!F283,"")</f>
        <v/>
      </c>
      <c r="F283" s="40" t="str">
        <f>IF('PRISM REPORT'!$B283&lt;&gt;"",IF('PRISM REPORT'!E283&lt;&gt;"",IF('PRISM REPORT'!E283&gt;0,'PRISM REPORT'!E283,0),0),"")</f>
        <v/>
      </c>
      <c r="G283" s="40" t="str">
        <f t="shared" si="8"/>
        <v/>
      </c>
      <c r="I283" s="40" t="str">
        <f t="shared" si="9"/>
        <v/>
      </c>
    </row>
    <row r="284" spans="2:9" x14ac:dyDescent="0.25">
      <c r="B284" s="39" t="str">
        <f>IF('PRISM REPORT'!$B284&lt;&gt;"",'PRISM REPORT'!B284,"")</f>
        <v/>
      </c>
      <c r="C284" s="39" t="str">
        <f>IF('PRISM REPORT'!$B284&lt;&gt;"",'PRISM REPORT'!C284,"")</f>
        <v/>
      </c>
      <c r="D284" s="39" t="str">
        <f>IF('PRISM REPORT'!$B284&lt;&gt;"",'PRISM REPORT'!D284,"")</f>
        <v/>
      </c>
      <c r="E284" s="40" t="str">
        <f>IF('PRISM REPORT'!$B284&lt;&gt;"",'RAW DATA'!F284,"")</f>
        <v/>
      </c>
      <c r="F284" s="40" t="str">
        <f>IF('PRISM REPORT'!$B284&lt;&gt;"",IF('PRISM REPORT'!E284&lt;&gt;"",IF('PRISM REPORT'!E284&gt;0,'PRISM REPORT'!E284,0),0),"")</f>
        <v/>
      </c>
      <c r="G284" s="40" t="str">
        <f t="shared" si="8"/>
        <v/>
      </c>
      <c r="I284" s="40" t="str">
        <f t="shared" si="9"/>
        <v/>
      </c>
    </row>
    <row r="285" spans="2:9" x14ac:dyDescent="0.25">
      <c r="B285" s="39" t="str">
        <f>IF('PRISM REPORT'!$B285&lt;&gt;"",'PRISM REPORT'!B285,"")</f>
        <v/>
      </c>
      <c r="C285" s="39" t="str">
        <f>IF('PRISM REPORT'!$B285&lt;&gt;"",'PRISM REPORT'!C285,"")</f>
        <v/>
      </c>
      <c r="D285" s="39" t="str">
        <f>IF('PRISM REPORT'!$B285&lt;&gt;"",'PRISM REPORT'!D285,"")</f>
        <v/>
      </c>
      <c r="E285" s="40" t="str">
        <f>IF('PRISM REPORT'!$B285&lt;&gt;"",'RAW DATA'!F285,"")</f>
        <v/>
      </c>
      <c r="F285" s="40" t="str">
        <f>IF('PRISM REPORT'!$B285&lt;&gt;"",IF('PRISM REPORT'!E285&lt;&gt;"",IF('PRISM REPORT'!E285&gt;0,'PRISM REPORT'!E285,0),0),"")</f>
        <v/>
      </c>
      <c r="G285" s="40" t="str">
        <f t="shared" si="8"/>
        <v/>
      </c>
      <c r="I285" s="40" t="str">
        <f t="shared" si="9"/>
        <v/>
      </c>
    </row>
    <row r="286" spans="2:9" x14ac:dyDescent="0.25">
      <c r="B286" s="39" t="str">
        <f>IF('PRISM REPORT'!$B286&lt;&gt;"",'PRISM REPORT'!B286,"")</f>
        <v/>
      </c>
      <c r="C286" s="39" t="str">
        <f>IF('PRISM REPORT'!$B286&lt;&gt;"",'PRISM REPORT'!C286,"")</f>
        <v/>
      </c>
      <c r="D286" s="39" t="str">
        <f>IF('PRISM REPORT'!$B286&lt;&gt;"",'PRISM REPORT'!D286,"")</f>
        <v/>
      </c>
      <c r="E286" s="40" t="str">
        <f>IF('PRISM REPORT'!$B286&lt;&gt;"",'RAW DATA'!F286,"")</f>
        <v/>
      </c>
      <c r="F286" s="40" t="str">
        <f>IF('PRISM REPORT'!$B286&lt;&gt;"",IF('PRISM REPORT'!E286&lt;&gt;"",IF('PRISM REPORT'!E286&gt;0,'PRISM REPORT'!E286,0),0),"")</f>
        <v/>
      </c>
      <c r="G286" s="40" t="str">
        <f t="shared" si="8"/>
        <v/>
      </c>
      <c r="I286" s="40" t="str">
        <f t="shared" si="9"/>
        <v/>
      </c>
    </row>
    <row r="287" spans="2:9" x14ac:dyDescent="0.25">
      <c r="B287" s="39" t="str">
        <f>IF('PRISM REPORT'!$B287&lt;&gt;"",'PRISM REPORT'!B287,"")</f>
        <v/>
      </c>
      <c r="C287" s="39" t="str">
        <f>IF('PRISM REPORT'!$B287&lt;&gt;"",'PRISM REPORT'!C287,"")</f>
        <v/>
      </c>
      <c r="D287" s="39" t="str">
        <f>IF('PRISM REPORT'!$B287&lt;&gt;"",'PRISM REPORT'!D287,"")</f>
        <v/>
      </c>
      <c r="E287" s="40" t="str">
        <f>IF('PRISM REPORT'!$B287&lt;&gt;"",'RAW DATA'!F287,"")</f>
        <v/>
      </c>
      <c r="F287" s="40" t="str">
        <f>IF('PRISM REPORT'!$B287&lt;&gt;"",IF('PRISM REPORT'!E287&lt;&gt;"",IF('PRISM REPORT'!E287&gt;0,'PRISM REPORT'!E287,0),0),"")</f>
        <v/>
      </c>
      <c r="G287" s="40" t="str">
        <f t="shared" si="8"/>
        <v/>
      </c>
      <c r="I287" s="40" t="str">
        <f t="shared" si="9"/>
        <v/>
      </c>
    </row>
    <row r="288" spans="2:9" x14ac:dyDescent="0.25">
      <c r="B288" s="39" t="str">
        <f>IF('PRISM REPORT'!$B288&lt;&gt;"",'PRISM REPORT'!B288,"")</f>
        <v/>
      </c>
      <c r="C288" s="39" t="str">
        <f>IF('PRISM REPORT'!$B288&lt;&gt;"",'PRISM REPORT'!C288,"")</f>
        <v/>
      </c>
      <c r="D288" s="39" t="str">
        <f>IF('PRISM REPORT'!$B288&lt;&gt;"",'PRISM REPORT'!D288,"")</f>
        <v/>
      </c>
      <c r="E288" s="40" t="str">
        <f>IF('PRISM REPORT'!$B288&lt;&gt;"",'RAW DATA'!F288,"")</f>
        <v/>
      </c>
      <c r="F288" s="40" t="str">
        <f>IF('PRISM REPORT'!$B288&lt;&gt;"",IF('PRISM REPORT'!E288&lt;&gt;"",IF('PRISM REPORT'!E288&gt;0,'PRISM REPORT'!E288,0),0),"")</f>
        <v/>
      </c>
      <c r="G288" s="40" t="str">
        <f t="shared" si="8"/>
        <v/>
      </c>
      <c r="I288" s="40" t="str">
        <f t="shared" si="9"/>
        <v/>
      </c>
    </row>
    <row r="289" spans="2:9" x14ac:dyDescent="0.25">
      <c r="B289" s="39" t="str">
        <f>IF('PRISM REPORT'!$B289&lt;&gt;"",'PRISM REPORT'!B289,"")</f>
        <v/>
      </c>
      <c r="C289" s="39" t="str">
        <f>IF('PRISM REPORT'!$B289&lt;&gt;"",'PRISM REPORT'!C289,"")</f>
        <v/>
      </c>
      <c r="D289" s="39" t="str">
        <f>IF('PRISM REPORT'!$B289&lt;&gt;"",'PRISM REPORT'!D289,"")</f>
        <v/>
      </c>
      <c r="E289" s="40" t="str">
        <f>IF('PRISM REPORT'!$B289&lt;&gt;"",'RAW DATA'!F289,"")</f>
        <v/>
      </c>
      <c r="F289" s="40" t="str">
        <f>IF('PRISM REPORT'!$B289&lt;&gt;"",IF('PRISM REPORT'!E289&lt;&gt;"",IF('PRISM REPORT'!E289&gt;0,'PRISM REPORT'!E289,0),0),"")</f>
        <v/>
      </c>
      <c r="G289" s="40" t="str">
        <f t="shared" si="8"/>
        <v/>
      </c>
      <c r="I289" s="40" t="str">
        <f t="shared" si="9"/>
        <v/>
      </c>
    </row>
    <row r="290" spans="2:9" x14ac:dyDescent="0.25">
      <c r="B290" s="39" t="str">
        <f>IF('PRISM REPORT'!$B290&lt;&gt;"",'PRISM REPORT'!B290,"")</f>
        <v/>
      </c>
      <c r="C290" s="39" t="str">
        <f>IF('PRISM REPORT'!$B290&lt;&gt;"",'PRISM REPORT'!C290,"")</f>
        <v/>
      </c>
      <c r="D290" s="39" t="str">
        <f>IF('PRISM REPORT'!$B290&lt;&gt;"",'PRISM REPORT'!D290,"")</f>
        <v/>
      </c>
      <c r="E290" s="40" t="str">
        <f>IF('PRISM REPORT'!$B290&lt;&gt;"",'RAW DATA'!F290,"")</f>
        <v/>
      </c>
      <c r="F290" s="40" t="str">
        <f>IF('PRISM REPORT'!$B290&lt;&gt;"",IF('PRISM REPORT'!E290&lt;&gt;"",IF('PRISM REPORT'!E290&gt;0,'PRISM REPORT'!E290,0),0),"")</f>
        <v/>
      </c>
      <c r="G290" s="40" t="str">
        <f t="shared" si="8"/>
        <v/>
      </c>
      <c r="I290" s="40" t="str">
        <f t="shared" si="9"/>
        <v/>
      </c>
    </row>
    <row r="291" spans="2:9" x14ac:dyDescent="0.25">
      <c r="B291" s="39" t="str">
        <f>IF('PRISM REPORT'!$B291&lt;&gt;"",'PRISM REPORT'!B291,"")</f>
        <v/>
      </c>
      <c r="C291" s="39" t="str">
        <f>IF('PRISM REPORT'!$B291&lt;&gt;"",'PRISM REPORT'!C291,"")</f>
        <v/>
      </c>
      <c r="D291" s="39" t="str">
        <f>IF('PRISM REPORT'!$B291&lt;&gt;"",'PRISM REPORT'!D291,"")</f>
        <v/>
      </c>
      <c r="E291" s="40" t="str">
        <f>IF('PRISM REPORT'!$B291&lt;&gt;"",'RAW DATA'!F291,"")</f>
        <v/>
      </c>
      <c r="F291" s="40" t="str">
        <f>IF('PRISM REPORT'!$B291&lt;&gt;"",IF('PRISM REPORT'!E291&lt;&gt;"",IF('PRISM REPORT'!E291&gt;0,'PRISM REPORT'!E291,0),0),"")</f>
        <v/>
      </c>
      <c r="G291" s="40" t="str">
        <f t="shared" si="8"/>
        <v/>
      </c>
      <c r="I291" s="40" t="str">
        <f t="shared" si="9"/>
        <v/>
      </c>
    </row>
    <row r="292" spans="2:9" x14ac:dyDescent="0.25">
      <c r="B292" s="39" t="str">
        <f>IF('PRISM REPORT'!$B292&lt;&gt;"",'PRISM REPORT'!B292,"")</f>
        <v/>
      </c>
      <c r="C292" s="39" t="str">
        <f>IF('PRISM REPORT'!$B292&lt;&gt;"",'PRISM REPORT'!C292,"")</f>
        <v/>
      </c>
      <c r="D292" s="39" t="str">
        <f>IF('PRISM REPORT'!$B292&lt;&gt;"",'PRISM REPORT'!D292,"")</f>
        <v/>
      </c>
      <c r="E292" s="40" t="str">
        <f>IF('PRISM REPORT'!$B292&lt;&gt;"",'RAW DATA'!F292,"")</f>
        <v/>
      </c>
      <c r="F292" s="40" t="str">
        <f>IF('PRISM REPORT'!$B292&lt;&gt;"",IF('PRISM REPORT'!E292&lt;&gt;"",IF('PRISM REPORT'!E292&gt;0,'PRISM REPORT'!E292,0),0),"")</f>
        <v/>
      </c>
      <c r="G292" s="40" t="str">
        <f t="shared" si="8"/>
        <v/>
      </c>
      <c r="I292" s="40" t="str">
        <f t="shared" si="9"/>
        <v/>
      </c>
    </row>
    <row r="293" spans="2:9" x14ac:dyDescent="0.25">
      <c r="B293" s="39" t="str">
        <f>IF('PRISM REPORT'!$B293&lt;&gt;"",'PRISM REPORT'!B293,"")</f>
        <v/>
      </c>
      <c r="C293" s="39" t="str">
        <f>IF('PRISM REPORT'!$B293&lt;&gt;"",'PRISM REPORT'!C293,"")</f>
        <v/>
      </c>
      <c r="D293" s="39" t="str">
        <f>IF('PRISM REPORT'!$B293&lt;&gt;"",'PRISM REPORT'!D293,"")</f>
        <v/>
      </c>
      <c r="E293" s="40" t="str">
        <f>IF('PRISM REPORT'!$B293&lt;&gt;"",'RAW DATA'!F293,"")</f>
        <v/>
      </c>
      <c r="F293" s="40" t="str">
        <f>IF('PRISM REPORT'!$B293&lt;&gt;"",IF('PRISM REPORT'!E293&lt;&gt;"",IF('PRISM REPORT'!E293&gt;0,'PRISM REPORT'!E293,0),0),"")</f>
        <v/>
      </c>
      <c r="G293" s="40" t="str">
        <f t="shared" si="8"/>
        <v/>
      </c>
      <c r="I293" s="40" t="str">
        <f t="shared" si="9"/>
        <v/>
      </c>
    </row>
    <row r="294" spans="2:9" x14ac:dyDescent="0.25">
      <c r="B294" s="39" t="str">
        <f>IF('PRISM REPORT'!$B294&lt;&gt;"",'PRISM REPORT'!B294,"")</f>
        <v/>
      </c>
      <c r="C294" s="39" t="str">
        <f>IF('PRISM REPORT'!$B294&lt;&gt;"",'PRISM REPORT'!C294,"")</f>
        <v/>
      </c>
      <c r="D294" s="39" t="str">
        <f>IF('PRISM REPORT'!$B294&lt;&gt;"",'PRISM REPORT'!D294,"")</f>
        <v/>
      </c>
      <c r="E294" s="40" t="str">
        <f>IF('PRISM REPORT'!$B294&lt;&gt;"",'RAW DATA'!F294,"")</f>
        <v/>
      </c>
      <c r="F294" s="40" t="str">
        <f>IF('PRISM REPORT'!$B294&lt;&gt;"",IF('PRISM REPORT'!E294&lt;&gt;"",IF('PRISM REPORT'!E294&gt;0,'PRISM REPORT'!E294,0),0),"")</f>
        <v/>
      </c>
      <c r="G294" s="40" t="str">
        <f t="shared" si="8"/>
        <v/>
      </c>
      <c r="I294" s="40" t="str">
        <f t="shared" si="9"/>
        <v/>
      </c>
    </row>
    <row r="295" spans="2:9" x14ac:dyDescent="0.25">
      <c r="B295" s="39" t="str">
        <f>IF('PRISM REPORT'!$B295&lt;&gt;"",'PRISM REPORT'!B295,"")</f>
        <v/>
      </c>
      <c r="C295" s="39" t="str">
        <f>IF('PRISM REPORT'!$B295&lt;&gt;"",'PRISM REPORT'!C295,"")</f>
        <v/>
      </c>
      <c r="D295" s="39" t="str">
        <f>IF('PRISM REPORT'!$B295&lt;&gt;"",'PRISM REPORT'!D295,"")</f>
        <v/>
      </c>
      <c r="E295" s="40" t="str">
        <f>IF('PRISM REPORT'!$B295&lt;&gt;"",'RAW DATA'!F295,"")</f>
        <v/>
      </c>
      <c r="F295" s="40" t="str">
        <f>IF('PRISM REPORT'!$B295&lt;&gt;"",IF('PRISM REPORT'!E295&lt;&gt;"",IF('PRISM REPORT'!E295&gt;0,'PRISM REPORT'!E295,0),0),"")</f>
        <v/>
      </c>
      <c r="G295" s="40" t="str">
        <f t="shared" si="8"/>
        <v/>
      </c>
      <c r="I295" s="40" t="str">
        <f t="shared" si="9"/>
        <v/>
      </c>
    </row>
    <row r="296" spans="2:9" x14ac:dyDescent="0.25">
      <c r="B296" s="39" t="str">
        <f>IF('PRISM REPORT'!$B296&lt;&gt;"",'PRISM REPORT'!B296,"")</f>
        <v/>
      </c>
      <c r="C296" s="39" t="str">
        <f>IF('PRISM REPORT'!$B296&lt;&gt;"",'PRISM REPORT'!C296,"")</f>
        <v/>
      </c>
      <c r="D296" s="39" t="str">
        <f>IF('PRISM REPORT'!$B296&lt;&gt;"",'PRISM REPORT'!D296,"")</f>
        <v/>
      </c>
      <c r="E296" s="40" t="str">
        <f>IF('PRISM REPORT'!$B296&lt;&gt;"",'RAW DATA'!F296,"")</f>
        <v/>
      </c>
      <c r="F296" s="40" t="str">
        <f>IF('PRISM REPORT'!$B296&lt;&gt;"",IF('PRISM REPORT'!E296&lt;&gt;"",IF('PRISM REPORT'!E296&gt;0,'PRISM REPORT'!E296,0),0),"")</f>
        <v/>
      </c>
      <c r="G296" s="40" t="str">
        <f t="shared" si="8"/>
        <v/>
      </c>
      <c r="I296" s="40" t="str">
        <f t="shared" si="9"/>
        <v/>
      </c>
    </row>
    <row r="297" spans="2:9" x14ac:dyDescent="0.25">
      <c r="B297" s="39" t="str">
        <f>IF('PRISM REPORT'!$B297&lt;&gt;"",'PRISM REPORT'!B297,"")</f>
        <v/>
      </c>
      <c r="C297" s="39" t="str">
        <f>IF('PRISM REPORT'!$B297&lt;&gt;"",'PRISM REPORT'!C297,"")</f>
        <v/>
      </c>
      <c r="D297" s="39" t="str">
        <f>IF('PRISM REPORT'!$B297&lt;&gt;"",'PRISM REPORT'!D297,"")</f>
        <v/>
      </c>
      <c r="E297" s="40" t="str">
        <f>IF('PRISM REPORT'!$B297&lt;&gt;"",'RAW DATA'!F297,"")</f>
        <v/>
      </c>
      <c r="F297" s="40" t="str">
        <f>IF('PRISM REPORT'!$B297&lt;&gt;"",IF('PRISM REPORT'!E297&lt;&gt;"",IF('PRISM REPORT'!E297&gt;0,'PRISM REPORT'!E297,0),0),"")</f>
        <v/>
      </c>
      <c r="G297" s="40" t="str">
        <f t="shared" si="8"/>
        <v/>
      </c>
      <c r="I297" s="40" t="str">
        <f t="shared" si="9"/>
        <v/>
      </c>
    </row>
    <row r="298" spans="2:9" x14ac:dyDescent="0.25">
      <c r="B298" s="39" t="str">
        <f>IF('PRISM REPORT'!$B298&lt;&gt;"",'PRISM REPORT'!B298,"")</f>
        <v/>
      </c>
      <c r="C298" s="39" t="str">
        <f>IF('PRISM REPORT'!$B298&lt;&gt;"",'PRISM REPORT'!C298,"")</f>
        <v/>
      </c>
      <c r="D298" s="39" t="str">
        <f>IF('PRISM REPORT'!$B298&lt;&gt;"",'PRISM REPORT'!D298,"")</f>
        <v/>
      </c>
      <c r="E298" s="40" t="str">
        <f>IF('PRISM REPORT'!$B298&lt;&gt;"",'RAW DATA'!F298,"")</f>
        <v/>
      </c>
      <c r="F298" s="40" t="str">
        <f>IF('PRISM REPORT'!$B298&lt;&gt;"",IF('PRISM REPORT'!E298&lt;&gt;"",IF('PRISM REPORT'!E298&gt;0,'PRISM REPORT'!E298,0),0),"")</f>
        <v/>
      </c>
      <c r="G298" s="40" t="str">
        <f t="shared" si="8"/>
        <v/>
      </c>
      <c r="I298" s="40" t="str">
        <f t="shared" si="9"/>
        <v/>
      </c>
    </row>
    <row r="299" spans="2:9" x14ac:dyDescent="0.25">
      <c r="B299" s="39" t="str">
        <f>IF('PRISM REPORT'!$B299&lt;&gt;"",'PRISM REPORT'!B299,"")</f>
        <v/>
      </c>
      <c r="C299" s="39" t="str">
        <f>IF('PRISM REPORT'!$B299&lt;&gt;"",'PRISM REPORT'!C299,"")</f>
        <v/>
      </c>
      <c r="D299" s="39" t="str">
        <f>IF('PRISM REPORT'!$B299&lt;&gt;"",'PRISM REPORT'!D299,"")</f>
        <v/>
      </c>
      <c r="E299" s="40" t="str">
        <f>IF('PRISM REPORT'!$B299&lt;&gt;"",'RAW DATA'!F299,"")</f>
        <v/>
      </c>
      <c r="F299" s="40" t="str">
        <f>IF('PRISM REPORT'!$B299&lt;&gt;"",IF('PRISM REPORT'!E299&lt;&gt;"",IF('PRISM REPORT'!E299&gt;0,'PRISM REPORT'!E299,0),0),"")</f>
        <v/>
      </c>
      <c r="G299" s="40" t="str">
        <f t="shared" si="8"/>
        <v/>
      </c>
      <c r="I299" s="40" t="str">
        <f t="shared" si="9"/>
        <v/>
      </c>
    </row>
    <row r="300" spans="2:9" x14ac:dyDescent="0.25">
      <c r="B300" s="39" t="str">
        <f>IF('PRISM REPORT'!$B300&lt;&gt;"",'PRISM REPORT'!B300,"")</f>
        <v/>
      </c>
      <c r="C300" s="39" t="str">
        <f>IF('PRISM REPORT'!$B300&lt;&gt;"",'PRISM REPORT'!C300,"")</f>
        <v/>
      </c>
      <c r="D300" s="39" t="str">
        <f>IF('PRISM REPORT'!$B300&lt;&gt;"",'PRISM REPORT'!D300,"")</f>
        <v/>
      </c>
      <c r="E300" s="40" t="str">
        <f>IF('PRISM REPORT'!$B300&lt;&gt;"",'RAW DATA'!F300,"")</f>
        <v/>
      </c>
      <c r="F300" s="40" t="str">
        <f>IF('PRISM REPORT'!$B300&lt;&gt;"",IF('PRISM REPORT'!E300&lt;&gt;"",IF('PRISM REPORT'!E300&gt;0,'PRISM REPORT'!E300,0),0),"")</f>
        <v/>
      </c>
      <c r="G300" s="40" t="str">
        <f t="shared" si="8"/>
        <v/>
      </c>
      <c r="I300" s="40" t="str">
        <f t="shared" si="9"/>
        <v/>
      </c>
    </row>
    <row r="301" spans="2:9" x14ac:dyDescent="0.25">
      <c r="B301" s="39" t="str">
        <f>IF('PRISM REPORT'!$B301&lt;&gt;"",'PRISM REPORT'!B301,"")</f>
        <v/>
      </c>
      <c r="C301" s="39" t="str">
        <f>IF('PRISM REPORT'!$B301&lt;&gt;"",'PRISM REPORT'!C301,"")</f>
        <v/>
      </c>
      <c r="D301" s="39" t="str">
        <f>IF('PRISM REPORT'!$B301&lt;&gt;"",'PRISM REPORT'!D301,"")</f>
        <v/>
      </c>
      <c r="E301" s="40" t="str">
        <f>IF('PRISM REPORT'!$B301&lt;&gt;"",'RAW DATA'!F301,"")</f>
        <v/>
      </c>
      <c r="F301" s="40" t="str">
        <f>IF('PRISM REPORT'!$B301&lt;&gt;"",IF('PRISM REPORT'!E301&lt;&gt;"",IF('PRISM REPORT'!E301&gt;0,'PRISM REPORT'!E301,0),0),"")</f>
        <v/>
      </c>
      <c r="G301" s="40" t="str">
        <f t="shared" si="8"/>
        <v/>
      </c>
      <c r="I301" s="40" t="str">
        <f t="shared" si="9"/>
        <v/>
      </c>
    </row>
    <row r="302" spans="2:9" x14ac:dyDescent="0.25">
      <c r="B302" s="39" t="str">
        <f>IF('PRISM REPORT'!$B302&lt;&gt;"",'PRISM REPORT'!B302,"")</f>
        <v/>
      </c>
      <c r="C302" s="39" t="str">
        <f>IF('PRISM REPORT'!$B302&lt;&gt;"",'PRISM REPORT'!C302,"")</f>
        <v/>
      </c>
      <c r="D302" s="39" t="str">
        <f>IF('PRISM REPORT'!$B302&lt;&gt;"",'PRISM REPORT'!D302,"")</f>
        <v/>
      </c>
      <c r="E302" s="40" t="str">
        <f>IF('PRISM REPORT'!$B302&lt;&gt;"",'RAW DATA'!F302,"")</f>
        <v/>
      </c>
      <c r="F302" s="40" t="str">
        <f>IF('PRISM REPORT'!$B302&lt;&gt;"",IF('PRISM REPORT'!E302&lt;&gt;"",IF('PRISM REPORT'!E302&gt;0,'PRISM REPORT'!E302,0),0),"")</f>
        <v/>
      </c>
      <c r="G302" s="40" t="str">
        <f t="shared" si="8"/>
        <v/>
      </c>
      <c r="I302" s="40" t="str">
        <f t="shared" si="9"/>
        <v/>
      </c>
    </row>
    <row r="303" spans="2:9" x14ac:dyDescent="0.25">
      <c r="B303" s="39" t="str">
        <f>IF('PRISM REPORT'!$B303&lt;&gt;"",'PRISM REPORT'!B303,"")</f>
        <v/>
      </c>
      <c r="C303" s="39" t="str">
        <f>IF('PRISM REPORT'!$B303&lt;&gt;"",'PRISM REPORT'!C303,"")</f>
        <v/>
      </c>
      <c r="D303" s="39" t="str">
        <f>IF('PRISM REPORT'!$B303&lt;&gt;"",'PRISM REPORT'!D303,"")</f>
        <v/>
      </c>
      <c r="E303" s="40" t="str">
        <f>IF('PRISM REPORT'!$B303&lt;&gt;"",'RAW DATA'!F303,"")</f>
        <v/>
      </c>
      <c r="F303" s="40" t="str">
        <f>IF('PRISM REPORT'!$B303&lt;&gt;"",IF('PRISM REPORT'!E303&lt;&gt;"",IF('PRISM REPORT'!E303&gt;0,'PRISM REPORT'!E303,0),0),"")</f>
        <v/>
      </c>
      <c r="G303" s="40" t="str">
        <f t="shared" si="8"/>
        <v/>
      </c>
      <c r="I303" s="40" t="str">
        <f t="shared" si="9"/>
        <v/>
      </c>
    </row>
    <row r="304" spans="2:9" x14ac:dyDescent="0.25">
      <c r="B304" s="39" t="str">
        <f>IF('PRISM REPORT'!$B304&lt;&gt;"",'PRISM REPORT'!B304,"")</f>
        <v/>
      </c>
      <c r="C304" s="39" t="str">
        <f>IF('PRISM REPORT'!$B304&lt;&gt;"",'PRISM REPORT'!C304,"")</f>
        <v/>
      </c>
      <c r="D304" s="39" t="str">
        <f>IF('PRISM REPORT'!$B304&lt;&gt;"",'PRISM REPORT'!D304,"")</f>
        <v/>
      </c>
      <c r="E304" s="40" t="str">
        <f>IF('PRISM REPORT'!$B304&lt;&gt;"",'RAW DATA'!F304,"")</f>
        <v/>
      </c>
      <c r="F304" s="40" t="str">
        <f>IF('PRISM REPORT'!$B304&lt;&gt;"",IF('PRISM REPORT'!E304&lt;&gt;"",IF('PRISM REPORT'!E304&gt;0,'PRISM REPORT'!E304,0),0),"")</f>
        <v/>
      </c>
      <c r="G304" s="40" t="str">
        <f t="shared" si="8"/>
        <v/>
      </c>
      <c r="I304" s="40" t="str">
        <f t="shared" si="9"/>
        <v/>
      </c>
    </row>
    <row r="305" spans="2:9" x14ac:dyDescent="0.25">
      <c r="B305" s="39" t="str">
        <f>IF('PRISM REPORT'!$B305&lt;&gt;"",'PRISM REPORT'!B305,"")</f>
        <v/>
      </c>
      <c r="C305" s="39" t="str">
        <f>IF('PRISM REPORT'!$B305&lt;&gt;"",'PRISM REPORT'!C305,"")</f>
        <v/>
      </c>
      <c r="D305" s="39" t="str">
        <f>IF('PRISM REPORT'!$B305&lt;&gt;"",'PRISM REPORT'!D305,"")</f>
        <v/>
      </c>
      <c r="E305" s="40" t="str">
        <f>IF('PRISM REPORT'!$B305&lt;&gt;"",'RAW DATA'!F305,"")</f>
        <v/>
      </c>
      <c r="F305" s="40" t="str">
        <f>IF('PRISM REPORT'!$B305&lt;&gt;"",IF('PRISM REPORT'!E305&lt;&gt;"",IF('PRISM REPORT'!E305&gt;0,'PRISM REPORT'!E305,0),0),"")</f>
        <v/>
      </c>
      <c r="G305" s="40" t="str">
        <f t="shared" si="8"/>
        <v/>
      </c>
      <c r="I305" s="40" t="str">
        <f t="shared" si="9"/>
        <v/>
      </c>
    </row>
    <row r="306" spans="2:9" x14ac:dyDescent="0.25">
      <c r="B306" s="39" t="str">
        <f>IF('PRISM REPORT'!$B306&lt;&gt;"",'PRISM REPORT'!B306,"")</f>
        <v/>
      </c>
      <c r="C306" s="39" t="str">
        <f>IF('PRISM REPORT'!$B306&lt;&gt;"",'PRISM REPORT'!C306,"")</f>
        <v/>
      </c>
      <c r="D306" s="39" t="str">
        <f>IF('PRISM REPORT'!$B306&lt;&gt;"",'PRISM REPORT'!D306,"")</f>
        <v/>
      </c>
      <c r="E306" s="40" t="str">
        <f>IF('PRISM REPORT'!$B306&lt;&gt;"",'RAW DATA'!F306,"")</f>
        <v/>
      </c>
      <c r="F306" s="40" t="str">
        <f>IF('PRISM REPORT'!$B306&lt;&gt;"",IF('PRISM REPORT'!E306&lt;&gt;"",IF('PRISM REPORT'!E306&gt;0,'PRISM REPORT'!E306,0),0),"")</f>
        <v/>
      </c>
      <c r="G306" s="40" t="str">
        <f t="shared" si="8"/>
        <v/>
      </c>
      <c r="I306" s="40" t="str">
        <f t="shared" si="9"/>
        <v/>
      </c>
    </row>
    <row r="307" spans="2:9" x14ac:dyDescent="0.25">
      <c r="B307" s="39" t="str">
        <f>IF('PRISM REPORT'!$B307&lt;&gt;"",'PRISM REPORT'!B307,"")</f>
        <v/>
      </c>
      <c r="C307" s="39" t="str">
        <f>IF('PRISM REPORT'!$B307&lt;&gt;"",'PRISM REPORT'!C307,"")</f>
        <v/>
      </c>
      <c r="D307" s="39" t="str">
        <f>IF('PRISM REPORT'!$B307&lt;&gt;"",'PRISM REPORT'!D307,"")</f>
        <v/>
      </c>
      <c r="E307" s="40" t="str">
        <f>IF('PRISM REPORT'!$B307&lt;&gt;"",'RAW DATA'!F307,"")</f>
        <v/>
      </c>
      <c r="F307" s="40" t="str">
        <f>IF('PRISM REPORT'!$B307&lt;&gt;"",IF('PRISM REPORT'!E307&lt;&gt;"",IF('PRISM REPORT'!E307&gt;0,'PRISM REPORT'!E307,0),0),"")</f>
        <v/>
      </c>
      <c r="G307" s="40" t="str">
        <f t="shared" si="8"/>
        <v/>
      </c>
      <c r="I307" s="40" t="str">
        <f t="shared" si="9"/>
        <v/>
      </c>
    </row>
    <row r="308" spans="2:9" x14ac:dyDescent="0.25">
      <c r="B308" s="39" t="str">
        <f>IF('PRISM REPORT'!$B308&lt;&gt;"",'PRISM REPORT'!B308,"")</f>
        <v/>
      </c>
      <c r="C308" s="39" t="str">
        <f>IF('PRISM REPORT'!$B308&lt;&gt;"",'PRISM REPORT'!C308,"")</f>
        <v/>
      </c>
      <c r="D308" s="39" t="str">
        <f>IF('PRISM REPORT'!$B308&lt;&gt;"",'PRISM REPORT'!D308,"")</f>
        <v/>
      </c>
      <c r="E308" s="40" t="str">
        <f>IF('PRISM REPORT'!$B308&lt;&gt;"",'RAW DATA'!F308,"")</f>
        <v/>
      </c>
      <c r="F308" s="40" t="str">
        <f>IF('PRISM REPORT'!$B308&lt;&gt;"",IF('PRISM REPORT'!E308&lt;&gt;"",IF('PRISM REPORT'!E308&gt;0,'PRISM REPORT'!E308,0),0),"")</f>
        <v/>
      </c>
      <c r="G308" s="40" t="str">
        <f t="shared" si="8"/>
        <v/>
      </c>
      <c r="I308" s="40" t="str">
        <f t="shared" si="9"/>
        <v/>
      </c>
    </row>
    <row r="309" spans="2:9" x14ac:dyDescent="0.25">
      <c r="B309" s="39" t="str">
        <f>IF('PRISM REPORT'!$B309&lt;&gt;"",'PRISM REPORT'!B309,"")</f>
        <v/>
      </c>
      <c r="C309" s="39" t="str">
        <f>IF('PRISM REPORT'!$B309&lt;&gt;"",'PRISM REPORT'!C309,"")</f>
        <v/>
      </c>
      <c r="D309" s="39" t="str">
        <f>IF('PRISM REPORT'!$B309&lt;&gt;"",'PRISM REPORT'!D309,"")</f>
        <v/>
      </c>
      <c r="E309" s="40" t="str">
        <f>IF('PRISM REPORT'!$B309&lt;&gt;"",'RAW DATA'!F309,"")</f>
        <v/>
      </c>
      <c r="F309" s="40" t="str">
        <f>IF('PRISM REPORT'!$B309&lt;&gt;"",IF('PRISM REPORT'!E309&lt;&gt;"",IF('PRISM REPORT'!E309&gt;0,'PRISM REPORT'!E309,0),0),"")</f>
        <v/>
      </c>
      <c r="G309" s="40" t="str">
        <f t="shared" si="8"/>
        <v/>
      </c>
      <c r="I309" s="40" t="str">
        <f t="shared" si="9"/>
        <v/>
      </c>
    </row>
    <row r="310" spans="2:9" x14ac:dyDescent="0.25">
      <c r="B310" s="39" t="str">
        <f>IF('PRISM REPORT'!$B310&lt;&gt;"",'PRISM REPORT'!B310,"")</f>
        <v/>
      </c>
      <c r="C310" s="39" t="str">
        <f>IF('PRISM REPORT'!$B310&lt;&gt;"",'PRISM REPORT'!C310,"")</f>
        <v/>
      </c>
      <c r="D310" s="39" t="str">
        <f>IF('PRISM REPORT'!$B310&lt;&gt;"",'PRISM REPORT'!D310,"")</f>
        <v/>
      </c>
      <c r="E310" s="40" t="str">
        <f>IF('PRISM REPORT'!$B310&lt;&gt;"",'RAW DATA'!F310,"")</f>
        <v/>
      </c>
      <c r="F310" s="40" t="str">
        <f>IF('PRISM REPORT'!$B310&lt;&gt;"",IF('PRISM REPORT'!E310&lt;&gt;"",IF('PRISM REPORT'!E310&gt;0,'PRISM REPORT'!E310,0),0),"")</f>
        <v/>
      </c>
      <c r="G310" s="40" t="str">
        <f t="shared" si="8"/>
        <v/>
      </c>
      <c r="I310" s="40" t="str">
        <f t="shared" si="9"/>
        <v/>
      </c>
    </row>
    <row r="311" spans="2:9" x14ac:dyDescent="0.25">
      <c r="B311" s="39" t="str">
        <f>IF('PRISM REPORT'!$B311&lt;&gt;"",'PRISM REPORT'!B311,"")</f>
        <v/>
      </c>
      <c r="C311" s="39" t="str">
        <f>IF('PRISM REPORT'!$B311&lt;&gt;"",'PRISM REPORT'!C311,"")</f>
        <v/>
      </c>
      <c r="D311" s="39" t="str">
        <f>IF('PRISM REPORT'!$B311&lt;&gt;"",'PRISM REPORT'!D311,"")</f>
        <v/>
      </c>
      <c r="E311" s="40" t="str">
        <f>IF('PRISM REPORT'!$B311&lt;&gt;"",'RAW DATA'!F311,"")</f>
        <v/>
      </c>
      <c r="F311" s="40" t="str">
        <f>IF('PRISM REPORT'!$B311&lt;&gt;"",IF('PRISM REPORT'!E311&lt;&gt;"",IF('PRISM REPORT'!E311&gt;0,'PRISM REPORT'!E311,0),0),"")</f>
        <v/>
      </c>
      <c r="G311" s="40" t="str">
        <f t="shared" si="8"/>
        <v/>
      </c>
      <c r="I311" s="40" t="str">
        <f t="shared" si="9"/>
        <v/>
      </c>
    </row>
    <row r="312" spans="2:9" x14ac:dyDescent="0.25">
      <c r="B312" s="39" t="str">
        <f>IF('PRISM REPORT'!$B312&lt;&gt;"",'PRISM REPORT'!B312,"")</f>
        <v/>
      </c>
      <c r="C312" s="39" t="str">
        <f>IF('PRISM REPORT'!$B312&lt;&gt;"",'PRISM REPORT'!C312,"")</f>
        <v/>
      </c>
      <c r="D312" s="39" t="str">
        <f>IF('PRISM REPORT'!$B312&lt;&gt;"",'PRISM REPORT'!D312,"")</f>
        <v/>
      </c>
      <c r="E312" s="40" t="str">
        <f>IF('PRISM REPORT'!$B312&lt;&gt;"",'RAW DATA'!F312,"")</f>
        <v/>
      </c>
      <c r="F312" s="40" t="str">
        <f>IF('PRISM REPORT'!$B312&lt;&gt;"",IF('PRISM REPORT'!E312&lt;&gt;"",IF('PRISM REPORT'!E312&gt;0,'PRISM REPORT'!E312,0),0),"")</f>
        <v/>
      </c>
      <c r="G312" s="40" t="str">
        <f t="shared" si="8"/>
        <v/>
      </c>
      <c r="I312" s="40" t="str">
        <f t="shared" si="9"/>
        <v/>
      </c>
    </row>
    <row r="313" spans="2:9" x14ac:dyDescent="0.25">
      <c r="B313" s="39" t="str">
        <f>IF('PRISM REPORT'!$B313&lt;&gt;"",'PRISM REPORT'!B313,"")</f>
        <v/>
      </c>
      <c r="C313" s="39" t="str">
        <f>IF('PRISM REPORT'!$B313&lt;&gt;"",'PRISM REPORT'!C313,"")</f>
        <v/>
      </c>
      <c r="D313" s="39" t="str">
        <f>IF('PRISM REPORT'!$B313&lt;&gt;"",'PRISM REPORT'!D313,"")</f>
        <v/>
      </c>
      <c r="E313" s="40" t="str">
        <f>IF('PRISM REPORT'!$B313&lt;&gt;"",'RAW DATA'!F313,"")</f>
        <v/>
      </c>
      <c r="F313" s="40" t="str">
        <f>IF('PRISM REPORT'!$B313&lt;&gt;"",IF('PRISM REPORT'!E313&lt;&gt;"",IF('PRISM REPORT'!E313&gt;0,'PRISM REPORT'!E313,0),0),"")</f>
        <v/>
      </c>
      <c r="G313" s="40" t="str">
        <f t="shared" si="8"/>
        <v/>
      </c>
      <c r="I313" s="40" t="str">
        <f t="shared" si="9"/>
        <v/>
      </c>
    </row>
    <row r="314" spans="2:9" x14ac:dyDescent="0.25">
      <c r="B314" s="39" t="str">
        <f>IF('PRISM REPORT'!$B314&lt;&gt;"",'PRISM REPORT'!B314,"")</f>
        <v/>
      </c>
      <c r="C314" s="39" t="str">
        <f>IF('PRISM REPORT'!$B314&lt;&gt;"",'PRISM REPORT'!C314,"")</f>
        <v/>
      </c>
      <c r="D314" s="39" t="str">
        <f>IF('PRISM REPORT'!$B314&lt;&gt;"",'PRISM REPORT'!D314,"")</f>
        <v/>
      </c>
      <c r="E314" s="40" t="str">
        <f>IF('PRISM REPORT'!$B314&lt;&gt;"",'RAW DATA'!F314,"")</f>
        <v/>
      </c>
      <c r="F314" s="40" t="str">
        <f>IF('PRISM REPORT'!$B314&lt;&gt;"",IF('PRISM REPORT'!E314&lt;&gt;"",IF('PRISM REPORT'!E314&gt;0,'PRISM REPORT'!E314,0),0),"")</f>
        <v/>
      </c>
      <c r="G314" s="40" t="str">
        <f t="shared" si="8"/>
        <v/>
      </c>
      <c r="I314" s="40" t="str">
        <f t="shared" si="9"/>
        <v/>
      </c>
    </row>
    <row r="315" spans="2:9" x14ac:dyDescent="0.25">
      <c r="B315" s="39" t="str">
        <f>IF('PRISM REPORT'!$B315&lt;&gt;"",'PRISM REPORT'!B315,"")</f>
        <v/>
      </c>
      <c r="C315" s="39" t="str">
        <f>IF('PRISM REPORT'!$B315&lt;&gt;"",'PRISM REPORT'!C315,"")</f>
        <v/>
      </c>
      <c r="D315" s="39" t="str">
        <f>IF('PRISM REPORT'!$B315&lt;&gt;"",'PRISM REPORT'!D315,"")</f>
        <v/>
      </c>
      <c r="E315" s="40" t="str">
        <f>IF('PRISM REPORT'!$B315&lt;&gt;"",'RAW DATA'!F315,"")</f>
        <v/>
      </c>
      <c r="F315" s="40" t="str">
        <f>IF('PRISM REPORT'!$B315&lt;&gt;"",IF('PRISM REPORT'!E315&lt;&gt;"",IF('PRISM REPORT'!E315&gt;0,'PRISM REPORT'!E315,0),0),"")</f>
        <v/>
      </c>
      <c r="G315" s="40" t="str">
        <f t="shared" si="8"/>
        <v/>
      </c>
      <c r="I315" s="40" t="str">
        <f t="shared" si="9"/>
        <v/>
      </c>
    </row>
    <row r="316" spans="2:9" x14ac:dyDescent="0.25">
      <c r="B316" s="39" t="str">
        <f>IF('PRISM REPORT'!$B316&lt;&gt;"",'PRISM REPORT'!B316,"")</f>
        <v/>
      </c>
      <c r="C316" s="39" t="str">
        <f>IF('PRISM REPORT'!$B316&lt;&gt;"",'PRISM REPORT'!C316,"")</f>
        <v/>
      </c>
      <c r="D316" s="39" t="str">
        <f>IF('PRISM REPORT'!$B316&lt;&gt;"",'PRISM REPORT'!D316,"")</f>
        <v/>
      </c>
      <c r="E316" s="40" t="str">
        <f>IF('PRISM REPORT'!$B316&lt;&gt;"",'RAW DATA'!F316,"")</f>
        <v/>
      </c>
      <c r="F316" s="40" t="str">
        <f>IF('PRISM REPORT'!$B316&lt;&gt;"",IF('PRISM REPORT'!E316&lt;&gt;"",IF('PRISM REPORT'!E316&gt;0,'PRISM REPORT'!E316,0),0),"")</f>
        <v/>
      </c>
      <c r="G316" s="40" t="str">
        <f t="shared" si="8"/>
        <v/>
      </c>
      <c r="I316" s="40" t="str">
        <f t="shared" si="9"/>
        <v/>
      </c>
    </row>
    <row r="317" spans="2:9" x14ac:dyDescent="0.25">
      <c r="B317" s="39" t="str">
        <f>IF('PRISM REPORT'!$B317&lt;&gt;"",'PRISM REPORT'!B317,"")</f>
        <v/>
      </c>
      <c r="C317" s="39" t="str">
        <f>IF('PRISM REPORT'!$B317&lt;&gt;"",'PRISM REPORT'!C317,"")</f>
        <v/>
      </c>
      <c r="D317" s="39" t="str">
        <f>IF('PRISM REPORT'!$B317&lt;&gt;"",'PRISM REPORT'!D317,"")</f>
        <v/>
      </c>
      <c r="E317" s="40" t="str">
        <f>IF('PRISM REPORT'!$B317&lt;&gt;"",'RAW DATA'!F317,"")</f>
        <v/>
      </c>
      <c r="F317" s="40" t="str">
        <f>IF('PRISM REPORT'!$B317&lt;&gt;"",IF('PRISM REPORT'!E317&lt;&gt;"",IF('PRISM REPORT'!E317&gt;0,'PRISM REPORT'!E317,0),0),"")</f>
        <v/>
      </c>
      <c r="G317" s="40" t="str">
        <f t="shared" si="8"/>
        <v/>
      </c>
      <c r="I317" s="40" t="str">
        <f t="shared" si="9"/>
        <v/>
      </c>
    </row>
    <row r="318" spans="2:9" x14ac:dyDescent="0.25">
      <c r="B318" s="39" t="str">
        <f>IF('PRISM REPORT'!$B318&lt;&gt;"",'PRISM REPORT'!B318,"")</f>
        <v/>
      </c>
      <c r="C318" s="39" t="str">
        <f>IF('PRISM REPORT'!$B318&lt;&gt;"",'PRISM REPORT'!C318,"")</f>
        <v/>
      </c>
      <c r="D318" s="39" t="str">
        <f>IF('PRISM REPORT'!$B318&lt;&gt;"",'PRISM REPORT'!D318,"")</f>
        <v/>
      </c>
      <c r="E318" s="40" t="str">
        <f>IF('PRISM REPORT'!$B318&lt;&gt;"",'RAW DATA'!F318,"")</f>
        <v/>
      </c>
      <c r="F318" s="40" t="str">
        <f>IF('PRISM REPORT'!$B318&lt;&gt;"",IF('PRISM REPORT'!E318&lt;&gt;"",IF('PRISM REPORT'!E318&gt;0,'PRISM REPORT'!E318,0),0),"")</f>
        <v/>
      </c>
      <c r="G318" s="40" t="str">
        <f t="shared" si="8"/>
        <v/>
      </c>
      <c r="I318" s="40" t="str">
        <f t="shared" si="9"/>
        <v/>
      </c>
    </row>
    <row r="319" spans="2:9" x14ac:dyDescent="0.25">
      <c r="B319" s="39" t="str">
        <f>IF('PRISM REPORT'!$B319&lt;&gt;"",'PRISM REPORT'!B319,"")</f>
        <v/>
      </c>
      <c r="C319" s="39" t="str">
        <f>IF('PRISM REPORT'!$B319&lt;&gt;"",'PRISM REPORT'!C319,"")</f>
        <v/>
      </c>
      <c r="D319" s="39" t="str">
        <f>IF('PRISM REPORT'!$B319&lt;&gt;"",'PRISM REPORT'!D319,"")</f>
        <v/>
      </c>
      <c r="E319" s="40" t="str">
        <f>IF('PRISM REPORT'!$B319&lt;&gt;"",'RAW DATA'!F319,"")</f>
        <v/>
      </c>
      <c r="F319" s="40" t="str">
        <f>IF('PRISM REPORT'!$B319&lt;&gt;"",IF('PRISM REPORT'!E319&lt;&gt;"",IF('PRISM REPORT'!E319&gt;0,'PRISM REPORT'!E319,0),0),"")</f>
        <v/>
      </c>
      <c r="G319" s="40" t="str">
        <f t="shared" si="8"/>
        <v/>
      </c>
      <c r="I319" s="40" t="str">
        <f t="shared" si="9"/>
        <v/>
      </c>
    </row>
    <row r="320" spans="2:9" x14ac:dyDescent="0.25">
      <c r="B320" s="39" t="str">
        <f>IF('PRISM REPORT'!$B320&lt;&gt;"",'PRISM REPORT'!B320,"")</f>
        <v/>
      </c>
      <c r="C320" s="39" t="str">
        <f>IF('PRISM REPORT'!$B320&lt;&gt;"",'PRISM REPORT'!C320,"")</f>
        <v/>
      </c>
      <c r="D320" s="39" t="str">
        <f>IF('PRISM REPORT'!$B320&lt;&gt;"",'PRISM REPORT'!D320,"")</f>
        <v/>
      </c>
      <c r="E320" s="40" t="str">
        <f>IF('PRISM REPORT'!$B320&lt;&gt;"",'RAW DATA'!F320,"")</f>
        <v/>
      </c>
      <c r="F320" s="40" t="str">
        <f>IF('PRISM REPORT'!$B320&lt;&gt;"",IF('PRISM REPORT'!E320&lt;&gt;"",IF('PRISM REPORT'!E320&gt;0,'PRISM REPORT'!E320,0),0),"")</f>
        <v/>
      </c>
      <c r="G320" s="40" t="str">
        <f t="shared" si="8"/>
        <v/>
      </c>
      <c r="I320" s="40" t="str">
        <f t="shared" si="9"/>
        <v/>
      </c>
    </row>
    <row r="321" spans="2:9" x14ac:dyDescent="0.25">
      <c r="B321" s="39" t="str">
        <f>IF('PRISM REPORT'!$B321&lt;&gt;"",'PRISM REPORT'!B321,"")</f>
        <v/>
      </c>
      <c r="C321" s="39" t="str">
        <f>IF('PRISM REPORT'!$B321&lt;&gt;"",'PRISM REPORT'!C321,"")</f>
        <v/>
      </c>
      <c r="D321" s="39" t="str">
        <f>IF('PRISM REPORT'!$B321&lt;&gt;"",'PRISM REPORT'!D321,"")</f>
        <v/>
      </c>
      <c r="E321" s="40" t="str">
        <f>IF('PRISM REPORT'!$B321&lt;&gt;"",'RAW DATA'!F321,"")</f>
        <v/>
      </c>
      <c r="F321" s="40" t="str">
        <f>IF('PRISM REPORT'!$B321&lt;&gt;"",IF('PRISM REPORT'!E321&lt;&gt;"",IF('PRISM REPORT'!E321&gt;0,'PRISM REPORT'!E321,0),0),"")</f>
        <v/>
      </c>
      <c r="G321" s="40" t="str">
        <f t="shared" si="8"/>
        <v/>
      </c>
      <c r="I321" s="40" t="str">
        <f t="shared" si="9"/>
        <v/>
      </c>
    </row>
    <row r="322" spans="2:9" x14ac:dyDescent="0.25">
      <c r="B322" s="39" t="str">
        <f>IF('PRISM REPORT'!$B322&lt;&gt;"",'PRISM REPORT'!B322,"")</f>
        <v/>
      </c>
      <c r="C322" s="39" t="str">
        <f>IF('PRISM REPORT'!$B322&lt;&gt;"",'PRISM REPORT'!C322,"")</f>
        <v/>
      </c>
      <c r="D322" s="39" t="str">
        <f>IF('PRISM REPORT'!$B322&lt;&gt;"",'PRISM REPORT'!D322,"")</f>
        <v/>
      </c>
      <c r="E322" s="40" t="str">
        <f>IF('PRISM REPORT'!$B322&lt;&gt;"",'RAW DATA'!F322,"")</f>
        <v/>
      </c>
      <c r="F322" s="40" t="str">
        <f>IF('PRISM REPORT'!$B322&lt;&gt;"",IF('PRISM REPORT'!E322&lt;&gt;"",IF('PRISM REPORT'!E322&gt;0,'PRISM REPORT'!E322,0),0),"")</f>
        <v/>
      </c>
      <c r="G322" s="40" t="str">
        <f t="shared" si="8"/>
        <v/>
      </c>
      <c r="I322" s="40" t="str">
        <f t="shared" si="9"/>
        <v/>
      </c>
    </row>
    <row r="323" spans="2:9" x14ac:dyDescent="0.25">
      <c r="B323" s="39" t="str">
        <f>IF('PRISM REPORT'!$B323&lt;&gt;"",'PRISM REPORT'!B323,"")</f>
        <v/>
      </c>
      <c r="C323" s="39" t="str">
        <f>IF('PRISM REPORT'!$B323&lt;&gt;"",'PRISM REPORT'!C323,"")</f>
        <v/>
      </c>
      <c r="D323" s="39" t="str">
        <f>IF('PRISM REPORT'!$B323&lt;&gt;"",'PRISM REPORT'!D323,"")</f>
        <v/>
      </c>
      <c r="E323" s="40" t="str">
        <f>IF('PRISM REPORT'!$B323&lt;&gt;"",'RAW DATA'!F323,"")</f>
        <v/>
      </c>
      <c r="F323" s="40" t="str">
        <f>IF('PRISM REPORT'!$B323&lt;&gt;"",IF('PRISM REPORT'!E323&lt;&gt;"",IF('PRISM REPORT'!E323&gt;0,'PRISM REPORT'!E323,0),0),"")</f>
        <v/>
      </c>
      <c r="G323" s="40" t="str">
        <f t="shared" si="8"/>
        <v/>
      </c>
      <c r="I323" s="40" t="str">
        <f t="shared" si="9"/>
        <v/>
      </c>
    </row>
    <row r="324" spans="2:9" x14ac:dyDescent="0.25">
      <c r="B324" s="39" t="str">
        <f>IF('PRISM REPORT'!$B324&lt;&gt;"",'PRISM REPORT'!B324,"")</f>
        <v/>
      </c>
      <c r="C324" s="39" t="str">
        <f>IF('PRISM REPORT'!$B324&lt;&gt;"",'PRISM REPORT'!C324,"")</f>
        <v/>
      </c>
      <c r="D324" s="39" t="str">
        <f>IF('PRISM REPORT'!$B324&lt;&gt;"",'PRISM REPORT'!D324,"")</f>
        <v/>
      </c>
      <c r="E324" s="40" t="str">
        <f>IF('PRISM REPORT'!$B324&lt;&gt;"",'RAW DATA'!F324,"")</f>
        <v/>
      </c>
      <c r="F324" s="40" t="str">
        <f>IF('PRISM REPORT'!$B324&lt;&gt;"",IF('PRISM REPORT'!E324&lt;&gt;"",IF('PRISM REPORT'!E324&gt;0,'PRISM REPORT'!E324,0),0),"")</f>
        <v/>
      </c>
      <c r="G324" s="40" t="str">
        <f t="shared" si="8"/>
        <v/>
      </c>
      <c r="I324" s="40" t="str">
        <f t="shared" si="9"/>
        <v/>
      </c>
    </row>
    <row r="325" spans="2:9" x14ac:dyDescent="0.25">
      <c r="B325" s="39" t="str">
        <f>IF('PRISM REPORT'!$B325&lt;&gt;"",'PRISM REPORT'!B325,"")</f>
        <v/>
      </c>
      <c r="C325" s="39" t="str">
        <f>IF('PRISM REPORT'!$B325&lt;&gt;"",'PRISM REPORT'!C325,"")</f>
        <v/>
      </c>
      <c r="D325" s="39" t="str">
        <f>IF('PRISM REPORT'!$B325&lt;&gt;"",'PRISM REPORT'!D325,"")</f>
        <v/>
      </c>
      <c r="E325" s="40" t="str">
        <f>IF('PRISM REPORT'!$B325&lt;&gt;"",'RAW DATA'!F325,"")</f>
        <v/>
      </c>
      <c r="F325" s="40" t="str">
        <f>IF('PRISM REPORT'!$B325&lt;&gt;"",IF('PRISM REPORT'!E325&lt;&gt;"",IF('PRISM REPORT'!E325&gt;0,'PRISM REPORT'!E325,0),0),"")</f>
        <v/>
      </c>
      <c r="G325" s="40" t="str">
        <f t="shared" ref="G325:G388" si="10">IF(AND(B325&lt;&gt;"",C325&lt;&gt;""),SUM(E325,F325),"")</f>
        <v/>
      </c>
      <c r="I325" s="40" t="str">
        <f t="shared" ref="I325:I388" si="11">IF(AND(B325&lt;&gt;"",C325&lt;&gt;""),G325-(H325*50),"")</f>
        <v/>
      </c>
    </row>
    <row r="326" spans="2:9" x14ac:dyDescent="0.25">
      <c r="B326" s="39" t="str">
        <f>IF('PRISM REPORT'!$B326&lt;&gt;"",'PRISM REPORT'!B326,"")</f>
        <v/>
      </c>
      <c r="C326" s="39" t="str">
        <f>IF('PRISM REPORT'!$B326&lt;&gt;"",'PRISM REPORT'!C326,"")</f>
        <v/>
      </c>
      <c r="D326" s="39" t="str">
        <f>IF('PRISM REPORT'!$B326&lt;&gt;"",'PRISM REPORT'!D326,"")</f>
        <v/>
      </c>
      <c r="E326" s="40" t="str">
        <f>IF('PRISM REPORT'!$B326&lt;&gt;"",'RAW DATA'!F326,"")</f>
        <v/>
      </c>
      <c r="F326" s="40" t="str">
        <f>IF('PRISM REPORT'!$B326&lt;&gt;"",IF('PRISM REPORT'!E326&lt;&gt;"",IF('PRISM REPORT'!E326&gt;0,'PRISM REPORT'!E326,0),0),"")</f>
        <v/>
      </c>
      <c r="G326" s="40" t="str">
        <f t="shared" si="10"/>
        <v/>
      </c>
      <c r="I326" s="40" t="str">
        <f t="shared" si="11"/>
        <v/>
      </c>
    </row>
    <row r="327" spans="2:9" x14ac:dyDescent="0.25">
      <c r="B327" s="39" t="str">
        <f>IF('PRISM REPORT'!$B327&lt;&gt;"",'PRISM REPORT'!B327,"")</f>
        <v/>
      </c>
      <c r="C327" s="39" t="str">
        <f>IF('PRISM REPORT'!$B327&lt;&gt;"",'PRISM REPORT'!C327,"")</f>
        <v/>
      </c>
      <c r="D327" s="39" t="str">
        <f>IF('PRISM REPORT'!$B327&lt;&gt;"",'PRISM REPORT'!D327,"")</f>
        <v/>
      </c>
      <c r="E327" s="40" t="str">
        <f>IF('PRISM REPORT'!$B327&lt;&gt;"",'RAW DATA'!F327,"")</f>
        <v/>
      </c>
      <c r="F327" s="40" t="str">
        <f>IF('PRISM REPORT'!$B327&lt;&gt;"",IF('PRISM REPORT'!E327&lt;&gt;"",IF('PRISM REPORT'!E327&gt;0,'PRISM REPORT'!E327,0),0),"")</f>
        <v/>
      </c>
      <c r="G327" s="40" t="str">
        <f t="shared" si="10"/>
        <v/>
      </c>
      <c r="I327" s="40" t="str">
        <f t="shared" si="11"/>
        <v/>
      </c>
    </row>
    <row r="328" spans="2:9" x14ac:dyDescent="0.25">
      <c r="B328" s="39" t="str">
        <f>IF('PRISM REPORT'!$B328&lt;&gt;"",'PRISM REPORT'!B328,"")</f>
        <v/>
      </c>
      <c r="C328" s="39" t="str">
        <f>IF('PRISM REPORT'!$B328&lt;&gt;"",'PRISM REPORT'!C328,"")</f>
        <v/>
      </c>
      <c r="D328" s="39" t="str">
        <f>IF('PRISM REPORT'!$B328&lt;&gt;"",'PRISM REPORT'!D328,"")</f>
        <v/>
      </c>
      <c r="E328" s="40" t="str">
        <f>IF('PRISM REPORT'!$B328&lt;&gt;"",'RAW DATA'!F328,"")</f>
        <v/>
      </c>
      <c r="F328" s="40" t="str">
        <f>IF('PRISM REPORT'!$B328&lt;&gt;"",IF('PRISM REPORT'!E328&lt;&gt;"",IF('PRISM REPORT'!E328&gt;0,'PRISM REPORT'!E328,0),0),"")</f>
        <v/>
      </c>
      <c r="G328" s="40" t="str">
        <f t="shared" si="10"/>
        <v/>
      </c>
      <c r="I328" s="40" t="str">
        <f t="shared" si="11"/>
        <v/>
      </c>
    </row>
    <row r="329" spans="2:9" x14ac:dyDescent="0.25">
      <c r="B329" s="39" t="str">
        <f>IF('PRISM REPORT'!$B329&lt;&gt;"",'PRISM REPORT'!B329,"")</f>
        <v/>
      </c>
      <c r="C329" s="39" t="str">
        <f>IF('PRISM REPORT'!$B329&lt;&gt;"",'PRISM REPORT'!C329,"")</f>
        <v/>
      </c>
      <c r="D329" s="39" t="str">
        <f>IF('PRISM REPORT'!$B329&lt;&gt;"",'PRISM REPORT'!D329,"")</f>
        <v/>
      </c>
      <c r="E329" s="40" t="str">
        <f>IF('PRISM REPORT'!$B329&lt;&gt;"",'RAW DATA'!F329,"")</f>
        <v/>
      </c>
      <c r="F329" s="40" t="str">
        <f>IF('PRISM REPORT'!$B329&lt;&gt;"",IF('PRISM REPORT'!E329&lt;&gt;"",IF('PRISM REPORT'!E329&gt;0,'PRISM REPORT'!E329,0),0),"")</f>
        <v/>
      </c>
      <c r="G329" s="40" t="str">
        <f t="shared" si="10"/>
        <v/>
      </c>
      <c r="I329" s="40" t="str">
        <f t="shared" si="11"/>
        <v/>
      </c>
    </row>
    <row r="330" spans="2:9" x14ac:dyDescent="0.25">
      <c r="B330" s="39" t="str">
        <f>IF('PRISM REPORT'!$B330&lt;&gt;"",'PRISM REPORT'!B330,"")</f>
        <v/>
      </c>
      <c r="C330" s="39" t="str">
        <f>IF('PRISM REPORT'!$B330&lt;&gt;"",'PRISM REPORT'!C330,"")</f>
        <v/>
      </c>
      <c r="D330" s="39" t="str">
        <f>IF('PRISM REPORT'!$B330&lt;&gt;"",'PRISM REPORT'!D330,"")</f>
        <v/>
      </c>
      <c r="E330" s="40" t="str">
        <f>IF('PRISM REPORT'!$B330&lt;&gt;"",'RAW DATA'!F330,"")</f>
        <v/>
      </c>
      <c r="F330" s="40" t="str">
        <f>IF('PRISM REPORT'!$B330&lt;&gt;"",IF('PRISM REPORT'!E330&lt;&gt;"",IF('PRISM REPORT'!E330&gt;0,'PRISM REPORT'!E330,0),0),"")</f>
        <v/>
      </c>
      <c r="G330" s="40" t="str">
        <f t="shared" si="10"/>
        <v/>
      </c>
      <c r="I330" s="40" t="str">
        <f t="shared" si="11"/>
        <v/>
      </c>
    </row>
    <row r="331" spans="2:9" x14ac:dyDescent="0.25">
      <c r="B331" s="39" t="str">
        <f>IF('PRISM REPORT'!$B331&lt;&gt;"",'PRISM REPORT'!B331,"")</f>
        <v/>
      </c>
      <c r="C331" s="39" t="str">
        <f>IF('PRISM REPORT'!$B331&lt;&gt;"",'PRISM REPORT'!C331,"")</f>
        <v/>
      </c>
      <c r="D331" s="39" t="str">
        <f>IF('PRISM REPORT'!$B331&lt;&gt;"",'PRISM REPORT'!D331,"")</f>
        <v/>
      </c>
      <c r="E331" s="40" t="str">
        <f>IF('PRISM REPORT'!$B331&lt;&gt;"",'RAW DATA'!F331,"")</f>
        <v/>
      </c>
      <c r="F331" s="40" t="str">
        <f>IF('PRISM REPORT'!$B331&lt;&gt;"",IF('PRISM REPORT'!E331&lt;&gt;"",IF('PRISM REPORT'!E331&gt;0,'PRISM REPORT'!E331,0),0),"")</f>
        <v/>
      </c>
      <c r="G331" s="40" t="str">
        <f t="shared" si="10"/>
        <v/>
      </c>
      <c r="I331" s="40" t="str">
        <f t="shared" si="11"/>
        <v/>
      </c>
    </row>
    <row r="332" spans="2:9" x14ac:dyDescent="0.25">
      <c r="B332" s="39" t="str">
        <f>IF('PRISM REPORT'!$B332&lt;&gt;"",'PRISM REPORT'!B332,"")</f>
        <v/>
      </c>
      <c r="C332" s="39" t="str">
        <f>IF('PRISM REPORT'!$B332&lt;&gt;"",'PRISM REPORT'!C332,"")</f>
        <v/>
      </c>
      <c r="D332" s="39" t="str">
        <f>IF('PRISM REPORT'!$B332&lt;&gt;"",'PRISM REPORT'!D332,"")</f>
        <v/>
      </c>
      <c r="E332" s="40" t="str">
        <f>IF('PRISM REPORT'!$B332&lt;&gt;"",'RAW DATA'!F332,"")</f>
        <v/>
      </c>
      <c r="F332" s="40" t="str">
        <f>IF('PRISM REPORT'!$B332&lt;&gt;"",IF('PRISM REPORT'!E332&lt;&gt;"",IF('PRISM REPORT'!E332&gt;0,'PRISM REPORT'!E332,0),0),"")</f>
        <v/>
      </c>
      <c r="G332" s="40" t="str">
        <f t="shared" si="10"/>
        <v/>
      </c>
      <c r="I332" s="40" t="str">
        <f t="shared" si="11"/>
        <v/>
      </c>
    </row>
    <row r="333" spans="2:9" x14ac:dyDescent="0.25">
      <c r="B333" s="39" t="str">
        <f>IF('PRISM REPORT'!$B333&lt;&gt;"",'PRISM REPORT'!B333,"")</f>
        <v/>
      </c>
      <c r="C333" s="39" t="str">
        <f>IF('PRISM REPORT'!$B333&lt;&gt;"",'PRISM REPORT'!C333,"")</f>
        <v/>
      </c>
      <c r="D333" s="39" t="str">
        <f>IF('PRISM REPORT'!$B333&lt;&gt;"",'PRISM REPORT'!D333,"")</f>
        <v/>
      </c>
      <c r="E333" s="40" t="str">
        <f>IF('PRISM REPORT'!$B333&lt;&gt;"",'RAW DATA'!F333,"")</f>
        <v/>
      </c>
      <c r="F333" s="40" t="str">
        <f>IF('PRISM REPORT'!$B333&lt;&gt;"",IF('PRISM REPORT'!E333&lt;&gt;"",IF('PRISM REPORT'!E333&gt;0,'PRISM REPORT'!E333,0),0),"")</f>
        <v/>
      </c>
      <c r="G333" s="40" t="str">
        <f t="shared" si="10"/>
        <v/>
      </c>
      <c r="I333" s="40" t="str">
        <f t="shared" si="11"/>
        <v/>
      </c>
    </row>
    <row r="334" spans="2:9" x14ac:dyDescent="0.25">
      <c r="B334" s="39" t="str">
        <f>IF('PRISM REPORT'!$B334&lt;&gt;"",'PRISM REPORT'!B334,"")</f>
        <v/>
      </c>
      <c r="C334" s="39" t="str">
        <f>IF('PRISM REPORT'!$B334&lt;&gt;"",'PRISM REPORT'!C334,"")</f>
        <v/>
      </c>
      <c r="D334" s="39" t="str">
        <f>IF('PRISM REPORT'!$B334&lt;&gt;"",'PRISM REPORT'!D334,"")</f>
        <v/>
      </c>
      <c r="E334" s="40" t="str">
        <f>IF('PRISM REPORT'!$B334&lt;&gt;"",'RAW DATA'!F334,"")</f>
        <v/>
      </c>
      <c r="F334" s="40" t="str">
        <f>IF('PRISM REPORT'!$B334&lt;&gt;"",IF('PRISM REPORT'!E334&lt;&gt;"",IF('PRISM REPORT'!E334&gt;0,'PRISM REPORT'!E334,0),0),"")</f>
        <v/>
      </c>
      <c r="G334" s="40" t="str">
        <f t="shared" si="10"/>
        <v/>
      </c>
      <c r="I334" s="40" t="str">
        <f t="shared" si="11"/>
        <v/>
      </c>
    </row>
    <row r="335" spans="2:9" x14ac:dyDescent="0.25">
      <c r="B335" s="39" t="str">
        <f>IF('PRISM REPORT'!$B335&lt;&gt;"",'PRISM REPORT'!B335,"")</f>
        <v/>
      </c>
      <c r="C335" s="39" t="str">
        <f>IF('PRISM REPORT'!$B335&lt;&gt;"",'PRISM REPORT'!C335,"")</f>
        <v/>
      </c>
      <c r="D335" s="39" t="str">
        <f>IF('PRISM REPORT'!$B335&lt;&gt;"",'PRISM REPORT'!D335,"")</f>
        <v/>
      </c>
      <c r="E335" s="40" t="str">
        <f>IF('PRISM REPORT'!$B335&lt;&gt;"",'RAW DATA'!F335,"")</f>
        <v/>
      </c>
      <c r="F335" s="40" t="str">
        <f>IF('PRISM REPORT'!$B335&lt;&gt;"",IF('PRISM REPORT'!E335&lt;&gt;"",IF('PRISM REPORT'!E335&gt;0,'PRISM REPORT'!E335,0),0),"")</f>
        <v/>
      </c>
      <c r="G335" s="40" t="str">
        <f t="shared" si="10"/>
        <v/>
      </c>
      <c r="I335" s="40" t="str">
        <f t="shared" si="11"/>
        <v/>
      </c>
    </row>
    <row r="336" spans="2:9" x14ac:dyDescent="0.25">
      <c r="B336" s="39" t="str">
        <f>IF('PRISM REPORT'!$B336&lt;&gt;"",'PRISM REPORT'!B336,"")</f>
        <v/>
      </c>
      <c r="C336" s="39" t="str">
        <f>IF('PRISM REPORT'!$B336&lt;&gt;"",'PRISM REPORT'!C336,"")</f>
        <v/>
      </c>
      <c r="D336" s="39" t="str">
        <f>IF('PRISM REPORT'!$B336&lt;&gt;"",'PRISM REPORT'!D336,"")</f>
        <v/>
      </c>
      <c r="E336" s="40" t="str">
        <f>IF('PRISM REPORT'!$B336&lt;&gt;"",'RAW DATA'!F336,"")</f>
        <v/>
      </c>
      <c r="F336" s="40" t="str">
        <f>IF('PRISM REPORT'!$B336&lt;&gt;"",IF('PRISM REPORT'!E336&lt;&gt;"",IF('PRISM REPORT'!E336&gt;0,'PRISM REPORT'!E336,0),0),"")</f>
        <v/>
      </c>
      <c r="G336" s="40" t="str">
        <f t="shared" si="10"/>
        <v/>
      </c>
      <c r="I336" s="40" t="str">
        <f t="shared" si="11"/>
        <v/>
      </c>
    </row>
    <row r="337" spans="2:9" x14ac:dyDescent="0.25">
      <c r="B337" s="39" t="str">
        <f>IF('PRISM REPORT'!$B337&lt;&gt;"",'PRISM REPORT'!B337,"")</f>
        <v/>
      </c>
      <c r="C337" s="39" t="str">
        <f>IF('PRISM REPORT'!$B337&lt;&gt;"",'PRISM REPORT'!C337,"")</f>
        <v/>
      </c>
      <c r="D337" s="39" t="str">
        <f>IF('PRISM REPORT'!$B337&lt;&gt;"",'PRISM REPORT'!D337,"")</f>
        <v/>
      </c>
      <c r="E337" s="40" t="str">
        <f>IF('PRISM REPORT'!$B337&lt;&gt;"",'RAW DATA'!F337,"")</f>
        <v/>
      </c>
      <c r="F337" s="40" t="str">
        <f>IF('PRISM REPORT'!$B337&lt;&gt;"",IF('PRISM REPORT'!E337&lt;&gt;"",IF('PRISM REPORT'!E337&gt;0,'PRISM REPORT'!E337,0),0),"")</f>
        <v/>
      </c>
      <c r="G337" s="40" t="str">
        <f t="shared" si="10"/>
        <v/>
      </c>
      <c r="I337" s="40" t="str">
        <f t="shared" si="11"/>
        <v/>
      </c>
    </row>
    <row r="338" spans="2:9" x14ac:dyDescent="0.25">
      <c r="B338" s="39" t="str">
        <f>IF('PRISM REPORT'!$B338&lt;&gt;"",'PRISM REPORT'!B338,"")</f>
        <v/>
      </c>
      <c r="C338" s="39" t="str">
        <f>IF('PRISM REPORT'!$B338&lt;&gt;"",'PRISM REPORT'!C338,"")</f>
        <v/>
      </c>
      <c r="D338" s="39" t="str">
        <f>IF('PRISM REPORT'!$B338&lt;&gt;"",'PRISM REPORT'!D338,"")</f>
        <v/>
      </c>
      <c r="E338" s="40" t="str">
        <f>IF('PRISM REPORT'!$B338&lt;&gt;"",'RAW DATA'!F338,"")</f>
        <v/>
      </c>
      <c r="F338" s="40" t="str">
        <f>IF('PRISM REPORT'!$B338&lt;&gt;"",IF('PRISM REPORT'!E338&lt;&gt;"",IF('PRISM REPORT'!E338&gt;0,'PRISM REPORT'!E338,0),0),"")</f>
        <v/>
      </c>
      <c r="G338" s="40" t="str">
        <f t="shared" si="10"/>
        <v/>
      </c>
      <c r="I338" s="40" t="str">
        <f t="shared" si="11"/>
        <v/>
      </c>
    </row>
    <row r="339" spans="2:9" x14ac:dyDescent="0.25">
      <c r="B339" s="39" t="str">
        <f>IF('PRISM REPORT'!$B339&lt;&gt;"",'PRISM REPORT'!B339,"")</f>
        <v/>
      </c>
      <c r="C339" s="39" t="str">
        <f>IF('PRISM REPORT'!$B339&lt;&gt;"",'PRISM REPORT'!C339,"")</f>
        <v/>
      </c>
      <c r="D339" s="39" t="str">
        <f>IF('PRISM REPORT'!$B339&lt;&gt;"",'PRISM REPORT'!D339,"")</f>
        <v/>
      </c>
      <c r="E339" s="40" t="str">
        <f>IF('PRISM REPORT'!$B339&lt;&gt;"",'RAW DATA'!F339,"")</f>
        <v/>
      </c>
      <c r="F339" s="40" t="str">
        <f>IF('PRISM REPORT'!$B339&lt;&gt;"",IF('PRISM REPORT'!E339&lt;&gt;"",IF('PRISM REPORT'!E339&gt;0,'PRISM REPORT'!E339,0),0),"")</f>
        <v/>
      </c>
      <c r="G339" s="40" t="str">
        <f t="shared" si="10"/>
        <v/>
      </c>
      <c r="I339" s="40" t="str">
        <f t="shared" si="11"/>
        <v/>
      </c>
    </row>
    <row r="340" spans="2:9" x14ac:dyDescent="0.25">
      <c r="B340" s="39" t="str">
        <f>IF('PRISM REPORT'!$B340&lt;&gt;"",'PRISM REPORT'!B340,"")</f>
        <v/>
      </c>
      <c r="C340" s="39" t="str">
        <f>IF('PRISM REPORT'!$B340&lt;&gt;"",'PRISM REPORT'!C340,"")</f>
        <v/>
      </c>
      <c r="D340" s="39" t="str">
        <f>IF('PRISM REPORT'!$B340&lt;&gt;"",'PRISM REPORT'!D340,"")</f>
        <v/>
      </c>
      <c r="E340" s="40" t="str">
        <f>IF('PRISM REPORT'!$B340&lt;&gt;"",'RAW DATA'!F340,"")</f>
        <v/>
      </c>
      <c r="F340" s="40" t="str">
        <f>IF('PRISM REPORT'!$B340&lt;&gt;"",IF('PRISM REPORT'!E340&lt;&gt;"",IF('PRISM REPORT'!E340&gt;0,'PRISM REPORT'!E340,0),0),"")</f>
        <v/>
      </c>
      <c r="G340" s="40" t="str">
        <f t="shared" si="10"/>
        <v/>
      </c>
      <c r="I340" s="40" t="str">
        <f t="shared" si="11"/>
        <v/>
      </c>
    </row>
    <row r="341" spans="2:9" x14ac:dyDescent="0.25">
      <c r="B341" s="39" t="str">
        <f>IF('PRISM REPORT'!$B341&lt;&gt;"",'PRISM REPORT'!B341,"")</f>
        <v/>
      </c>
      <c r="C341" s="39" t="str">
        <f>IF('PRISM REPORT'!$B341&lt;&gt;"",'PRISM REPORT'!C341,"")</f>
        <v/>
      </c>
      <c r="D341" s="39" t="str">
        <f>IF('PRISM REPORT'!$B341&lt;&gt;"",'PRISM REPORT'!D341,"")</f>
        <v/>
      </c>
      <c r="E341" s="40" t="str">
        <f>IF('PRISM REPORT'!$B341&lt;&gt;"",'RAW DATA'!F341,"")</f>
        <v/>
      </c>
      <c r="F341" s="40" t="str">
        <f>IF('PRISM REPORT'!$B341&lt;&gt;"",IF('PRISM REPORT'!E341&lt;&gt;"",IF('PRISM REPORT'!E341&gt;0,'PRISM REPORT'!E341,0),0),"")</f>
        <v/>
      </c>
      <c r="G341" s="40" t="str">
        <f t="shared" si="10"/>
        <v/>
      </c>
      <c r="I341" s="40" t="str">
        <f t="shared" si="11"/>
        <v/>
      </c>
    </row>
    <row r="342" spans="2:9" x14ac:dyDescent="0.25">
      <c r="B342" s="39" t="str">
        <f>IF('PRISM REPORT'!$B342&lt;&gt;"",'PRISM REPORT'!B342,"")</f>
        <v/>
      </c>
      <c r="C342" s="39" t="str">
        <f>IF('PRISM REPORT'!$B342&lt;&gt;"",'PRISM REPORT'!C342,"")</f>
        <v/>
      </c>
      <c r="D342" s="39" t="str">
        <f>IF('PRISM REPORT'!$B342&lt;&gt;"",'PRISM REPORT'!D342,"")</f>
        <v/>
      </c>
      <c r="E342" s="40" t="str">
        <f>IF('PRISM REPORT'!$B342&lt;&gt;"",'RAW DATA'!F342,"")</f>
        <v/>
      </c>
      <c r="F342" s="40" t="str">
        <f>IF('PRISM REPORT'!$B342&lt;&gt;"",IF('PRISM REPORT'!E342&lt;&gt;"",IF('PRISM REPORT'!E342&gt;0,'PRISM REPORT'!E342,0),0),"")</f>
        <v/>
      </c>
      <c r="G342" s="40" t="str">
        <f t="shared" si="10"/>
        <v/>
      </c>
      <c r="I342" s="40" t="str">
        <f t="shared" si="11"/>
        <v/>
      </c>
    </row>
    <row r="343" spans="2:9" x14ac:dyDescent="0.25">
      <c r="B343" s="39" t="str">
        <f>IF('PRISM REPORT'!$B343&lt;&gt;"",'PRISM REPORT'!B343,"")</f>
        <v/>
      </c>
      <c r="C343" s="39" t="str">
        <f>IF('PRISM REPORT'!$B343&lt;&gt;"",'PRISM REPORT'!C343,"")</f>
        <v/>
      </c>
      <c r="D343" s="39" t="str">
        <f>IF('PRISM REPORT'!$B343&lt;&gt;"",'PRISM REPORT'!D343,"")</f>
        <v/>
      </c>
      <c r="E343" s="40" t="str">
        <f>IF('PRISM REPORT'!$B343&lt;&gt;"",'RAW DATA'!F343,"")</f>
        <v/>
      </c>
      <c r="F343" s="40" t="str">
        <f>IF('PRISM REPORT'!$B343&lt;&gt;"",IF('PRISM REPORT'!E343&lt;&gt;"",IF('PRISM REPORT'!E343&gt;0,'PRISM REPORT'!E343,0),0),"")</f>
        <v/>
      </c>
      <c r="G343" s="40" t="str">
        <f t="shared" si="10"/>
        <v/>
      </c>
      <c r="I343" s="40" t="str">
        <f t="shared" si="11"/>
        <v/>
      </c>
    </row>
    <row r="344" spans="2:9" x14ac:dyDescent="0.25">
      <c r="B344" s="39" t="str">
        <f>IF('PRISM REPORT'!$B344&lt;&gt;"",'PRISM REPORT'!B344,"")</f>
        <v/>
      </c>
      <c r="C344" s="39" t="str">
        <f>IF('PRISM REPORT'!$B344&lt;&gt;"",'PRISM REPORT'!C344,"")</f>
        <v/>
      </c>
      <c r="D344" s="39" t="str">
        <f>IF('PRISM REPORT'!$B344&lt;&gt;"",'PRISM REPORT'!D344,"")</f>
        <v/>
      </c>
      <c r="E344" s="40" t="str">
        <f>IF('PRISM REPORT'!$B344&lt;&gt;"",'RAW DATA'!F344,"")</f>
        <v/>
      </c>
      <c r="F344" s="40" t="str">
        <f>IF('PRISM REPORT'!$B344&lt;&gt;"",IF('PRISM REPORT'!E344&lt;&gt;"",IF('PRISM REPORT'!E344&gt;0,'PRISM REPORT'!E344,0),0),"")</f>
        <v/>
      </c>
      <c r="G344" s="40" t="str">
        <f t="shared" si="10"/>
        <v/>
      </c>
      <c r="I344" s="40" t="str">
        <f t="shared" si="11"/>
        <v/>
      </c>
    </row>
    <row r="345" spans="2:9" x14ac:dyDescent="0.25">
      <c r="B345" s="39" t="str">
        <f>IF('PRISM REPORT'!$B345&lt;&gt;"",'PRISM REPORT'!B345,"")</f>
        <v/>
      </c>
      <c r="C345" s="39" t="str">
        <f>IF('PRISM REPORT'!$B345&lt;&gt;"",'PRISM REPORT'!C345,"")</f>
        <v/>
      </c>
      <c r="D345" s="39" t="str">
        <f>IF('PRISM REPORT'!$B345&lt;&gt;"",'PRISM REPORT'!D345,"")</f>
        <v/>
      </c>
      <c r="E345" s="40" t="str">
        <f>IF('PRISM REPORT'!$B345&lt;&gt;"",'RAW DATA'!F345,"")</f>
        <v/>
      </c>
      <c r="F345" s="40" t="str">
        <f>IF('PRISM REPORT'!$B345&lt;&gt;"",IF('PRISM REPORT'!E345&lt;&gt;"",IF('PRISM REPORT'!E345&gt;0,'PRISM REPORT'!E345,0),0),"")</f>
        <v/>
      </c>
      <c r="G345" s="40" t="str">
        <f t="shared" si="10"/>
        <v/>
      </c>
      <c r="I345" s="40" t="str">
        <f t="shared" si="11"/>
        <v/>
      </c>
    </row>
    <row r="346" spans="2:9" x14ac:dyDescent="0.25">
      <c r="B346" s="39" t="str">
        <f>IF('PRISM REPORT'!$B346&lt;&gt;"",'PRISM REPORT'!B346,"")</f>
        <v/>
      </c>
      <c r="C346" s="39" t="str">
        <f>IF('PRISM REPORT'!$B346&lt;&gt;"",'PRISM REPORT'!C346,"")</f>
        <v/>
      </c>
      <c r="D346" s="39" t="str">
        <f>IF('PRISM REPORT'!$B346&lt;&gt;"",'PRISM REPORT'!D346,"")</f>
        <v/>
      </c>
      <c r="E346" s="40" t="str">
        <f>IF('PRISM REPORT'!$B346&lt;&gt;"",'RAW DATA'!F346,"")</f>
        <v/>
      </c>
      <c r="F346" s="40" t="str">
        <f>IF('PRISM REPORT'!$B346&lt;&gt;"",IF('PRISM REPORT'!E346&lt;&gt;"",IF('PRISM REPORT'!E346&gt;0,'PRISM REPORT'!E346,0),0),"")</f>
        <v/>
      </c>
      <c r="G346" s="40" t="str">
        <f t="shared" si="10"/>
        <v/>
      </c>
      <c r="I346" s="40" t="str">
        <f t="shared" si="11"/>
        <v/>
      </c>
    </row>
    <row r="347" spans="2:9" x14ac:dyDescent="0.25">
      <c r="B347" s="39" t="str">
        <f>IF('PRISM REPORT'!$B347&lt;&gt;"",'PRISM REPORT'!B347,"")</f>
        <v/>
      </c>
      <c r="C347" s="39" t="str">
        <f>IF('PRISM REPORT'!$B347&lt;&gt;"",'PRISM REPORT'!C347,"")</f>
        <v/>
      </c>
      <c r="D347" s="39" t="str">
        <f>IF('PRISM REPORT'!$B347&lt;&gt;"",'PRISM REPORT'!D347,"")</f>
        <v/>
      </c>
      <c r="E347" s="40" t="str">
        <f>IF('PRISM REPORT'!$B347&lt;&gt;"",'RAW DATA'!F347,"")</f>
        <v/>
      </c>
      <c r="F347" s="40" t="str">
        <f>IF('PRISM REPORT'!$B347&lt;&gt;"",IF('PRISM REPORT'!E347&lt;&gt;"",IF('PRISM REPORT'!E347&gt;0,'PRISM REPORT'!E347,0),0),"")</f>
        <v/>
      </c>
      <c r="G347" s="40" t="str">
        <f t="shared" si="10"/>
        <v/>
      </c>
      <c r="I347" s="40" t="str">
        <f t="shared" si="11"/>
        <v/>
      </c>
    </row>
    <row r="348" spans="2:9" x14ac:dyDescent="0.25">
      <c r="B348" s="39" t="str">
        <f>IF('PRISM REPORT'!$B348&lt;&gt;"",'PRISM REPORT'!B348,"")</f>
        <v/>
      </c>
      <c r="C348" s="39" t="str">
        <f>IF('PRISM REPORT'!$B348&lt;&gt;"",'PRISM REPORT'!C348,"")</f>
        <v/>
      </c>
      <c r="D348" s="39" t="str">
        <f>IF('PRISM REPORT'!$B348&lt;&gt;"",'PRISM REPORT'!D348,"")</f>
        <v/>
      </c>
      <c r="E348" s="40" t="str">
        <f>IF('PRISM REPORT'!$B348&lt;&gt;"",'RAW DATA'!F348,"")</f>
        <v/>
      </c>
      <c r="F348" s="40" t="str">
        <f>IF('PRISM REPORT'!$B348&lt;&gt;"",IF('PRISM REPORT'!E348&lt;&gt;"",IF('PRISM REPORT'!E348&gt;0,'PRISM REPORT'!E348,0),0),"")</f>
        <v/>
      </c>
      <c r="G348" s="40" t="str">
        <f t="shared" si="10"/>
        <v/>
      </c>
      <c r="I348" s="40" t="str">
        <f t="shared" si="11"/>
        <v/>
      </c>
    </row>
    <row r="349" spans="2:9" x14ac:dyDescent="0.25">
      <c r="B349" s="39" t="str">
        <f>IF('PRISM REPORT'!$B349&lt;&gt;"",'PRISM REPORT'!B349,"")</f>
        <v/>
      </c>
      <c r="C349" s="39" t="str">
        <f>IF('PRISM REPORT'!$B349&lt;&gt;"",'PRISM REPORT'!C349,"")</f>
        <v/>
      </c>
      <c r="D349" s="39" t="str">
        <f>IF('PRISM REPORT'!$B349&lt;&gt;"",'PRISM REPORT'!D349,"")</f>
        <v/>
      </c>
      <c r="E349" s="40" t="str">
        <f>IF('PRISM REPORT'!$B349&lt;&gt;"",'RAW DATA'!F349,"")</f>
        <v/>
      </c>
      <c r="F349" s="40" t="str">
        <f>IF('PRISM REPORT'!$B349&lt;&gt;"",IF('PRISM REPORT'!E349&lt;&gt;"",IF('PRISM REPORT'!E349&gt;0,'PRISM REPORT'!E349,0),0),"")</f>
        <v/>
      </c>
      <c r="G349" s="40" t="str">
        <f t="shared" si="10"/>
        <v/>
      </c>
      <c r="I349" s="40" t="str">
        <f t="shared" si="11"/>
        <v/>
      </c>
    </row>
    <row r="350" spans="2:9" x14ac:dyDescent="0.25">
      <c r="B350" s="39" t="str">
        <f>IF('PRISM REPORT'!$B350&lt;&gt;"",'PRISM REPORT'!B350,"")</f>
        <v/>
      </c>
      <c r="C350" s="39" t="str">
        <f>IF('PRISM REPORT'!$B350&lt;&gt;"",'PRISM REPORT'!C350,"")</f>
        <v/>
      </c>
      <c r="D350" s="39" t="str">
        <f>IF('PRISM REPORT'!$B350&lt;&gt;"",'PRISM REPORT'!D350,"")</f>
        <v/>
      </c>
      <c r="E350" s="40" t="str">
        <f>IF('PRISM REPORT'!$B350&lt;&gt;"",'RAW DATA'!F350,"")</f>
        <v/>
      </c>
      <c r="F350" s="40" t="str">
        <f>IF('PRISM REPORT'!$B350&lt;&gt;"",IF('PRISM REPORT'!E350&lt;&gt;"",IF('PRISM REPORT'!E350&gt;0,'PRISM REPORT'!E350,0),0),"")</f>
        <v/>
      </c>
      <c r="G350" s="40" t="str">
        <f t="shared" si="10"/>
        <v/>
      </c>
      <c r="I350" s="40" t="str">
        <f t="shared" si="11"/>
        <v/>
      </c>
    </row>
    <row r="351" spans="2:9" x14ac:dyDescent="0.25">
      <c r="B351" s="39" t="str">
        <f>IF('PRISM REPORT'!$B351&lt;&gt;"",'PRISM REPORT'!B351,"")</f>
        <v/>
      </c>
      <c r="C351" s="39" t="str">
        <f>IF('PRISM REPORT'!$B351&lt;&gt;"",'PRISM REPORT'!C351,"")</f>
        <v/>
      </c>
      <c r="D351" s="39" t="str">
        <f>IF('PRISM REPORT'!$B351&lt;&gt;"",'PRISM REPORT'!D351,"")</f>
        <v/>
      </c>
      <c r="E351" s="40" t="str">
        <f>IF('PRISM REPORT'!$B351&lt;&gt;"",'RAW DATA'!F351,"")</f>
        <v/>
      </c>
      <c r="F351" s="40" t="str">
        <f>IF('PRISM REPORT'!$B351&lt;&gt;"",IF('PRISM REPORT'!E351&lt;&gt;"",IF('PRISM REPORT'!E351&gt;0,'PRISM REPORT'!E351,0),0),"")</f>
        <v/>
      </c>
      <c r="G351" s="40" t="str">
        <f t="shared" si="10"/>
        <v/>
      </c>
      <c r="I351" s="40" t="str">
        <f t="shared" si="11"/>
        <v/>
      </c>
    </row>
    <row r="352" spans="2:9" x14ac:dyDescent="0.25">
      <c r="B352" s="39" t="str">
        <f>IF('PRISM REPORT'!$B352&lt;&gt;"",'PRISM REPORT'!B352,"")</f>
        <v/>
      </c>
      <c r="C352" s="39" t="str">
        <f>IF('PRISM REPORT'!$B352&lt;&gt;"",'PRISM REPORT'!C352,"")</f>
        <v/>
      </c>
      <c r="D352" s="39" t="str">
        <f>IF('PRISM REPORT'!$B352&lt;&gt;"",'PRISM REPORT'!D352,"")</f>
        <v/>
      </c>
      <c r="E352" s="40" t="str">
        <f>IF('PRISM REPORT'!$B352&lt;&gt;"",'RAW DATA'!F352,"")</f>
        <v/>
      </c>
      <c r="F352" s="40" t="str">
        <f>IF('PRISM REPORT'!$B352&lt;&gt;"",IF('PRISM REPORT'!E352&lt;&gt;"",IF('PRISM REPORT'!E352&gt;0,'PRISM REPORT'!E352,0),0),"")</f>
        <v/>
      </c>
      <c r="G352" s="40" t="str">
        <f t="shared" si="10"/>
        <v/>
      </c>
      <c r="I352" s="40" t="str">
        <f t="shared" si="11"/>
        <v/>
      </c>
    </row>
    <row r="353" spans="2:9" x14ac:dyDescent="0.25">
      <c r="B353" s="39" t="str">
        <f>IF('PRISM REPORT'!$B353&lt;&gt;"",'PRISM REPORT'!B353,"")</f>
        <v/>
      </c>
      <c r="C353" s="39" t="str">
        <f>IF('PRISM REPORT'!$B353&lt;&gt;"",'PRISM REPORT'!C353,"")</f>
        <v/>
      </c>
      <c r="D353" s="39" t="str">
        <f>IF('PRISM REPORT'!$B353&lt;&gt;"",'PRISM REPORT'!D353,"")</f>
        <v/>
      </c>
      <c r="E353" s="40" t="str">
        <f>IF('PRISM REPORT'!$B353&lt;&gt;"",'RAW DATA'!F353,"")</f>
        <v/>
      </c>
      <c r="F353" s="40" t="str">
        <f>IF('PRISM REPORT'!$B353&lt;&gt;"",IF('PRISM REPORT'!E353&lt;&gt;"",IF('PRISM REPORT'!E353&gt;0,'PRISM REPORT'!E353,0),0),"")</f>
        <v/>
      </c>
      <c r="G353" s="40" t="str">
        <f t="shared" si="10"/>
        <v/>
      </c>
      <c r="I353" s="40" t="str">
        <f t="shared" si="11"/>
        <v/>
      </c>
    </row>
    <row r="354" spans="2:9" x14ac:dyDescent="0.25">
      <c r="B354" s="39" t="str">
        <f>IF('PRISM REPORT'!$B354&lt;&gt;"",'PRISM REPORT'!B354,"")</f>
        <v/>
      </c>
      <c r="C354" s="39" t="str">
        <f>IF('PRISM REPORT'!$B354&lt;&gt;"",'PRISM REPORT'!C354,"")</f>
        <v/>
      </c>
      <c r="D354" s="39" t="str">
        <f>IF('PRISM REPORT'!$B354&lt;&gt;"",'PRISM REPORT'!D354,"")</f>
        <v/>
      </c>
      <c r="E354" s="40" t="str">
        <f>IF('PRISM REPORT'!$B354&lt;&gt;"",'RAW DATA'!F354,"")</f>
        <v/>
      </c>
      <c r="F354" s="40" t="str">
        <f>IF('PRISM REPORT'!$B354&lt;&gt;"",IF('PRISM REPORT'!E354&lt;&gt;"",IF('PRISM REPORT'!E354&gt;0,'PRISM REPORT'!E354,0),0),"")</f>
        <v/>
      </c>
      <c r="G354" s="40" t="str">
        <f t="shared" si="10"/>
        <v/>
      </c>
      <c r="I354" s="40" t="str">
        <f t="shared" si="11"/>
        <v/>
      </c>
    </row>
    <row r="355" spans="2:9" x14ac:dyDescent="0.25">
      <c r="B355" s="39" t="str">
        <f>IF('PRISM REPORT'!$B355&lt;&gt;"",'PRISM REPORT'!B355,"")</f>
        <v/>
      </c>
      <c r="C355" s="39" t="str">
        <f>IF('PRISM REPORT'!$B355&lt;&gt;"",'PRISM REPORT'!C355,"")</f>
        <v/>
      </c>
      <c r="D355" s="39" t="str">
        <f>IF('PRISM REPORT'!$B355&lt;&gt;"",'PRISM REPORT'!D355,"")</f>
        <v/>
      </c>
      <c r="E355" s="40" t="str">
        <f>IF('PRISM REPORT'!$B355&lt;&gt;"",'RAW DATA'!F355,"")</f>
        <v/>
      </c>
      <c r="F355" s="40" t="str">
        <f>IF('PRISM REPORT'!$B355&lt;&gt;"",IF('PRISM REPORT'!E355&lt;&gt;"",IF('PRISM REPORT'!E355&gt;0,'PRISM REPORT'!E355,0),0),"")</f>
        <v/>
      </c>
      <c r="G355" s="40" t="str">
        <f t="shared" si="10"/>
        <v/>
      </c>
      <c r="I355" s="40" t="str">
        <f t="shared" si="11"/>
        <v/>
      </c>
    </row>
    <row r="356" spans="2:9" x14ac:dyDescent="0.25">
      <c r="B356" s="39" t="str">
        <f>IF('PRISM REPORT'!$B356&lt;&gt;"",'PRISM REPORT'!B356,"")</f>
        <v/>
      </c>
      <c r="C356" s="39" t="str">
        <f>IF('PRISM REPORT'!$B356&lt;&gt;"",'PRISM REPORT'!C356,"")</f>
        <v/>
      </c>
      <c r="D356" s="39" t="str">
        <f>IF('PRISM REPORT'!$B356&lt;&gt;"",'PRISM REPORT'!D356,"")</f>
        <v/>
      </c>
      <c r="E356" s="40" t="str">
        <f>IF('PRISM REPORT'!$B356&lt;&gt;"",'RAW DATA'!F356,"")</f>
        <v/>
      </c>
      <c r="F356" s="40" t="str">
        <f>IF('PRISM REPORT'!$B356&lt;&gt;"",IF('PRISM REPORT'!E356&lt;&gt;"",IF('PRISM REPORT'!E356&gt;0,'PRISM REPORT'!E356,0),0),"")</f>
        <v/>
      </c>
      <c r="G356" s="40" t="str">
        <f t="shared" si="10"/>
        <v/>
      </c>
      <c r="I356" s="40" t="str">
        <f t="shared" si="11"/>
        <v/>
      </c>
    </row>
    <row r="357" spans="2:9" x14ac:dyDescent="0.25">
      <c r="B357" s="39" t="str">
        <f>IF('PRISM REPORT'!$B357&lt;&gt;"",'PRISM REPORT'!B357,"")</f>
        <v/>
      </c>
      <c r="C357" s="39" t="str">
        <f>IF('PRISM REPORT'!$B357&lt;&gt;"",'PRISM REPORT'!C357,"")</f>
        <v/>
      </c>
      <c r="D357" s="39" t="str">
        <f>IF('PRISM REPORT'!$B357&lt;&gt;"",'PRISM REPORT'!D357,"")</f>
        <v/>
      </c>
      <c r="E357" s="40" t="str">
        <f>IF('PRISM REPORT'!$B357&lt;&gt;"",'RAW DATA'!F357,"")</f>
        <v/>
      </c>
      <c r="F357" s="40" t="str">
        <f>IF('PRISM REPORT'!$B357&lt;&gt;"",IF('PRISM REPORT'!E357&lt;&gt;"",IF('PRISM REPORT'!E357&gt;0,'PRISM REPORT'!E357,0),0),"")</f>
        <v/>
      </c>
      <c r="G357" s="40" t="str">
        <f t="shared" si="10"/>
        <v/>
      </c>
      <c r="I357" s="40" t="str">
        <f t="shared" si="11"/>
        <v/>
      </c>
    </row>
    <row r="358" spans="2:9" x14ac:dyDescent="0.25">
      <c r="B358" s="39" t="str">
        <f>IF('PRISM REPORT'!$B358&lt;&gt;"",'PRISM REPORT'!B358,"")</f>
        <v/>
      </c>
      <c r="C358" s="39" t="str">
        <f>IF('PRISM REPORT'!$B358&lt;&gt;"",'PRISM REPORT'!C358,"")</f>
        <v/>
      </c>
      <c r="D358" s="39" t="str">
        <f>IF('PRISM REPORT'!$B358&lt;&gt;"",'PRISM REPORT'!D358,"")</f>
        <v/>
      </c>
      <c r="E358" s="40" t="str">
        <f>IF('PRISM REPORT'!$B358&lt;&gt;"",'RAW DATA'!F358,"")</f>
        <v/>
      </c>
      <c r="F358" s="40" t="str">
        <f>IF('PRISM REPORT'!$B358&lt;&gt;"",IF('PRISM REPORT'!E358&lt;&gt;"",IF('PRISM REPORT'!E358&gt;0,'PRISM REPORT'!E358,0),0),"")</f>
        <v/>
      </c>
      <c r="G358" s="40" t="str">
        <f t="shared" si="10"/>
        <v/>
      </c>
      <c r="I358" s="40" t="str">
        <f t="shared" si="11"/>
        <v/>
      </c>
    </row>
    <row r="359" spans="2:9" x14ac:dyDescent="0.25">
      <c r="B359" s="39" t="str">
        <f>IF('PRISM REPORT'!$B359&lt;&gt;"",'PRISM REPORT'!B359,"")</f>
        <v/>
      </c>
      <c r="C359" s="39" t="str">
        <f>IF('PRISM REPORT'!$B359&lt;&gt;"",'PRISM REPORT'!C359,"")</f>
        <v/>
      </c>
      <c r="D359" s="39" t="str">
        <f>IF('PRISM REPORT'!$B359&lt;&gt;"",'PRISM REPORT'!D359,"")</f>
        <v/>
      </c>
      <c r="E359" s="40" t="str">
        <f>IF('PRISM REPORT'!$B359&lt;&gt;"",'RAW DATA'!F359,"")</f>
        <v/>
      </c>
      <c r="F359" s="40" t="str">
        <f>IF('PRISM REPORT'!$B359&lt;&gt;"",IF('PRISM REPORT'!E359&lt;&gt;"",IF('PRISM REPORT'!E359&gt;0,'PRISM REPORT'!E359,0),0),"")</f>
        <v/>
      </c>
      <c r="G359" s="40" t="str">
        <f t="shared" si="10"/>
        <v/>
      </c>
      <c r="I359" s="40" t="str">
        <f t="shared" si="11"/>
        <v/>
      </c>
    </row>
    <row r="360" spans="2:9" x14ac:dyDescent="0.25">
      <c r="B360" s="39" t="str">
        <f>IF('PRISM REPORT'!$B360&lt;&gt;"",'PRISM REPORT'!B360,"")</f>
        <v/>
      </c>
      <c r="C360" s="39" t="str">
        <f>IF('PRISM REPORT'!$B360&lt;&gt;"",'PRISM REPORT'!C360,"")</f>
        <v/>
      </c>
      <c r="D360" s="39" t="str">
        <f>IF('PRISM REPORT'!$B360&lt;&gt;"",'PRISM REPORT'!D360,"")</f>
        <v/>
      </c>
      <c r="E360" s="40" t="str">
        <f>IF('PRISM REPORT'!$B360&lt;&gt;"",'RAW DATA'!F360,"")</f>
        <v/>
      </c>
      <c r="F360" s="40" t="str">
        <f>IF('PRISM REPORT'!$B360&lt;&gt;"",IF('PRISM REPORT'!E360&lt;&gt;"",IF('PRISM REPORT'!E360&gt;0,'PRISM REPORT'!E360,0),0),"")</f>
        <v/>
      </c>
      <c r="G360" s="40" t="str">
        <f t="shared" si="10"/>
        <v/>
      </c>
      <c r="I360" s="40" t="str">
        <f t="shared" si="11"/>
        <v/>
      </c>
    </row>
    <row r="361" spans="2:9" x14ac:dyDescent="0.25">
      <c r="B361" s="39" t="str">
        <f>IF('PRISM REPORT'!$B361&lt;&gt;"",'PRISM REPORT'!B361,"")</f>
        <v/>
      </c>
      <c r="C361" s="39" t="str">
        <f>IF('PRISM REPORT'!$B361&lt;&gt;"",'PRISM REPORT'!C361,"")</f>
        <v/>
      </c>
      <c r="D361" s="39" t="str">
        <f>IF('PRISM REPORT'!$B361&lt;&gt;"",'PRISM REPORT'!D361,"")</f>
        <v/>
      </c>
      <c r="E361" s="40" t="str">
        <f>IF('PRISM REPORT'!$B361&lt;&gt;"",'RAW DATA'!F361,"")</f>
        <v/>
      </c>
      <c r="F361" s="40" t="str">
        <f>IF('PRISM REPORT'!$B361&lt;&gt;"",IF('PRISM REPORT'!E361&lt;&gt;"",IF('PRISM REPORT'!E361&gt;0,'PRISM REPORT'!E361,0),0),"")</f>
        <v/>
      </c>
      <c r="G361" s="40" t="str">
        <f t="shared" si="10"/>
        <v/>
      </c>
      <c r="I361" s="40" t="str">
        <f t="shared" si="11"/>
        <v/>
      </c>
    </row>
    <row r="362" spans="2:9" x14ac:dyDescent="0.25">
      <c r="B362" s="39" t="str">
        <f>IF('PRISM REPORT'!$B362&lt;&gt;"",'PRISM REPORT'!B362,"")</f>
        <v/>
      </c>
      <c r="C362" s="39" t="str">
        <f>IF('PRISM REPORT'!$B362&lt;&gt;"",'PRISM REPORT'!C362,"")</f>
        <v/>
      </c>
      <c r="D362" s="39" t="str">
        <f>IF('PRISM REPORT'!$B362&lt;&gt;"",'PRISM REPORT'!D362,"")</f>
        <v/>
      </c>
      <c r="E362" s="40" t="str">
        <f>IF('PRISM REPORT'!$B362&lt;&gt;"",'RAW DATA'!F362,"")</f>
        <v/>
      </c>
      <c r="F362" s="40" t="str">
        <f>IF('PRISM REPORT'!$B362&lt;&gt;"",IF('PRISM REPORT'!E362&lt;&gt;"",IF('PRISM REPORT'!E362&gt;0,'PRISM REPORT'!E362,0),0),"")</f>
        <v/>
      </c>
      <c r="G362" s="40" t="str">
        <f t="shared" si="10"/>
        <v/>
      </c>
      <c r="I362" s="40" t="str">
        <f t="shared" si="11"/>
        <v/>
      </c>
    </row>
    <row r="363" spans="2:9" x14ac:dyDescent="0.25">
      <c r="B363" s="39" t="str">
        <f>IF('PRISM REPORT'!$B363&lt;&gt;"",'PRISM REPORT'!B363,"")</f>
        <v/>
      </c>
      <c r="C363" s="39" t="str">
        <f>IF('PRISM REPORT'!$B363&lt;&gt;"",'PRISM REPORT'!C363,"")</f>
        <v/>
      </c>
      <c r="D363" s="39" t="str">
        <f>IF('PRISM REPORT'!$B363&lt;&gt;"",'PRISM REPORT'!D363,"")</f>
        <v/>
      </c>
      <c r="E363" s="40" t="str">
        <f>IF('PRISM REPORT'!$B363&lt;&gt;"",'RAW DATA'!F363,"")</f>
        <v/>
      </c>
      <c r="F363" s="40" t="str">
        <f>IF('PRISM REPORT'!$B363&lt;&gt;"",IF('PRISM REPORT'!E363&lt;&gt;"",IF('PRISM REPORT'!E363&gt;0,'PRISM REPORT'!E363,0),0),"")</f>
        <v/>
      </c>
      <c r="G363" s="40" t="str">
        <f t="shared" si="10"/>
        <v/>
      </c>
      <c r="I363" s="40" t="str">
        <f t="shared" si="11"/>
        <v/>
      </c>
    </row>
    <row r="364" spans="2:9" x14ac:dyDescent="0.25">
      <c r="B364" s="39" t="str">
        <f>IF('PRISM REPORT'!$B364&lt;&gt;"",'PRISM REPORT'!B364,"")</f>
        <v/>
      </c>
      <c r="C364" s="39" t="str">
        <f>IF('PRISM REPORT'!$B364&lt;&gt;"",'PRISM REPORT'!C364,"")</f>
        <v/>
      </c>
      <c r="D364" s="39" t="str">
        <f>IF('PRISM REPORT'!$B364&lt;&gt;"",'PRISM REPORT'!D364,"")</f>
        <v/>
      </c>
      <c r="E364" s="40" t="str">
        <f>IF('PRISM REPORT'!$B364&lt;&gt;"",'RAW DATA'!F364,"")</f>
        <v/>
      </c>
      <c r="F364" s="40" t="str">
        <f>IF('PRISM REPORT'!$B364&lt;&gt;"",IF('PRISM REPORT'!E364&lt;&gt;"",IF('PRISM REPORT'!E364&gt;0,'PRISM REPORT'!E364,0),0),"")</f>
        <v/>
      </c>
      <c r="G364" s="40" t="str">
        <f t="shared" si="10"/>
        <v/>
      </c>
      <c r="I364" s="40" t="str">
        <f t="shared" si="11"/>
        <v/>
      </c>
    </row>
    <row r="365" spans="2:9" x14ac:dyDescent="0.25">
      <c r="B365" s="39" t="str">
        <f>IF('PRISM REPORT'!$B365&lt;&gt;"",'PRISM REPORT'!B365,"")</f>
        <v/>
      </c>
      <c r="C365" s="39" t="str">
        <f>IF('PRISM REPORT'!$B365&lt;&gt;"",'PRISM REPORT'!C365,"")</f>
        <v/>
      </c>
      <c r="D365" s="39" t="str">
        <f>IF('PRISM REPORT'!$B365&lt;&gt;"",'PRISM REPORT'!D365,"")</f>
        <v/>
      </c>
      <c r="E365" s="40" t="str">
        <f>IF('PRISM REPORT'!$B365&lt;&gt;"",'RAW DATA'!F365,"")</f>
        <v/>
      </c>
      <c r="F365" s="40" t="str">
        <f>IF('PRISM REPORT'!$B365&lt;&gt;"",IF('PRISM REPORT'!E365&lt;&gt;"",IF('PRISM REPORT'!E365&gt;0,'PRISM REPORT'!E365,0),0),"")</f>
        <v/>
      </c>
      <c r="G365" s="40" t="str">
        <f t="shared" si="10"/>
        <v/>
      </c>
      <c r="I365" s="40" t="str">
        <f t="shared" si="11"/>
        <v/>
      </c>
    </row>
    <row r="366" spans="2:9" x14ac:dyDescent="0.25">
      <c r="B366" s="39" t="str">
        <f>IF('PRISM REPORT'!$B366&lt;&gt;"",'PRISM REPORT'!B366,"")</f>
        <v/>
      </c>
      <c r="C366" s="39" t="str">
        <f>IF('PRISM REPORT'!$B366&lt;&gt;"",'PRISM REPORT'!C366,"")</f>
        <v/>
      </c>
      <c r="D366" s="39" t="str">
        <f>IF('PRISM REPORT'!$B366&lt;&gt;"",'PRISM REPORT'!D366,"")</f>
        <v/>
      </c>
      <c r="E366" s="40" t="str">
        <f>IF('PRISM REPORT'!$B366&lt;&gt;"",'RAW DATA'!F366,"")</f>
        <v/>
      </c>
      <c r="F366" s="40" t="str">
        <f>IF('PRISM REPORT'!$B366&lt;&gt;"",IF('PRISM REPORT'!E366&lt;&gt;"",IF('PRISM REPORT'!E366&gt;0,'PRISM REPORT'!E366,0),0),"")</f>
        <v/>
      </c>
      <c r="G366" s="40" t="str">
        <f t="shared" si="10"/>
        <v/>
      </c>
      <c r="I366" s="40" t="str">
        <f t="shared" si="11"/>
        <v/>
      </c>
    </row>
    <row r="367" spans="2:9" x14ac:dyDescent="0.25">
      <c r="B367" s="39" t="str">
        <f>IF('PRISM REPORT'!$B367&lt;&gt;"",'PRISM REPORT'!B367,"")</f>
        <v/>
      </c>
      <c r="C367" s="39" t="str">
        <f>IF('PRISM REPORT'!$B367&lt;&gt;"",'PRISM REPORT'!C367,"")</f>
        <v/>
      </c>
      <c r="D367" s="39" t="str">
        <f>IF('PRISM REPORT'!$B367&lt;&gt;"",'PRISM REPORT'!D367,"")</f>
        <v/>
      </c>
      <c r="E367" s="40" t="str">
        <f>IF('PRISM REPORT'!$B367&lt;&gt;"",'RAW DATA'!F367,"")</f>
        <v/>
      </c>
      <c r="F367" s="40" t="str">
        <f>IF('PRISM REPORT'!$B367&lt;&gt;"",IF('PRISM REPORT'!E367&lt;&gt;"",IF('PRISM REPORT'!E367&gt;0,'PRISM REPORT'!E367,0),0),"")</f>
        <v/>
      </c>
      <c r="G367" s="40" t="str">
        <f t="shared" si="10"/>
        <v/>
      </c>
      <c r="I367" s="40" t="str">
        <f t="shared" si="11"/>
        <v/>
      </c>
    </row>
    <row r="368" spans="2:9" x14ac:dyDescent="0.25">
      <c r="B368" s="39" t="str">
        <f>IF('PRISM REPORT'!$B368&lt;&gt;"",'PRISM REPORT'!B368,"")</f>
        <v/>
      </c>
      <c r="C368" s="39" t="str">
        <f>IF('PRISM REPORT'!$B368&lt;&gt;"",'PRISM REPORT'!C368,"")</f>
        <v/>
      </c>
      <c r="D368" s="39" t="str">
        <f>IF('PRISM REPORT'!$B368&lt;&gt;"",'PRISM REPORT'!D368,"")</f>
        <v/>
      </c>
      <c r="E368" s="40" t="str">
        <f>IF('PRISM REPORT'!$B368&lt;&gt;"",'RAW DATA'!F368,"")</f>
        <v/>
      </c>
      <c r="F368" s="40" t="str">
        <f>IF('PRISM REPORT'!$B368&lt;&gt;"",IF('PRISM REPORT'!E368&lt;&gt;"",IF('PRISM REPORT'!E368&gt;0,'PRISM REPORT'!E368,0),0),"")</f>
        <v/>
      </c>
      <c r="G368" s="40" t="str">
        <f t="shared" si="10"/>
        <v/>
      </c>
      <c r="I368" s="40" t="str">
        <f t="shared" si="11"/>
        <v/>
      </c>
    </row>
    <row r="369" spans="2:9" x14ac:dyDescent="0.25">
      <c r="B369" s="39" t="str">
        <f>IF('PRISM REPORT'!$B369&lt;&gt;"",'PRISM REPORT'!B369,"")</f>
        <v/>
      </c>
      <c r="C369" s="39" t="str">
        <f>IF('PRISM REPORT'!$B369&lt;&gt;"",'PRISM REPORT'!C369,"")</f>
        <v/>
      </c>
      <c r="D369" s="39" t="str">
        <f>IF('PRISM REPORT'!$B369&lt;&gt;"",'PRISM REPORT'!D369,"")</f>
        <v/>
      </c>
      <c r="E369" s="40" t="str">
        <f>IF('PRISM REPORT'!$B369&lt;&gt;"",'RAW DATA'!F369,"")</f>
        <v/>
      </c>
      <c r="F369" s="40" t="str">
        <f>IF('PRISM REPORT'!$B369&lt;&gt;"",IF('PRISM REPORT'!E369&lt;&gt;"",IF('PRISM REPORT'!E369&gt;0,'PRISM REPORT'!E369,0),0),"")</f>
        <v/>
      </c>
      <c r="G369" s="40" t="str">
        <f t="shared" si="10"/>
        <v/>
      </c>
      <c r="I369" s="40" t="str">
        <f t="shared" si="11"/>
        <v/>
      </c>
    </row>
    <row r="370" spans="2:9" x14ac:dyDescent="0.25">
      <c r="B370" s="39" t="str">
        <f>IF('PRISM REPORT'!$B370&lt;&gt;"",'PRISM REPORT'!B370,"")</f>
        <v/>
      </c>
      <c r="C370" s="39" t="str">
        <f>IF('PRISM REPORT'!$B370&lt;&gt;"",'PRISM REPORT'!C370,"")</f>
        <v/>
      </c>
      <c r="D370" s="39" t="str">
        <f>IF('PRISM REPORT'!$B370&lt;&gt;"",'PRISM REPORT'!D370,"")</f>
        <v/>
      </c>
      <c r="E370" s="40" t="str">
        <f>IF('PRISM REPORT'!$B370&lt;&gt;"",'RAW DATA'!F370,"")</f>
        <v/>
      </c>
      <c r="F370" s="40" t="str">
        <f>IF('PRISM REPORT'!$B370&lt;&gt;"",IF('PRISM REPORT'!E370&lt;&gt;"",IF('PRISM REPORT'!E370&gt;0,'PRISM REPORT'!E370,0),0),"")</f>
        <v/>
      </c>
      <c r="G370" s="40" t="str">
        <f t="shared" si="10"/>
        <v/>
      </c>
      <c r="I370" s="40" t="str">
        <f t="shared" si="11"/>
        <v/>
      </c>
    </row>
    <row r="371" spans="2:9" x14ac:dyDescent="0.25">
      <c r="B371" s="39" t="str">
        <f>IF('PRISM REPORT'!$B371&lt;&gt;"",'PRISM REPORT'!B371,"")</f>
        <v/>
      </c>
      <c r="C371" s="39" t="str">
        <f>IF('PRISM REPORT'!$B371&lt;&gt;"",'PRISM REPORT'!C371,"")</f>
        <v/>
      </c>
      <c r="D371" s="39" t="str">
        <f>IF('PRISM REPORT'!$B371&lt;&gt;"",'PRISM REPORT'!D371,"")</f>
        <v/>
      </c>
      <c r="E371" s="40" t="str">
        <f>IF('PRISM REPORT'!$B371&lt;&gt;"",'RAW DATA'!F371,"")</f>
        <v/>
      </c>
      <c r="F371" s="40" t="str">
        <f>IF('PRISM REPORT'!$B371&lt;&gt;"",IF('PRISM REPORT'!E371&lt;&gt;"",IF('PRISM REPORT'!E371&gt;0,'PRISM REPORT'!E371,0),0),"")</f>
        <v/>
      </c>
      <c r="G371" s="40" t="str">
        <f t="shared" si="10"/>
        <v/>
      </c>
      <c r="I371" s="40" t="str">
        <f t="shared" si="11"/>
        <v/>
      </c>
    </row>
    <row r="372" spans="2:9" x14ac:dyDescent="0.25">
      <c r="B372" s="39" t="str">
        <f>IF('PRISM REPORT'!$B372&lt;&gt;"",'PRISM REPORT'!B372,"")</f>
        <v/>
      </c>
      <c r="C372" s="39" t="str">
        <f>IF('PRISM REPORT'!$B372&lt;&gt;"",'PRISM REPORT'!C372,"")</f>
        <v/>
      </c>
      <c r="D372" s="39" t="str">
        <f>IF('PRISM REPORT'!$B372&lt;&gt;"",'PRISM REPORT'!D372,"")</f>
        <v/>
      </c>
      <c r="E372" s="40" t="str">
        <f>IF('PRISM REPORT'!$B372&lt;&gt;"",'RAW DATA'!F372,"")</f>
        <v/>
      </c>
      <c r="F372" s="40" t="str">
        <f>IF('PRISM REPORT'!$B372&lt;&gt;"",IF('PRISM REPORT'!E372&lt;&gt;"",IF('PRISM REPORT'!E372&gt;0,'PRISM REPORT'!E372,0),0),"")</f>
        <v/>
      </c>
      <c r="G372" s="40" t="str">
        <f t="shared" si="10"/>
        <v/>
      </c>
      <c r="I372" s="40" t="str">
        <f t="shared" si="11"/>
        <v/>
      </c>
    </row>
    <row r="373" spans="2:9" x14ac:dyDescent="0.25">
      <c r="B373" s="39" t="str">
        <f>IF('PRISM REPORT'!$B373&lt;&gt;"",'PRISM REPORT'!B373,"")</f>
        <v/>
      </c>
      <c r="C373" s="39" t="str">
        <f>IF('PRISM REPORT'!$B373&lt;&gt;"",'PRISM REPORT'!C373,"")</f>
        <v/>
      </c>
      <c r="D373" s="39" t="str">
        <f>IF('PRISM REPORT'!$B373&lt;&gt;"",'PRISM REPORT'!D373,"")</f>
        <v/>
      </c>
      <c r="E373" s="40" t="str">
        <f>IF('PRISM REPORT'!$B373&lt;&gt;"",'RAW DATA'!F373,"")</f>
        <v/>
      </c>
      <c r="F373" s="40" t="str">
        <f>IF('PRISM REPORT'!$B373&lt;&gt;"",IF('PRISM REPORT'!E373&lt;&gt;"",IF('PRISM REPORT'!E373&gt;0,'PRISM REPORT'!E373,0),0),"")</f>
        <v/>
      </c>
      <c r="G373" s="40" t="str">
        <f t="shared" si="10"/>
        <v/>
      </c>
      <c r="I373" s="40" t="str">
        <f t="shared" si="11"/>
        <v/>
      </c>
    </row>
    <row r="374" spans="2:9" x14ac:dyDescent="0.25">
      <c r="B374" s="39" t="str">
        <f>IF('PRISM REPORT'!$B374&lt;&gt;"",'PRISM REPORT'!B374,"")</f>
        <v/>
      </c>
      <c r="C374" s="39" t="str">
        <f>IF('PRISM REPORT'!$B374&lt;&gt;"",'PRISM REPORT'!C374,"")</f>
        <v/>
      </c>
      <c r="D374" s="39" t="str">
        <f>IF('PRISM REPORT'!$B374&lt;&gt;"",'PRISM REPORT'!D374,"")</f>
        <v/>
      </c>
      <c r="E374" s="40" t="str">
        <f>IF('PRISM REPORT'!$B374&lt;&gt;"",'RAW DATA'!F374,"")</f>
        <v/>
      </c>
      <c r="F374" s="40" t="str">
        <f>IF('PRISM REPORT'!$B374&lt;&gt;"",IF('PRISM REPORT'!E374&lt;&gt;"",IF('PRISM REPORT'!E374&gt;0,'PRISM REPORT'!E374,0),0),"")</f>
        <v/>
      </c>
      <c r="G374" s="40" t="str">
        <f t="shared" si="10"/>
        <v/>
      </c>
      <c r="I374" s="40" t="str">
        <f t="shared" si="11"/>
        <v/>
      </c>
    </row>
    <row r="375" spans="2:9" x14ac:dyDescent="0.25">
      <c r="B375" s="39" t="str">
        <f>IF('PRISM REPORT'!$B375&lt;&gt;"",'PRISM REPORT'!B375,"")</f>
        <v/>
      </c>
      <c r="C375" s="39" t="str">
        <f>IF('PRISM REPORT'!$B375&lt;&gt;"",'PRISM REPORT'!C375,"")</f>
        <v/>
      </c>
      <c r="D375" s="39" t="str">
        <f>IF('PRISM REPORT'!$B375&lt;&gt;"",'PRISM REPORT'!D375,"")</f>
        <v/>
      </c>
      <c r="E375" s="40" t="str">
        <f>IF('PRISM REPORT'!$B375&lt;&gt;"",'RAW DATA'!F375,"")</f>
        <v/>
      </c>
      <c r="F375" s="40" t="str">
        <f>IF('PRISM REPORT'!$B375&lt;&gt;"",IF('PRISM REPORT'!E375&lt;&gt;"",IF('PRISM REPORT'!E375&gt;0,'PRISM REPORT'!E375,0),0),"")</f>
        <v/>
      </c>
      <c r="G375" s="40" t="str">
        <f t="shared" si="10"/>
        <v/>
      </c>
      <c r="I375" s="40" t="str">
        <f t="shared" si="11"/>
        <v/>
      </c>
    </row>
    <row r="376" spans="2:9" x14ac:dyDescent="0.25">
      <c r="B376" s="39" t="str">
        <f>IF('PRISM REPORT'!$B376&lt;&gt;"",'PRISM REPORT'!B376,"")</f>
        <v/>
      </c>
      <c r="C376" s="39" t="str">
        <f>IF('PRISM REPORT'!$B376&lt;&gt;"",'PRISM REPORT'!C376,"")</f>
        <v/>
      </c>
      <c r="D376" s="39" t="str">
        <f>IF('PRISM REPORT'!$B376&lt;&gt;"",'PRISM REPORT'!D376,"")</f>
        <v/>
      </c>
      <c r="E376" s="40" t="str">
        <f>IF('PRISM REPORT'!$B376&lt;&gt;"",'RAW DATA'!F376,"")</f>
        <v/>
      </c>
      <c r="F376" s="40" t="str">
        <f>IF('PRISM REPORT'!$B376&lt;&gt;"",IF('PRISM REPORT'!E376&lt;&gt;"",IF('PRISM REPORT'!E376&gt;0,'PRISM REPORT'!E376,0),0),"")</f>
        <v/>
      </c>
      <c r="G376" s="40" t="str">
        <f t="shared" si="10"/>
        <v/>
      </c>
      <c r="I376" s="40" t="str">
        <f t="shared" si="11"/>
        <v/>
      </c>
    </row>
    <row r="377" spans="2:9" x14ac:dyDescent="0.25">
      <c r="B377" s="39" t="str">
        <f>IF('PRISM REPORT'!$B377&lt;&gt;"",'PRISM REPORT'!B377,"")</f>
        <v/>
      </c>
      <c r="C377" s="39" t="str">
        <f>IF('PRISM REPORT'!$B377&lt;&gt;"",'PRISM REPORT'!C377,"")</f>
        <v/>
      </c>
      <c r="D377" s="39" t="str">
        <f>IF('PRISM REPORT'!$B377&lt;&gt;"",'PRISM REPORT'!D377,"")</f>
        <v/>
      </c>
      <c r="E377" s="40" t="str">
        <f>IF('PRISM REPORT'!$B377&lt;&gt;"",'RAW DATA'!F377,"")</f>
        <v/>
      </c>
      <c r="F377" s="40" t="str">
        <f>IF('PRISM REPORT'!$B377&lt;&gt;"",IF('PRISM REPORT'!E377&lt;&gt;"",IF('PRISM REPORT'!E377&gt;0,'PRISM REPORT'!E377,0),0),"")</f>
        <v/>
      </c>
      <c r="G377" s="40" t="str">
        <f t="shared" si="10"/>
        <v/>
      </c>
      <c r="I377" s="40" t="str">
        <f t="shared" si="11"/>
        <v/>
      </c>
    </row>
    <row r="378" spans="2:9" x14ac:dyDescent="0.25">
      <c r="B378" s="39" t="str">
        <f>IF('PRISM REPORT'!$B378&lt;&gt;"",'PRISM REPORT'!B378,"")</f>
        <v/>
      </c>
      <c r="C378" s="39" t="str">
        <f>IF('PRISM REPORT'!$B378&lt;&gt;"",'PRISM REPORT'!C378,"")</f>
        <v/>
      </c>
      <c r="D378" s="39" t="str">
        <f>IF('PRISM REPORT'!$B378&lt;&gt;"",'PRISM REPORT'!D378,"")</f>
        <v/>
      </c>
      <c r="E378" s="40" t="str">
        <f>IF('PRISM REPORT'!$B378&lt;&gt;"",'RAW DATA'!F378,"")</f>
        <v/>
      </c>
      <c r="F378" s="40" t="str">
        <f>IF('PRISM REPORT'!$B378&lt;&gt;"",IF('PRISM REPORT'!E378&lt;&gt;"",IF('PRISM REPORT'!E378&gt;0,'PRISM REPORT'!E378,0),0),"")</f>
        <v/>
      </c>
      <c r="G378" s="40" t="str">
        <f t="shared" si="10"/>
        <v/>
      </c>
      <c r="I378" s="40" t="str">
        <f t="shared" si="11"/>
        <v/>
      </c>
    </row>
    <row r="379" spans="2:9" x14ac:dyDescent="0.25">
      <c r="B379" s="39" t="str">
        <f>IF('PRISM REPORT'!$B379&lt;&gt;"",'PRISM REPORT'!B379,"")</f>
        <v/>
      </c>
      <c r="C379" s="39" t="str">
        <f>IF('PRISM REPORT'!$B379&lt;&gt;"",'PRISM REPORT'!C379,"")</f>
        <v/>
      </c>
      <c r="D379" s="39" t="str">
        <f>IF('PRISM REPORT'!$B379&lt;&gt;"",'PRISM REPORT'!D379,"")</f>
        <v/>
      </c>
      <c r="E379" s="40" t="str">
        <f>IF('PRISM REPORT'!$B379&lt;&gt;"",'RAW DATA'!F379,"")</f>
        <v/>
      </c>
      <c r="F379" s="40" t="str">
        <f>IF('PRISM REPORT'!$B379&lt;&gt;"",IF('PRISM REPORT'!E379&lt;&gt;"",IF('PRISM REPORT'!E379&gt;0,'PRISM REPORT'!E379,0),0),"")</f>
        <v/>
      </c>
      <c r="G379" s="40" t="str">
        <f t="shared" si="10"/>
        <v/>
      </c>
      <c r="I379" s="40" t="str">
        <f t="shared" si="11"/>
        <v/>
      </c>
    </row>
    <row r="380" spans="2:9" x14ac:dyDescent="0.25">
      <c r="B380" s="39" t="str">
        <f>IF('PRISM REPORT'!$B380&lt;&gt;"",'PRISM REPORT'!B380,"")</f>
        <v/>
      </c>
      <c r="C380" s="39" t="str">
        <f>IF('PRISM REPORT'!$B380&lt;&gt;"",'PRISM REPORT'!C380,"")</f>
        <v/>
      </c>
      <c r="D380" s="39" t="str">
        <f>IF('PRISM REPORT'!$B380&lt;&gt;"",'PRISM REPORT'!D380,"")</f>
        <v/>
      </c>
      <c r="E380" s="40" t="str">
        <f>IF('PRISM REPORT'!$B380&lt;&gt;"",'RAW DATA'!F380,"")</f>
        <v/>
      </c>
      <c r="F380" s="40" t="str">
        <f>IF('PRISM REPORT'!$B380&lt;&gt;"",IF('PRISM REPORT'!E380&lt;&gt;"",IF('PRISM REPORT'!E380&gt;0,'PRISM REPORT'!E380,0),0),"")</f>
        <v/>
      </c>
      <c r="G380" s="40" t="str">
        <f t="shared" si="10"/>
        <v/>
      </c>
      <c r="I380" s="40" t="str">
        <f t="shared" si="11"/>
        <v/>
      </c>
    </row>
    <row r="381" spans="2:9" x14ac:dyDescent="0.25">
      <c r="B381" s="39" t="str">
        <f>IF('PRISM REPORT'!$B381&lt;&gt;"",'PRISM REPORT'!B381,"")</f>
        <v/>
      </c>
      <c r="C381" s="39" t="str">
        <f>IF('PRISM REPORT'!$B381&lt;&gt;"",'PRISM REPORT'!C381,"")</f>
        <v/>
      </c>
      <c r="D381" s="39" t="str">
        <f>IF('PRISM REPORT'!$B381&lt;&gt;"",'PRISM REPORT'!D381,"")</f>
        <v/>
      </c>
      <c r="E381" s="40" t="str">
        <f>IF('PRISM REPORT'!$B381&lt;&gt;"",'RAW DATA'!F381,"")</f>
        <v/>
      </c>
      <c r="F381" s="40" t="str">
        <f>IF('PRISM REPORT'!$B381&lt;&gt;"",IF('PRISM REPORT'!E381&lt;&gt;"",IF('PRISM REPORT'!E381&gt;0,'PRISM REPORT'!E381,0),0),"")</f>
        <v/>
      </c>
      <c r="G381" s="40" t="str">
        <f t="shared" si="10"/>
        <v/>
      </c>
      <c r="I381" s="40" t="str">
        <f t="shared" si="11"/>
        <v/>
      </c>
    </row>
    <row r="382" spans="2:9" x14ac:dyDescent="0.25">
      <c r="B382" s="39" t="str">
        <f>IF('PRISM REPORT'!$B382&lt;&gt;"",'PRISM REPORT'!B382,"")</f>
        <v/>
      </c>
      <c r="C382" s="39" t="str">
        <f>IF('PRISM REPORT'!$B382&lt;&gt;"",'PRISM REPORT'!C382,"")</f>
        <v/>
      </c>
      <c r="D382" s="39" t="str">
        <f>IF('PRISM REPORT'!$B382&lt;&gt;"",'PRISM REPORT'!D382,"")</f>
        <v/>
      </c>
      <c r="E382" s="40" t="str">
        <f>IF('PRISM REPORT'!$B382&lt;&gt;"",'RAW DATA'!F382,"")</f>
        <v/>
      </c>
      <c r="F382" s="40" t="str">
        <f>IF('PRISM REPORT'!$B382&lt;&gt;"",IF('PRISM REPORT'!E382&lt;&gt;"",IF('PRISM REPORT'!E382&gt;0,'PRISM REPORT'!E382,0),0),"")</f>
        <v/>
      </c>
      <c r="G382" s="40" t="str">
        <f t="shared" si="10"/>
        <v/>
      </c>
      <c r="I382" s="40" t="str">
        <f t="shared" si="11"/>
        <v/>
      </c>
    </row>
    <row r="383" spans="2:9" x14ac:dyDescent="0.25">
      <c r="B383" s="39" t="str">
        <f>IF('PRISM REPORT'!$B383&lt;&gt;"",'PRISM REPORT'!B383,"")</f>
        <v/>
      </c>
      <c r="C383" s="39" t="str">
        <f>IF('PRISM REPORT'!$B383&lt;&gt;"",'PRISM REPORT'!C383,"")</f>
        <v/>
      </c>
      <c r="D383" s="39" t="str">
        <f>IF('PRISM REPORT'!$B383&lt;&gt;"",'PRISM REPORT'!D383,"")</f>
        <v/>
      </c>
      <c r="E383" s="40" t="str">
        <f>IF('PRISM REPORT'!$B383&lt;&gt;"",'RAW DATA'!F383,"")</f>
        <v/>
      </c>
      <c r="F383" s="40" t="str">
        <f>IF('PRISM REPORT'!$B383&lt;&gt;"",IF('PRISM REPORT'!E383&lt;&gt;"",IF('PRISM REPORT'!E383&gt;0,'PRISM REPORT'!E383,0),0),"")</f>
        <v/>
      </c>
      <c r="G383" s="40" t="str">
        <f t="shared" si="10"/>
        <v/>
      </c>
      <c r="I383" s="40" t="str">
        <f t="shared" si="11"/>
        <v/>
      </c>
    </row>
    <row r="384" spans="2:9" x14ac:dyDescent="0.25">
      <c r="B384" s="39" t="str">
        <f>IF('PRISM REPORT'!$B384&lt;&gt;"",'PRISM REPORT'!B384,"")</f>
        <v/>
      </c>
      <c r="C384" s="39" t="str">
        <f>IF('PRISM REPORT'!$B384&lt;&gt;"",'PRISM REPORT'!C384,"")</f>
        <v/>
      </c>
      <c r="D384" s="39" t="str">
        <f>IF('PRISM REPORT'!$B384&lt;&gt;"",'PRISM REPORT'!D384,"")</f>
        <v/>
      </c>
      <c r="E384" s="40" t="str">
        <f>IF('PRISM REPORT'!$B384&lt;&gt;"",'RAW DATA'!F384,"")</f>
        <v/>
      </c>
      <c r="F384" s="40" t="str">
        <f>IF('PRISM REPORT'!$B384&lt;&gt;"",IF('PRISM REPORT'!E384&lt;&gt;"",IF('PRISM REPORT'!E384&gt;0,'PRISM REPORT'!E384,0),0),"")</f>
        <v/>
      </c>
      <c r="G384" s="40" t="str">
        <f t="shared" si="10"/>
        <v/>
      </c>
      <c r="I384" s="40" t="str">
        <f t="shared" si="11"/>
        <v/>
      </c>
    </row>
    <row r="385" spans="2:9" x14ac:dyDescent="0.25">
      <c r="B385" s="39" t="str">
        <f>IF('PRISM REPORT'!$B385&lt;&gt;"",'PRISM REPORT'!B385,"")</f>
        <v/>
      </c>
      <c r="C385" s="39" t="str">
        <f>IF('PRISM REPORT'!$B385&lt;&gt;"",'PRISM REPORT'!C385,"")</f>
        <v/>
      </c>
      <c r="D385" s="39" t="str">
        <f>IF('PRISM REPORT'!$B385&lt;&gt;"",'PRISM REPORT'!D385,"")</f>
        <v/>
      </c>
      <c r="E385" s="40" t="str">
        <f>IF('PRISM REPORT'!$B385&lt;&gt;"",'RAW DATA'!F385,"")</f>
        <v/>
      </c>
      <c r="F385" s="40" t="str">
        <f>IF('PRISM REPORT'!$B385&lt;&gt;"",IF('PRISM REPORT'!E385&lt;&gt;"",IF('PRISM REPORT'!E385&gt;0,'PRISM REPORT'!E385,0),0),"")</f>
        <v/>
      </c>
      <c r="G385" s="40" t="str">
        <f t="shared" si="10"/>
        <v/>
      </c>
      <c r="I385" s="40" t="str">
        <f t="shared" si="11"/>
        <v/>
      </c>
    </row>
    <row r="386" spans="2:9" x14ac:dyDescent="0.25">
      <c r="B386" s="39" t="str">
        <f>IF('PRISM REPORT'!$B386&lt;&gt;"",'PRISM REPORT'!B386,"")</f>
        <v/>
      </c>
      <c r="C386" s="39" t="str">
        <f>IF('PRISM REPORT'!$B386&lt;&gt;"",'PRISM REPORT'!C386,"")</f>
        <v/>
      </c>
      <c r="D386" s="39" t="str">
        <f>IF('PRISM REPORT'!$B386&lt;&gt;"",'PRISM REPORT'!D386,"")</f>
        <v/>
      </c>
      <c r="E386" s="40" t="str">
        <f>IF('PRISM REPORT'!$B386&lt;&gt;"",'RAW DATA'!F386,"")</f>
        <v/>
      </c>
      <c r="F386" s="40" t="str">
        <f>IF('PRISM REPORT'!$B386&lt;&gt;"",IF('PRISM REPORT'!E386&lt;&gt;"",IF('PRISM REPORT'!E386&gt;0,'PRISM REPORT'!E386,0),0),"")</f>
        <v/>
      </c>
      <c r="G386" s="40" t="str">
        <f t="shared" si="10"/>
        <v/>
      </c>
      <c r="I386" s="40" t="str">
        <f t="shared" si="11"/>
        <v/>
      </c>
    </row>
    <row r="387" spans="2:9" x14ac:dyDescent="0.25">
      <c r="B387" s="39" t="str">
        <f>IF('PRISM REPORT'!$B387&lt;&gt;"",'PRISM REPORT'!B387,"")</f>
        <v/>
      </c>
      <c r="C387" s="39" t="str">
        <f>IF('PRISM REPORT'!$B387&lt;&gt;"",'PRISM REPORT'!C387,"")</f>
        <v/>
      </c>
      <c r="D387" s="39" t="str">
        <f>IF('PRISM REPORT'!$B387&lt;&gt;"",'PRISM REPORT'!D387,"")</f>
        <v/>
      </c>
      <c r="E387" s="40" t="str">
        <f>IF('PRISM REPORT'!$B387&lt;&gt;"",'RAW DATA'!F387,"")</f>
        <v/>
      </c>
      <c r="F387" s="40" t="str">
        <f>IF('PRISM REPORT'!$B387&lt;&gt;"",IF('PRISM REPORT'!E387&lt;&gt;"",IF('PRISM REPORT'!E387&gt;0,'PRISM REPORT'!E387,0),0),"")</f>
        <v/>
      </c>
      <c r="G387" s="40" t="str">
        <f t="shared" si="10"/>
        <v/>
      </c>
      <c r="I387" s="40" t="str">
        <f t="shared" si="11"/>
        <v/>
      </c>
    </row>
    <row r="388" spans="2:9" x14ac:dyDescent="0.25">
      <c r="B388" s="39" t="str">
        <f>IF('PRISM REPORT'!$B388&lt;&gt;"",'PRISM REPORT'!B388,"")</f>
        <v/>
      </c>
      <c r="C388" s="39" t="str">
        <f>IF('PRISM REPORT'!$B388&lt;&gt;"",'PRISM REPORT'!C388,"")</f>
        <v/>
      </c>
      <c r="D388" s="39" t="str">
        <f>IF('PRISM REPORT'!$B388&lt;&gt;"",'PRISM REPORT'!D388,"")</f>
        <v/>
      </c>
      <c r="E388" s="40" t="str">
        <f>IF('PRISM REPORT'!$B388&lt;&gt;"",'RAW DATA'!F388,"")</f>
        <v/>
      </c>
      <c r="F388" s="40" t="str">
        <f>IF('PRISM REPORT'!$B388&lt;&gt;"",IF('PRISM REPORT'!E388&lt;&gt;"",IF('PRISM REPORT'!E388&gt;0,'PRISM REPORT'!E388,0),0),"")</f>
        <v/>
      </c>
      <c r="G388" s="40" t="str">
        <f t="shared" si="10"/>
        <v/>
      </c>
      <c r="I388" s="40" t="str">
        <f t="shared" si="11"/>
        <v/>
      </c>
    </row>
    <row r="389" spans="2:9" x14ac:dyDescent="0.25">
      <c r="B389" s="39" t="str">
        <f>IF('PRISM REPORT'!$B389&lt;&gt;"",'PRISM REPORT'!B389,"")</f>
        <v/>
      </c>
      <c r="C389" s="39" t="str">
        <f>IF('PRISM REPORT'!$B389&lt;&gt;"",'PRISM REPORT'!C389,"")</f>
        <v/>
      </c>
      <c r="D389" s="39" t="str">
        <f>IF('PRISM REPORT'!$B389&lt;&gt;"",'PRISM REPORT'!D389,"")</f>
        <v/>
      </c>
      <c r="E389" s="40" t="str">
        <f>IF('PRISM REPORT'!$B389&lt;&gt;"",'RAW DATA'!F389,"")</f>
        <v/>
      </c>
      <c r="F389" s="40" t="str">
        <f>IF('PRISM REPORT'!$B389&lt;&gt;"",IF('PRISM REPORT'!E389&lt;&gt;"",IF('PRISM REPORT'!E389&gt;0,'PRISM REPORT'!E389,0),0),"")</f>
        <v/>
      </c>
      <c r="G389" s="40" t="str">
        <f t="shared" ref="G389:G452" si="12">IF(AND(B389&lt;&gt;"",C389&lt;&gt;""),SUM(E389,F389),"")</f>
        <v/>
      </c>
      <c r="I389" s="40" t="str">
        <f t="shared" ref="I389:I452" si="13">IF(AND(B389&lt;&gt;"",C389&lt;&gt;""),G389-(H389*50),"")</f>
        <v/>
      </c>
    </row>
    <row r="390" spans="2:9" x14ac:dyDescent="0.25">
      <c r="B390" s="39" t="str">
        <f>IF('PRISM REPORT'!$B390&lt;&gt;"",'PRISM REPORT'!B390,"")</f>
        <v/>
      </c>
      <c r="C390" s="39" t="str">
        <f>IF('PRISM REPORT'!$B390&lt;&gt;"",'PRISM REPORT'!C390,"")</f>
        <v/>
      </c>
      <c r="D390" s="39" t="str">
        <f>IF('PRISM REPORT'!$B390&lt;&gt;"",'PRISM REPORT'!D390,"")</f>
        <v/>
      </c>
      <c r="E390" s="40" t="str">
        <f>IF('PRISM REPORT'!$B390&lt;&gt;"",'RAW DATA'!F390,"")</f>
        <v/>
      </c>
      <c r="F390" s="40" t="str">
        <f>IF('PRISM REPORT'!$B390&lt;&gt;"",IF('PRISM REPORT'!E390&lt;&gt;"",IF('PRISM REPORT'!E390&gt;0,'PRISM REPORT'!E390,0),0),"")</f>
        <v/>
      </c>
      <c r="G390" s="40" t="str">
        <f t="shared" si="12"/>
        <v/>
      </c>
      <c r="I390" s="40" t="str">
        <f t="shared" si="13"/>
        <v/>
      </c>
    </row>
    <row r="391" spans="2:9" x14ac:dyDescent="0.25">
      <c r="B391" s="39" t="str">
        <f>IF('PRISM REPORT'!$B391&lt;&gt;"",'PRISM REPORT'!B391,"")</f>
        <v/>
      </c>
      <c r="C391" s="39" t="str">
        <f>IF('PRISM REPORT'!$B391&lt;&gt;"",'PRISM REPORT'!C391,"")</f>
        <v/>
      </c>
      <c r="D391" s="39" t="str">
        <f>IF('PRISM REPORT'!$B391&lt;&gt;"",'PRISM REPORT'!D391,"")</f>
        <v/>
      </c>
      <c r="E391" s="40" t="str">
        <f>IF('PRISM REPORT'!$B391&lt;&gt;"",'RAW DATA'!F391,"")</f>
        <v/>
      </c>
      <c r="F391" s="40" t="str">
        <f>IF('PRISM REPORT'!$B391&lt;&gt;"",IF('PRISM REPORT'!E391&lt;&gt;"",IF('PRISM REPORT'!E391&gt;0,'PRISM REPORT'!E391,0),0),"")</f>
        <v/>
      </c>
      <c r="G391" s="40" t="str">
        <f t="shared" si="12"/>
        <v/>
      </c>
      <c r="I391" s="40" t="str">
        <f t="shared" si="13"/>
        <v/>
      </c>
    </row>
    <row r="392" spans="2:9" x14ac:dyDescent="0.25">
      <c r="B392" s="39" t="str">
        <f>IF('PRISM REPORT'!$B392&lt;&gt;"",'PRISM REPORT'!B392,"")</f>
        <v/>
      </c>
      <c r="C392" s="39" t="str">
        <f>IF('PRISM REPORT'!$B392&lt;&gt;"",'PRISM REPORT'!C392,"")</f>
        <v/>
      </c>
      <c r="D392" s="39" t="str">
        <f>IF('PRISM REPORT'!$B392&lt;&gt;"",'PRISM REPORT'!D392,"")</f>
        <v/>
      </c>
      <c r="E392" s="40" t="str">
        <f>IF('PRISM REPORT'!$B392&lt;&gt;"",'RAW DATA'!F392,"")</f>
        <v/>
      </c>
      <c r="F392" s="40" t="str">
        <f>IF('PRISM REPORT'!$B392&lt;&gt;"",IF('PRISM REPORT'!E392&lt;&gt;"",IF('PRISM REPORT'!E392&gt;0,'PRISM REPORT'!E392,0),0),"")</f>
        <v/>
      </c>
      <c r="G392" s="40" t="str">
        <f t="shared" si="12"/>
        <v/>
      </c>
      <c r="I392" s="40" t="str">
        <f t="shared" si="13"/>
        <v/>
      </c>
    </row>
    <row r="393" spans="2:9" x14ac:dyDescent="0.25">
      <c r="B393" s="39" t="str">
        <f>IF('PRISM REPORT'!$B393&lt;&gt;"",'PRISM REPORT'!B393,"")</f>
        <v/>
      </c>
      <c r="C393" s="39" t="str">
        <f>IF('PRISM REPORT'!$B393&lt;&gt;"",'PRISM REPORT'!C393,"")</f>
        <v/>
      </c>
      <c r="D393" s="39" t="str">
        <f>IF('PRISM REPORT'!$B393&lt;&gt;"",'PRISM REPORT'!D393,"")</f>
        <v/>
      </c>
      <c r="E393" s="40" t="str">
        <f>IF('PRISM REPORT'!$B393&lt;&gt;"",'RAW DATA'!F393,"")</f>
        <v/>
      </c>
      <c r="F393" s="40" t="str">
        <f>IF('PRISM REPORT'!$B393&lt;&gt;"",IF('PRISM REPORT'!E393&lt;&gt;"",IF('PRISM REPORT'!E393&gt;0,'PRISM REPORT'!E393,0),0),"")</f>
        <v/>
      </c>
      <c r="G393" s="40" t="str">
        <f t="shared" si="12"/>
        <v/>
      </c>
      <c r="I393" s="40" t="str">
        <f t="shared" si="13"/>
        <v/>
      </c>
    </row>
    <row r="394" spans="2:9" x14ac:dyDescent="0.25">
      <c r="B394" s="39" t="str">
        <f>IF('PRISM REPORT'!$B394&lt;&gt;"",'PRISM REPORT'!B394,"")</f>
        <v/>
      </c>
      <c r="C394" s="39" t="str">
        <f>IF('PRISM REPORT'!$B394&lt;&gt;"",'PRISM REPORT'!C394,"")</f>
        <v/>
      </c>
      <c r="D394" s="39" t="str">
        <f>IF('PRISM REPORT'!$B394&lt;&gt;"",'PRISM REPORT'!D394,"")</f>
        <v/>
      </c>
      <c r="E394" s="40" t="str">
        <f>IF('PRISM REPORT'!$B394&lt;&gt;"",'RAW DATA'!F394,"")</f>
        <v/>
      </c>
      <c r="F394" s="40" t="str">
        <f>IF('PRISM REPORT'!$B394&lt;&gt;"",IF('PRISM REPORT'!E394&lt;&gt;"",IF('PRISM REPORT'!E394&gt;0,'PRISM REPORT'!E394,0),0),"")</f>
        <v/>
      </c>
      <c r="G394" s="40" t="str">
        <f t="shared" si="12"/>
        <v/>
      </c>
      <c r="I394" s="40" t="str">
        <f t="shared" si="13"/>
        <v/>
      </c>
    </row>
    <row r="395" spans="2:9" x14ac:dyDescent="0.25">
      <c r="B395" s="39" t="str">
        <f>IF('PRISM REPORT'!$B395&lt;&gt;"",'PRISM REPORT'!B395,"")</f>
        <v/>
      </c>
      <c r="C395" s="39" t="str">
        <f>IF('PRISM REPORT'!$B395&lt;&gt;"",'PRISM REPORT'!C395,"")</f>
        <v/>
      </c>
      <c r="D395" s="39" t="str">
        <f>IF('PRISM REPORT'!$B395&lt;&gt;"",'PRISM REPORT'!D395,"")</f>
        <v/>
      </c>
      <c r="E395" s="40" t="str">
        <f>IF('PRISM REPORT'!$B395&lt;&gt;"",'RAW DATA'!F395,"")</f>
        <v/>
      </c>
      <c r="F395" s="40" t="str">
        <f>IF('PRISM REPORT'!$B395&lt;&gt;"",IF('PRISM REPORT'!E395&lt;&gt;"",IF('PRISM REPORT'!E395&gt;0,'PRISM REPORT'!E395,0),0),"")</f>
        <v/>
      </c>
      <c r="G395" s="40" t="str">
        <f t="shared" si="12"/>
        <v/>
      </c>
      <c r="I395" s="40" t="str">
        <f t="shared" si="13"/>
        <v/>
      </c>
    </row>
    <row r="396" spans="2:9" x14ac:dyDescent="0.25">
      <c r="B396" s="39" t="str">
        <f>IF('PRISM REPORT'!$B396&lt;&gt;"",'PRISM REPORT'!B396,"")</f>
        <v/>
      </c>
      <c r="C396" s="39" t="str">
        <f>IF('PRISM REPORT'!$B396&lt;&gt;"",'PRISM REPORT'!C396,"")</f>
        <v/>
      </c>
      <c r="D396" s="39" t="str">
        <f>IF('PRISM REPORT'!$B396&lt;&gt;"",'PRISM REPORT'!D396,"")</f>
        <v/>
      </c>
      <c r="E396" s="40" t="str">
        <f>IF('PRISM REPORT'!$B396&lt;&gt;"",'RAW DATA'!F396,"")</f>
        <v/>
      </c>
      <c r="F396" s="40" t="str">
        <f>IF('PRISM REPORT'!$B396&lt;&gt;"",IF('PRISM REPORT'!E396&lt;&gt;"",IF('PRISM REPORT'!E396&gt;0,'PRISM REPORT'!E396,0),0),"")</f>
        <v/>
      </c>
      <c r="G396" s="40" t="str">
        <f t="shared" si="12"/>
        <v/>
      </c>
      <c r="I396" s="40" t="str">
        <f t="shared" si="13"/>
        <v/>
      </c>
    </row>
    <row r="397" spans="2:9" x14ac:dyDescent="0.25">
      <c r="B397" s="39" t="str">
        <f>IF('PRISM REPORT'!$B397&lt;&gt;"",'PRISM REPORT'!B397,"")</f>
        <v/>
      </c>
      <c r="C397" s="39" t="str">
        <f>IF('PRISM REPORT'!$B397&lt;&gt;"",'PRISM REPORT'!C397,"")</f>
        <v/>
      </c>
      <c r="D397" s="39" t="str">
        <f>IF('PRISM REPORT'!$B397&lt;&gt;"",'PRISM REPORT'!D397,"")</f>
        <v/>
      </c>
      <c r="E397" s="40" t="str">
        <f>IF('PRISM REPORT'!$B397&lt;&gt;"",'RAW DATA'!F397,"")</f>
        <v/>
      </c>
      <c r="F397" s="40" t="str">
        <f>IF('PRISM REPORT'!$B397&lt;&gt;"",IF('PRISM REPORT'!E397&lt;&gt;"",IF('PRISM REPORT'!E397&gt;0,'PRISM REPORT'!E397,0),0),"")</f>
        <v/>
      </c>
      <c r="G397" s="40" t="str">
        <f t="shared" si="12"/>
        <v/>
      </c>
      <c r="I397" s="40" t="str">
        <f t="shared" si="13"/>
        <v/>
      </c>
    </row>
    <row r="398" spans="2:9" x14ac:dyDescent="0.25">
      <c r="B398" s="39" t="str">
        <f>IF('PRISM REPORT'!$B398&lt;&gt;"",'PRISM REPORT'!B398,"")</f>
        <v/>
      </c>
      <c r="C398" s="39" t="str">
        <f>IF('PRISM REPORT'!$B398&lt;&gt;"",'PRISM REPORT'!C398,"")</f>
        <v/>
      </c>
      <c r="D398" s="39" t="str">
        <f>IF('PRISM REPORT'!$B398&lt;&gt;"",'PRISM REPORT'!D398,"")</f>
        <v/>
      </c>
      <c r="E398" s="40" t="str">
        <f>IF('PRISM REPORT'!$B398&lt;&gt;"",'RAW DATA'!F398,"")</f>
        <v/>
      </c>
      <c r="F398" s="40" t="str">
        <f>IF('PRISM REPORT'!$B398&lt;&gt;"",IF('PRISM REPORT'!E398&lt;&gt;"",IF('PRISM REPORT'!E398&gt;0,'PRISM REPORT'!E398,0),0),"")</f>
        <v/>
      </c>
      <c r="G398" s="40" t="str">
        <f t="shared" si="12"/>
        <v/>
      </c>
      <c r="I398" s="40" t="str">
        <f t="shared" si="13"/>
        <v/>
      </c>
    </row>
    <row r="399" spans="2:9" x14ac:dyDescent="0.25">
      <c r="B399" s="39" t="str">
        <f>IF('PRISM REPORT'!$B399&lt;&gt;"",'PRISM REPORT'!B399,"")</f>
        <v/>
      </c>
      <c r="C399" s="39" t="str">
        <f>IF('PRISM REPORT'!$B399&lt;&gt;"",'PRISM REPORT'!C399,"")</f>
        <v/>
      </c>
      <c r="D399" s="39" t="str">
        <f>IF('PRISM REPORT'!$B399&lt;&gt;"",'PRISM REPORT'!D399,"")</f>
        <v/>
      </c>
      <c r="E399" s="40" t="str">
        <f>IF('PRISM REPORT'!$B399&lt;&gt;"",'RAW DATA'!F399,"")</f>
        <v/>
      </c>
      <c r="F399" s="40" t="str">
        <f>IF('PRISM REPORT'!$B399&lt;&gt;"",IF('PRISM REPORT'!E399&lt;&gt;"",IF('PRISM REPORT'!E399&gt;0,'PRISM REPORT'!E399,0),0),"")</f>
        <v/>
      </c>
      <c r="G399" s="40" t="str">
        <f t="shared" si="12"/>
        <v/>
      </c>
      <c r="I399" s="40" t="str">
        <f t="shared" si="13"/>
        <v/>
      </c>
    </row>
    <row r="400" spans="2:9" x14ac:dyDescent="0.25">
      <c r="B400" s="39" t="str">
        <f>IF('PRISM REPORT'!$B400&lt;&gt;"",'PRISM REPORT'!B400,"")</f>
        <v/>
      </c>
      <c r="C400" s="39" t="str">
        <f>IF('PRISM REPORT'!$B400&lt;&gt;"",'PRISM REPORT'!C400,"")</f>
        <v/>
      </c>
      <c r="D400" s="39" t="str">
        <f>IF('PRISM REPORT'!$B400&lt;&gt;"",'PRISM REPORT'!D400,"")</f>
        <v/>
      </c>
      <c r="E400" s="40" t="str">
        <f>IF('PRISM REPORT'!$B400&lt;&gt;"",'RAW DATA'!F400,"")</f>
        <v/>
      </c>
      <c r="F400" s="40" t="str">
        <f>IF('PRISM REPORT'!$B400&lt;&gt;"",IF('PRISM REPORT'!E400&lt;&gt;"",IF('PRISM REPORT'!E400&gt;0,'PRISM REPORT'!E400,0),0),"")</f>
        <v/>
      </c>
      <c r="G400" s="40" t="str">
        <f t="shared" si="12"/>
        <v/>
      </c>
      <c r="I400" s="40" t="str">
        <f t="shared" si="13"/>
        <v/>
      </c>
    </row>
    <row r="401" spans="2:9" x14ac:dyDescent="0.25">
      <c r="B401" s="39" t="str">
        <f>IF('PRISM REPORT'!$B401&lt;&gt;"",'PRISM REPORT'!B401,"")</f>
        <v/>
      </c>
      <c r="C401" s="39" t="str">
        <f>IF('PRISM REPORT'!$B401&lt;&gt;"",'PRISM REPORT'!C401,"")</f>
        <v/>
      </c>
      <c r="D401" s="39" t="str">
        <f>IF('PRISM REPORT'!$B401&lt;&gt;"",'PRISM REPORT'!D401,"")</f>
        <v/>
      </c>
      <c r="E401" s="40" t="str">
        <f>IF('PRISM REPORT'!$B401&lt;&gt;"",'RAW DATA'!F401,"")</f>
        <v/>
      </c>
      <c r="F401" s="40" t="str">
        <f>IF('PRISM REPORT'!$B401&lt;&gt;"",IF('PRISM REPORT'!E401&lt;&gt;"",IF('PRISM REPORT'!E401&gt;0,'PRISM REPORT'!E401,0),0),"")</f>
        <v/>
      </c>
      <c r="G401" s="40" t="str">
        <f t="shared" si="12"/>
        <v/>
      </c>
      <c r="I401" s="40" t="str">
        <f t="shared" si="13"/>
        <v/>
      </c>
    </row>
    <row r="402" spans="2:9" x14ac:dyDescent="0.25">
      <c r="B402" s="39" t="str">
        <f>IF('PRISM REPORT'!$B402&lt;&gt;"",'PRISM REPORT'!B402,"")</f>
        <v/>
      </c>
      <c r="C402" s="39" t="str">
        <f>IF('PRISM REPORT'!$B402&lt;&gt;"",'PRISM REPORT'!C402,"")</f>
        <v/>
      </c>
      <c r="D402" s="39" t="str">
        <f>IF('PRISM REPORT'!$B402&lt;&gt;"",'PRISM REPORT'!D402,"")</f>
        <v/>
      </c>
      <c r="E402" s="40" t="str">
        <f>IF('PRISM REPORT'!$B402&lt;&gt;"",'RAW DATA'!F402,"")</f>
        <v/>
      </c>
      <c r="F402" s="40" t="str">
        <f>IF('PRISM REPORT'!$B402&lt;&gt;"",IF('PRISM REPORT'!E402&lt;&gt;"",IF('PRISM REPORT'!E402&gt;0,'PRISM REPORT'!E402,0),0),"")</f>
        <v/>
      </c>
      <c r="G402" s="40" t="str">
        <f t="shared" si="12"/>
        <v/>
      </c>
      <c r="I402" s="40" t="str">
        <f t="shared" si="13"/>
        <v/>
      </c>
    </row>
    <row r="403" spans="2:9" x14ac:dyDescent="0.25">
      <c r="B403" s="39" t="str">
        <f>IF('PRISM REPORT'!$B403&lt;&gt;"",'PRISM REPORT'!B403,"")</f>
        <v/>
      </c>
      <c r="C403" s="39" t="str">
        <f>IF('PRISM REPORT'!$B403&lt;&gt;"",'PRISM REPORT'!C403,"")</f>
        <v/>
      </c>
      <c r="D403" s="39" t="str">
        <f>IF('PRISM REPORT'!$B403&lt;&gt;"",'PRISM REPORT'!D403,"")</f>
        <v/>
      </c>
      <c r="E403" s="40" t="str">
        <f>IF('PRISM REPORT'!$B403&lt;&gt;"",'RAW DATA'!F403,"")</f>
        <v/>
      </c>
      <c r="F403" s="40" t="str">
        <f>IF('PRISM REPORT'!$B403&lt;&gt;"",IF('PRISM REPORT'!E403&lt;&gt;"",IF('PRISM REPORT'!E403&gt;0,'PRISM REPORT'!E403,0),0),"")</f>
        <v/>
      </c>
      <c r="G403" s="40" t="str">
        <f t="shared" si="12"/>
        <v/>
      </c>
      <c r="I403" s="40" t="str">
        <f t="shared" si="13"/>
        <v/>
      </c>
    </row>
    <row r="404" spans="2:9" x14ac:dyDescent="0.25">
      <c r="B404" s="39" t="str">
        <f>IF('PRISM REPORT'!$B404&lt;&gt;"",'PRISM REPORT'!B404,"")</f>
        <v/>
      </c>
      <c r="C404" s="39" t="str">
        <f>IF('PRISM REPORT'!$B404&lt;&gt;"",'PRISM REPORT'!C404,"")</f>
        <v/>
      </c>
      <c r="D404" s="39" t="str">
        <f>IF('PRISM REPORT'!$B404&lt;&gt;"",'PRISM REPORT'!D404,"")</f>
        <v/>
      </c>
      <c r="E404" s="40" t="str">
        <f>IF('PRISM REPORT'!$B404&lt;&gt;"",'RAW DATA'!F404,"")</f>
        <v/>
      </c>
      <c r="F404" s="40" t="str">
        <f>IF('PRISM REPORT'!$B404&lt;&gt;"",IF('PRISM REPORT'!E404&lt;&gt;"",IF('PRISM REPORT'!E404&gt;0,'PRISM REPORT'!E404,0),0),"")</f>
        <v/>
      </c>
      <c r="G404" s="40" t="str">
        <f t="shared" si="12"/>
        <v/>
      </c>
      <c r="I404" s="40" t="str">
        <f t="shared" si="13"/>
        <v/>
      </c>
    </row>
    <row r="405" spans="2:9" x14ac:dyDescent="0.25">
      <c r="B405" s="39" t="str">
        <f>IF('PRISM REPORT'!$B405&lt;&gt;"",'PRISM REPORT'!B405,"")</f>
        <v/>
      </c>
      <c r="C405" s="39" t="str">
        <f>IF('PRISM REPORT'!$B405&lt;&gt;"",'PRISM REPORT'!C405,"")</f>
        <v/>
      </c>
      <c r="D405" s="39" t="str">
        <f>IF('PRISM REPORT'!$B405&lt;&gt;"",'PRISM REPORT'!D405,"")</f>
        <v/>
      </c>
      <c r="E405" s="40" t="str">
        <f>IF('PRISM REPORT'!$B405&lt;&gt;"",'RAW DATA'!F405,"")</f>
        <v/>
      </c>
      <c r="F405" s="40" t="str">
        <f>IF('PRISM REPORT'!$B405&lt;&gt;"",IF('PRISM REPORT'!E405&lt;&gt;"",IF('PRISM REPORT'!E405&gt;0,'PRISM REPORT'!E405,0),0),"")</f>
        <v/>
      </c>
      <c r="G405" s="40" t="str">
        <f t="shared" si="12"/>
        <v/>
      </c>
      <c r="I405" s="40" t="str">
        <f t="shared" si="13"/>
        <v/>
      </c>
    </row>
    <row r="406" spans="2:9" x14ac:dyDescent="0.25">
      <c r="B406" s="39" t="str">
        <f>IF('PRISM REPORT'!$B406&lt;&gt;"",'PRISM REPORT'!B406,"")</f>
        <v/>
      </c>
      <c r="C406" s="39" t="str">
        <f>IF('PRISM REPORT'!$B406&lt;&gt;"",'PRISM REPORT'!C406,"")</f>
        <v/>
      </c>
      <c r="D406" s="39" t="str">
        <f>IF('PRISM REPORT'!$B406&lt;&gt;"",'PRISM REPORT'!D406,"")</f>
        <v/>
      </c>
      <c r="E406" s="40" t="str">
        <f>IF('PRISM REPORT'!$B406&lt;&gt;"",'RAW DATA'!F406,"")</f>
        <v/>
      </c>
      <c r="F406" s="40" t="str">
        <f>IF('PRISM REPORT'!$B406&lt;&gt;"",IF('PRISM REPORT'!E406&lt;&gt;"",IF('PRISM REPORT'!E406&gt;0,'PRISM REPORT'!E406,0),0),"")</f>
        <v/>
      </c>
      <c r="G406" s="40" t="str">
        <f t="shared" si="12"/>
        <v/>
      </c>
      <c r="I406" s="40" t="str">
        <f t="shared" si="13"/>
        <v/>
      </c>
    </row>
    <row r="407" spans="2:9" x14ac:dyDescent="0.25">
      <c r="B407" s="39" t="str">
        <f>IF('PRISM REPORT'!$B407&lt;&gt;"",'PRISM REPORT'!B407,"")</f>
        <v/>
      </c>
      <c r="C407" s="39" t="str">
        <f>IF('PRISM REPORT'!$B407&lt;&gt;"",'PRISM REPORT'!C407,"")</f>
        <v/>
      </c>
      <c r="D407" s="39" t="str">
        <f>IF('PRISM REPORT'!$B407&lt;&gt;"",'PRISM REPORT'!D407,"")</f>
        <v/>
      </c>
      <c r="E407" s="40" t="str">
        <f>IF('PRISM REPORT'!$B407&lt;&gt;"",'RAW DATA'!F407,"")</f>
        <v/>
      </c>
      <c r="F407" s="40" t="str">
        <f>IF('PRISM REPORT'!$B407&lt;&gt;"",IF('PRISM REPORT'!E407&lt;&gt;"",IF('PRISM REPORT'!E407&gt;0,'PRISM REPORT'!E407,0),0),"")</f>
        <v/>
      </c>
      <c r="G407" s="40" t="str">
        <f t="shared" si="12"/>
        <v/>
      </c>
      <c r="I407" s="40" t="str">
        <f t="shared" si="13"/>
        <v/>
      </c>
    </row>
    <row r="408" spans="2:9" x14ac:dyDescent="0.25">
      <c r="B408" s="39" t="str">
        <f>IF('PRISM REPORT'!$B408&lt;&gt;"",'PRISM REPORT'!B408,"")</f>
        <v/>
      </c>
      <c r="C408" s="39" t="str">
        <f>IF('PRISM REPORT'!$B408&lt;&gt;"",'PRISM REPORT'!C408,"")</f>
        <v/>
      </c>
      <c r="D408" s="39" t="str">
        <f>IF('PRISM REPORT'!$B408&lt;&gt;"",'PRISM REPORT'!D408,"")</f>
        <v/>
      </c>
      <c r="E408" s="40" t="str">
        <f>IF('PRISM REPORT'!$B408&lt;&gt;"",'RAW DATA'!F408,"")</f>
        <v/>
      </c>
      <c r="F408" s="40" t="str">
        <f>IF('PRISM REPORT'!$B408&lt;&gt;"",IF('PRISM REPORT'!E408&lt;&gt;"",IF('PRISM REPORT'!E408&gt;0,'PRISM REPORT'!E408,0),0),"")</f>
        <v/>
      </c>
      <c r="G408" s="40" t="str">
        <f t="shared" si="12"/>
        <v/>
      </c>
      <c r="I408" s="40" t="str">
        <f t="shared" si="13"/>
        <v/>
      </c>
    </row>
    <row r="409" spans="2:9" x14ac:dyDescent="0.25">
      <c r="B409" s="39" t="str">
        <f>IF('PRISM REPORT'!$B409&lt;&gt;"",'PRISM REPORT'!B409,"")</f>
        <v/>
      </c>
      <c r="C409" s="39" t="str">
        <f>IF('PRISM REPORT'!$B409&lt;&gt;"",'PRISM REPORT'!C409,"")</f>
        <v/>
      </c>
      <c r="D409" s="39" t="str">
        <f>IF('PRISM REPORT'!$B409&lt;&gt;"",'PRISM REPORT'!D409,"")</f>
        <v/>
      </c>
      <c r="E409" s="40" t="str">
        <f>IF('PRISM REPORT'!$B409&lt;&gt;"",'RAW DATA'!F409,"")</f>
        <v/>
      </c>
      <c r="F409" s="40" t="str">
        <f>IF('PRISM REPORT'!$B409&lt;&gt;"",IF('PRISM REPORT'!E409&lt;&gt;"",IF('PRISM REPORT'!E409&gt;0,'PRISM REPORT'!E409,0),0),"")</f>
        <v/>
      </c>
      <c r="G409" s="40" t="str">
        <f t="shared" si="12"/>
        <v/>
      </c>
      <c r="I409" s="40" t="str">
        <f t="shared" si="13"/>
        <v/>
      </c>
    </row>
    <row r="410" spans="2:9" x14ac:dyDescent="0.25">
      <c r="B410" s="39" t="str">
        <f>IF('PRISM REPORT'!$B410&lt;&gt;"",'PRISM REPORT'!B410,"")</f>
        <v/>
      </c>
      <c r="C410" s="39" t="str">
        <f>IF('PRISM REPORT'!$B410&lt;&gt;"",'PRISM REPORT'!C410,"")</f>
        <v/>
      </c>
      <c r="D410" s="39" t="str">
        <f>IF('PRISM REPORT'!$B410&lt;&gt;"",'PRISM REPORT'!D410,"")</f>
        <v/>
      </c>
      <c r="E410" s="40" t="str">
        <f>IF('PRISM REPORT'!$B410&lt;&gt;"",'RAW DATA'!F410,"")</f>
        <v/>
      </c>
      <c r="F410" s="40" t="str">
        <f>IF('PRISM REPORT'!$B410&lt;&gt;"",IF('PRISM REPORT'!E410&lt;&gt;"",IF('PRISM REPORT'!E410&gt;0,'PRISM REPORT'!E410,0),0),"")</f>
        <v/>
      </c>
      <c r="G410" s="40" t="str">
        <f t="shared" si="12"/>
        <v/>
      </c>
      <c r="I410" s="40" t="str">
        <f t="shared" si="13"/>
        <v/>
      </c>
    </row>
    <row r="411" spans="2:9" x14ac:dyDescent="0.25">
      <c r="B411" s="39" t="str">
        <f>IF('PRISM REPORT'!$B411&lt;&gt;"",'PRISM REPORT'!B411,"")</f>
        <v/>
      </c>
      <c r="C411" s="39" t="str">
        <f>IF('PRISM REPORT'!$B411&lt;&gt;"",'PRISM REPORT'!C411,"")</f>
        <v/>
      </c>
      <c r="D411" s="39" t="str">
        <f>IF('PRISM REPORT'!$B411&lt;&gt;"",'PRISM REPORT'!D411,"")</f>
        <v/>
      </c>
      <c r="E411" s="40" t="str">
        <f>IF('PRISM REPORT'!$B411&lt;&gt;"",'RAW DATA'!F411,"")</f>
        <v/>
      </c>
      <c r="F411" s="40" t="str">
        <f>IF('PRISM REPORT'!$B411&lt;&gt;"",IF('PRISM REPORT'!E411&lt;&gt;"",IF('PRISM REPORT'!E411&gt;0,'PRISM REPORT'!E411,0),0),"")</f>
        <v/>
      </c>
      <c r="G411" s="40" t="str">
        <f t="shared" si="12"/>
        <v/>
      </c>
      <c r="I411" s="40" t="str">
        <f t="shared" si="13"/>
        <v/>
      </c>
    </row>
    <row r="412" spans="2:9" x14ac:dyDescent="0.25">
      <c r="B412" s="39" t="str">
        <f>IF('PRISM REPORT'!$B412&lt;&gt;"",'PRISM REPORT'!B412,"")</f>
        <v/>
      </c>
      <c r="C412" s="39" t="str">
        <f>IF('PRISM REPORT'!$B412&lt;&gt;"",'PRISM REPORT'!C412,"")</f>
        <v/>
      </c>
      <c r="D412" s="39" t="str">
        <f>IF('PRISM REPORT'!$B412&lt;&gt;"",'PRISM REPORT'!D412,"")</f>
        <v/>
      </c>
      <c r="E412" s="40" t="str">
        <f>IF('PRISM REPORT'!$B412&lt;&gt;"",'RAW DATA'!F412,"")</f>
        <v/>
      </c>
      <c r="F412" s="40" t="str">
        <f>IF('PRISM REPORT'!$B412&lt;&gt;"",IF('PRISM REPORT'!E412&lt;&gt;"",IF('PRISM REPORT'!E412&gt;0,'PRISM REPORT'!E412,0),0),"")</f>
        <v/>
      </c>
      <c r="G412" s="40" t="str">
        <f t="shared" si="12"/>
        <v/>
      </c>
      <c r="I412" s="40" t="str">
        <f t="shared" si="13"/>
        <v/>
      </c>
    </row>
    <row r="413" spans="2:9" x14ac:dyDescent="0.25">
      <c r="B413" s="39" t="str">
        <f>IF('PRISM REPORT'!$B413&lt;&gt;"",'PRISM REPORT'!B413,"")</f>
        <v/>
      </c>
      <c r="C413" s="39" t="str">
        <f>IF('PRISM REPORT'!$B413&lt;&gt;"",'PRISM REPORT'!C413,"")</f>
        <v/>
      </c>
      <c r="D413" s="39" t="str">
        <f>IF('PRISM REPORT'!$B413&lt;&gt;"",'PRISM REPORT'!D413,"")</f>
        <v/>
      </c>
      <c r="E413" s="40" t="str">
        <f>IF('PRISM REPORT'!$B413&lt;&gt;"",'RAW DATA'!F413,"")</f>
        <v/>
      </c>
      <c r="F413" s="40" t="str">
        <f>IF('PRISM REPORT'!$B413&lt;&gt;"",IF('PRISM REPORT'!E413&lt;&gt;"",IF('PRISM REPORT'!E413&gt;0,'PRISM REPORT'!E413,0),0),"")</f>
        <v/>
      </c>
      <c r="G413" s="40" t="str">
        <f t="shared" si="12"/>
        <v/>
      </c>
      <c r="I413" s="40" t="str">
        <f t="shared" si="13"/>
        <v/>
      </c>
    </row>
    <row r="414" spans="2:9" x14ac:dyDescent="0.25">
      <c r="B414" s="39" t="str">
        <f>IF('PRISM REPORT'!$B414&lt;&gt;"",'PRISM REPORT'!B414,"")</f>
        <v/>
      </c>
      <c r="C414" s="39" t="str">
        <f>IF('PRISM REPORT'!$B414&lt;&gt;"",'PRISM REPORT'!C414,"")</f>
        <v/>
      </c>
      <c r="D414" s="39" t="str">
        <f>IF('PRISM REPORT'!$B414&lt;&gt;"",'PRISM REPORT'!D414,"")</f>
        <v/>
      </c>
      <c r="E414" s="40" t="str">
        <f>IF('PRISM REPORT'!$B414&lt;&gt;"",'RAW DATA'!F414,"")</f>
        <v/>
      </c>
      <c r="F414" s="40" t="str">
        <f>IF('PRISM REPORT'!$B414&lt;&gt;"",IF('PRISM REPORT'!E414&lt;&gt;"",IF('PRISM REPORT'!E414&gt;0,'PRISM REPORT'!E414,0),0),"")</f>
        <v/>
      </c>
      <c r="G414" s="40" t="str">
        <f t="shared" si="12"/>
        <v/>
      </c>
      <c r="I414" s="40" t="str">
        <f t="shared" si="13"/>
        <v/>
      </c>
    </row>
    <row r="415" spans="2:9" x14ac:dyDescent="0.25">
      <c r="B415" s="39" t="str">
        <f>IF('PRISM REPORT'!$B415&lt;&gt;"",'PRISM REPORT'!B415,"")</f>
        <v/>
      </c>
      <c r="C415" s="39" t="str">
        <f>IF('PRISM REPORT'!$B415&lt;&gt;"",'PRISM REPORT'!C415,"")</f>
        <v/>
      </c>
      <c r="D415" s="39" t="str">
        <f>IF('PRISM REPORT'!$B415&lt;&gt;"",'PRISM REPORT'!D415,"")</f>
        <v/>
      </c>
      <c r="E415" s="40" t="str">
        <f>IF('PRISM REPORT'!$B415&lt;&gt;"",'RAW DATA'!F415,"")</f>
        <v/>
      </c>
      <c r="F415" s="40" t="str">
        <f>IF('PRISM REPORT'!$B415&lt;&gt;"",IF('PRISM REPORT'!E415&lt;&gt;"",IF('PRISM REPORT'!E415&gt;0,'PRISM REPORT'!E415,0),0),"")</f>
        <v/>
      </c>
      <c r="G415" s="40" t="str">
        <f t="shared" si="12"/>
        <v/>
      </c>
      <c r="I415" s="40" t="str">
        <f t="shared" si="13"/>
        <v/>
      </c>
    </row>
    <row r="416" spans="2:9" x14ac:dyDescent="0.25">
      <c r="B416" s="39" t="str">
        <f>IF('PRISM REPORT'!$B416&lt;&gt;"",'PRISM REPORT'!B416,"")</f>
        <v/>
      </c>
      <c r="C416" s="39" t="str">
        <f>IF('PRISM REPORT'!$B416&lt;&gt;"",'PRISM REPORT'!C416,"")</f>
        <v/>
      </c>
      <c r="D416" s="39" t="str">
        <f>IF('PRISM REPORT'!$B416&lt;&gt;"",'PRISM REPORT'!D416,"")</f>
        <v/>
      </c>
      <c r="E416" s="40" t="str">
        <f>IF('PRISM REPORT'!$B416&lt;&gt;"",'RAW DATA'!F416,"")</f>
        <v/>
      </c>
      <c r="F416" s="40" t="str">
        <f>IF('PRISM REPORT'!$B416&lt;&gt;"",IF('PRISM REPORT'!E416&lt;&gt;"",IF('PRISM REPORT'!E416&gt;0,'PRISM REPORT'!E416,0),0),"")</f>
        <v/>
      </c>
      <c r="G416" s="40" t="str">
        <f t="shared" si="12"/>
        <v/>
      </c>
      <c r="I416" s="40" t="str">
        <f t="shared" si="13"/>
        <v/>
      </c>
    </row>
    <row r="417" spans="2:9" x14ac:dyDescent="0.25">
      <c r="B417" s="39" t="str">
        <f>IF('PRISM REPORT'!$B417&lt;&gt;"",'PRISM REPORT'!B417,"")</f>
        <v/>
      </c>
      <c r="C417" s="39" t="str">
        <f>IF('PRISM REPORT'!$B417&lt;&gt;"",'PRISM REPORT'!C417,"")</f>
        <v/>
      </c>
      <c r="D417" s="39" t="str">
        <f>IF('PRISM REPORT'!$B417&lt;&gt;"",'PRISM REPORT'!D417,"")</f>
        <v/>
      </c>
      <c r="E417" s="40" t="str">
        <f>IF('PRISM REPORT'!$B417&lt;&gt;"",'RAW DATA'!F417,"")</f>
        <v/>
      </c>
      <c r="F417" s="40" t="str">
        <f>IF('PRISM REPORT'!$B417&lt;&gt;"",IF('PRISM REPORT'!E417&lt;&gt;"",IF('PRISM REPORT'!E417&gt;0,'PRISM REPORT'!E417,0),0),"")</f>
        <v/>
      </c>
      <c r="G417" s="40" t="str">
        <f t="shared" si="12"/>
        <v/>
      </c>
      <c r="I417" s="40" t="str">
        <f t="shared" si="13"/>
        <v/>
      </c>
    </row>
    <row r="418" spans="2:9" x14ac:dyDescent="0.25">
      <c r="B418" s="39" t="str">
        <f>IF('PRISM REPORT'!$B418&lt;&gt;"",'PRISM REPORT'!B418,"")</f>
        <v/>
      </c>
      <c r="C418" s="39" t="str">
        <f>IF('PRISM REPORT'!$B418&lt;&gt;"",'PRISM REPORT'!C418,"")</f>
        <v/>
      </c>
      <c r="D418" s="39" t="str">
        <f>IF('PRISM REPORT'!$B418&lt;&gt;"",'PRISM REPORT'!D418,"")</f>
        <v/>
      </c>
      <c r="E418" s="40" t="str">
        <f>IF('PRISM REPORT'!$B418&lt;&gt;"",'RAW DATA'!F418,"")</f>
        <v/>
      </c>
      <c r="F418" s="40" t="str">
        <f>IF('PRISM REPORT'!$B418&lt;&gt;"",IF('PRISM REPORT'!E418&lt;&gt;"",IF('PRISM REPORT'!E418&gt;0,'PRISM REPORT'!E418,0),0),"")</f>
        <v/>
      </c>
      <c r="G418" s="40" t="str">
        <f t="shared" si="12"/>
        <v/>
      </c>
      <c r="I418" s="40" t="str">
        <f t="shared" si="13"/>
        <v/>
      </c>
    </row>
    <row r="419" spans="2:9" x14ac:dyDescent="0.25">
      <c r="B419" s="39" t="str">
        <f>IF('PRISM REPORT'!$B419&lt;&gt;"",'PRISM REPORT'!B419,"")</f>
        <v/>
      </c>
      <c r="C419" s="39" t="str">
        <f>IF('PRISM REPORT'!$B419&lt;&gt;"",'PRISM REPORT'!C419,"")</f>
        <v/>
      </c>
      <c r="D419" s="39" t="str">
        <f>IF('PRISM REPORT'!$B419&lt;&gt;"",'PRISM REPORT'!D419,"")</f>
        <v/>
      </c>
      <c r="E419" s="40" t="str">
        <f>IF('PRISM REPORT'!$B419&lt;&gt;"",'RAW DATA'!F419,"")</f>
        <v/>
      </c>
      <c r="F419" s="40" t="str">
        <f>IF('PRISM REPORT'!$B419&lt;&gt;"",IF('PRISM REPORT'!E419&lt;&gt;"",IF('PRISM REPORT'!E419&gt;0,'PRISM REPORT'!E419,0),0),"")</f>
        <v/>
      </c>
      <c r="G419" s="40" t="str">
        <f t="shared" si="12"/>
        <v/>
      </c>
      <c r="I419" s="40" t="str">
        <f t="shared" si="13"/>
        <v/>
      </c>
    </row>
    <row r="420" spans="2:9" x14ac:dyDescent="0.25">
      <c r="B420" s="39" t="str">
        <f>IF('PRISM REPORT'!$B420&lt;&gt;"",'PRISM REPORT'!B420,"")</f>
        <v/>
      </c>
      <c r="C420" s="39" t="str">
        <f>IF('PRISM REPORT'!$B420&lt;&gt;"",'PRISM REPORT'!C420,"")</f>
        <v/>
      </c>
      <c r="D420" s="39" t="str">
        <f>IF('PRISM REPORT'!$B420&lt;&gt;"",'PRISM REPORT'!D420,"")</f>
        <v/>
      </c>
      <c r="E420" s="40" t="str">
        <f>IF('PRISM REPORT'!$B420&lt;&gt;"",'RAW DATA'!F420,"")</f>
        <v/>
      </c>
      <c r="F420" s="40" t="str">
        <f>IF('PRISM REPORT'!$B420&lt;&gt;"",IF('PRISM REPORT'!E420&lt;&gt;"",IF('PRISM REPORT'!E420&gt;0,'PRISM REPORT'!E420,0),0),"")</f>
        <v/>
      </c>
      <c r="G420" s="40" t="str">
        <f t="shared" si="12"/>
        <v/>
      </c>
      <c r="I420" s="40" t="str">
        <f t="shared" si="13"/>
        <v/>
      </c>
    </row>
    <row r="421" spans="2:9" x14ac:dyDescent="0.25">
      <c r="B421" s="39" t="str">
        <f>IF('PRISM REPORT'!$B421&lt;&gt;"",'PRISM REPORT'!B421,"")</f>
        <v/>
      </c>
      <c r="C421" s="39" t="str">
        <f>IF('PRISM REPORT'!$B421&lt;&gt;"",'PRISM REPORT'!C421,"")</f>
        <v/>
      </c>
      <c r="D421" s="39" t="str">
        <f>IF('PRISM REPORT'!$B421&lt;&gt;"",'PRISM REPORT'!D421,"")</f>
        <v/>
      </c>
      <c r="E421" s="40" t="str">
        <f>IF('PRISM REPORT'!$B421&lt;&gt;"",'RAW DATA'!F421,"")</f>
        <v/>
      </c>
      <c r="F421" s="40" t="str">
        <f>IF('PRISM REPORT'!$B421&lt;&gt;"",IF('PRISM REPORT'!E421&lt;&gt;"",IF('PRISM REPORT'!E421&gt;0,'PRISM REPORT'!E421,0),0),"")</f>
        <v/>
      </c>
      <c r="G421" s="40" t="str">
        <f t="shared" si="12"/>
        <v/>
      </c>
      <c r="I421" s="40" t="str">
        <f t="shared" si="13"/>
        <v/>
      </c>
    </row>
    <row r="422" spans="2:9" x14ac:dyDescent="0.25">
      <c r="B422" s="39" t="str">
        <f>IF('PRISM REPORT'!$B422&lt;&gt;"",'PRISM REPORT'!B422,"")</f>
        <v/>
      </c>
      <c r="C422" s="39" t="str">
        <f>IF('PRISM REPORT'!$B422&lt;&gt;"",'PRISM REPORT'!C422,"")</f>
        <v/>
      </c>
      <c r="D422" s="39" t="str">
        <f>IF('PRISM REPORT'!$B422&lt;&gt;"",'PRISM REPORT'!D422,"")</f>
        <v/>
      </c>
      <c r="E422" s="40" t="str">
        <f>IF('PRISM REPORT'!$B422&lt;&gt;"",'RAW DATA'!F422,"")</f>
        <v/>
      </c>
      <c r="F422" s="40" t="str">
        <f>IF('PRISM REPORT'!$B422&lt;&gt;"",IF('PRISM REPORT'!E422&lt;&gt;"",IF('PRISM REPORT'!E422&gt;0,'PRISM REPORT'!E422,0),0),"")</f>
        <v/>
      </c>
      <c r="G422" s="40" t="str">
        <f t="shared" si="12"/>
        <v/>
      </c>
      <c r="I422" s="40" t="str">
        <f t="shared" si="13"/>
        <v/>
      </c>
    </row>
    <row r="423" spans="2:9" x14ac:dyDescent="0.25">
      <c r="B423" s="39" t="str">
        <f>IF('PRISM REPORT'!$B423&lt;&gt;"",'PRISM REPORT'!B423,"")</f>
        <v/>
      </c>
      <c r="C423" s="39" t="str">
        <f>IF('PRISM REPORT'!$B423&lt;&gt;"",'PRISM REPORT'!C423,"")</f>
        <v/>
      </c>
      <c r="D423" s="39" t="str">
        <f>IF('PRISM REPORT'!$B423&lt;&gt;"",'PRISM REPORT'!D423,"")</f>
        <v/>
      </c>
      <c r="E423" s="40" t="str">
        <f>IF('PRISM REPORT'!$B423&lt;&gt;"",'RAW DATA'!F423,"")</f>
        <v/>
      </c>
      <c r="F423" s="40" t="str">
        <f>IF('PRISM REPORT'!$B423&lt;&gt;"",IF('PRISM REPORT'!E423&lt;&gt;"",IF('PRISM REPORT'!E423&gt;0,'PRISM REPORT'!E423,0),0),"")</f>
        <v/>
      </c>
      <c r="G423" s="40" t="str">
        <f t="shared" si="12"/>
        <v/>
      </c>
      <c r="I423" s="40" t="str">
        <f t="shared" si="13"/>
        <v/>
      </c>
    </row>
    <row r="424" spans="2:9" x14ac:dyDescent="0.25">
      <c r="B424" s="39" t="str">
        <f>IF('PRISM REPORT'!$B424&lt;&gt;"",'PRISM REPORT'!B424,"")</f>
        <v/>
      </c>
      <c r="C424" s="39" t="str">
        <f>IF('PRISM REPORT'!$B424&lt;&gt;"",'PRISM REPORT'!C424,"")</f>
        <v/>
      </c>
      <c r="D424" s="39" t="str">
        <f>IF('PRISM REPORT'!$B424&lt;&gt;"",'PRISM REPORT'!D424,"")</f>
        <v/>
      </c>
      <c r="E424" s="40" t="str">
        <f>IF('PRISM REPORT'!$B424&lt;&gt;"",'RAW DATA'!F424,"")</f>
        <v/>
      </c>
      <c r="F424" s="40" t="str">
        <f>IF('PRISM REPORT'!$B424&lt;&gt;"",IF('PRISM REPORT'!E424&lt;&gt;"",IF('PRISM REPORT'!E424&gt;0,'PRISM REPORT'!E424,0),0),"")</f>
        <v/>
      </c>
      <c r="G424" s="40" t="str">
        <f t="shared" si="12"/>
        <v/>
      </c>
      <c r="I424" s="40" t="str">
        <f t="shared" si="13"/>
        <v/>
      </c>
    </row>
    <row r="425" spans="2:9" x14ac:dyDescent="0.25">
      <c r="B425" s="39" t="str">
        <f>IF('PRISM REPORT'!$B425&lt;&gt;"",'PRISM REPORT'!B425,"")</f>
        <v/>
      </c>
      <c r="C425" s="39" t="str">
        <f>IF('PRISM REPORT'!$B425&lt;&gt;"",'PRISM REPORT'!C425,"")</f>
        <v/>
      </c>
      <c r="D425" s="39" t="str">
        <f>IF('PRISM REPORT'!$B425&lt;&gt;"",'PRISM REPORT'!D425,"")</f>
        <v/>
      </c>
      <c r="E425" s="40" t="str">
        <f>IF('PRISM REPORT'!$B425&lt;&gt;"",'RAW DATA'!F425,"")</f>
        <v/>
      </c>
      <c r="F425" s="40" t="str">
        <f>IF('PRISM REPORT'!$B425&lt;&gt;"",IF('PRISM REPORT'!E425&lt;&gt;"",IF('PRISM REPORT'!E425&gt;0,'PRISM REPORT'!E425,0),0),"")</f>
        <v/>
      </c>
      <c r="G425" s="40" t="str">
        <f t="shared" si="12"/>
        <v/>
      </c>
      <c r="I425" s="40" t="str">
        <f t="shared" si="13"/>
        <v/>
      </c>
    </row>
    <row r="426" spans="2:9" x14ac:dyDescent="0.25">
      <c r="B426" s="39" t="str">
        <f>IF('PRISM REPORT'!$B426&lt;&gt;"",'PRISM REPORT'!B426,"")</f>
        <v/>
      </c>
      <c r="C426" s="39" t="str">
        <f>IF('PRISM REPORT'!$B426&lt;&gt;"",'PRISM REPORT'!C426,"")</f>
        <v/>
      </c>
      <c r="D426" s="39" t="str">
        <f>IF('PRISM REPORT'!$B426&lt;&gt;"",'PRISM REPORT'!D426,"")</f>
        <v/>
      </c>
      <c r="E426" s="40" t="str">
        <f>IF('PRISM REPORT'!$B426&lt;&gt;"",'RAW DATA'!F426,"")</f>
        <v/>
      </c>
      <c r="F426" s="40" t="str">
        <f>IF('PRISM REPORT'!$B426&lt;&gt;"",IF('PRISM REPORT'!E426&lt;&gt;"",IF('PRISM REPORT'!E426&gt;0,'PRISM REPORT'!E426,0),0),"")</f>
        <v/>
      </c>
      <c r="G426" s="40" t="str">
        <f t="shared" si="12"/>
        <v/>
      </c>
      <c r="I426" s="40" t="str">
        <f t="shared" si="13"/>
        <v/>
      </c>
    </row>
    <row r="427" spans="2:9" x14ac:dyDescent="0.25">
      <c r="B427" s="39" t="str">
        <f>IF('PRISM REPORT'!$B427&lt;&gt;"",'PRISM REPORT'!B427,"")</f>
        <v/>
      </c>
      <c r="C427" s="39" t="str">
        <f>IF('PRISM REPORT'!$B427&lt;&gt;"",'PRISM REPORT'!C427,"")</f>
        <v/>
      </c>
      <c r="D427" s="39" t="str">
        <f>IF('PRISM REPORT'!$B427&lt;&gt;"",'PRISM REPORT'!D427,"")</f>
        <v/>
      </c>
      <c r="E427" s="40" t="str">
        <f>IF('PRISM REPORT'!$B427&lt;&gt;"",'RAW DATA'!F427,"")</f>
        <v/>
      </c>
      <c r="F427" s="40" t="str">
        <f>IF('PRISM REPORT'!$B427&lt;&gt;"",IF('PRISM REPORT'!E427&lt;&gt;"",IF('PRISM REPORT'!E427&gt;0,'PRISM REPORT'!E427,0),0),"")</f>
        <v/>
      </c>
      <c r="G427" s="40" t="str">
        <f t="shared" si="12"/>
        <v/>
      </c>
      <c r="I427" s="40" t="str">
        <f t="shared" si="13"/>
        <v/>
      </c>
    </row>
    <row r="428" spans="2:9" x14ac:dyDescent="0.25">
      <c r="B428" s="39" t="str">
        <f>IF('PRISM REPORT'!$B428&lt;&gt;"",'PRISM REPORT'!B428,"")</f>
        <v/>
      </c>
      <c r="C428" s="39" t="str">
        <f>IF('PRISM REPORT'!$B428&lt;&gt;"",'PRISM REPORT'!C428,"")</f>
        <v/>
      </c>
      <c r="D428" s="39" t="str">
        <f>IF('PRISM REPORT'!$B428&lt;&gt;"",'PRISM REPORT'!D428,"")</f>
        <v/>
      </c>
      <c r="E428" s="40" t="str">
        <f>IF('PRISM REPORT'!$B428&lt;&gt;"",'RAW DATA'!F428,"")</f>
        <v/>
      </c>
      <c r="F428" s="40" t="str">
        <f>IF('PRISM REPORT'!$B428&lt;&gt;"",IF('PRISM REPORT'!E428&lt;&gt;"",IF('PRISM REPORT'!E428&gt;0,'PRISM REPORT'!E428,0),0),"")</f>
        <v/>
      </c>
      <c r="G428" s="40" t="str">
        <f t="shared" si="12"/>
        <v/>
      </c>
      <c r="I428" s="40" t="str">
        <f t="shared" si="13"/>
        <v/>
      </c>
    </row>
    <row r="429" spans="2:9" x14ac:dyDescent="0.25">
      <c r="B429" s="39" t="str">
        <f>IF('PRISM REPORT'!$B429&lt;&gt;"",'PRISM REPORT'!B429,"")</f>
        <v/>
      </c>
      <c r="C429" s="39" t="str">
        <f>IF('PRISM REPORT'!$B429&lt;&gt;"",'PRISM REPORT'!C429,"")</f>
        <v/>
      </c>
      <c r="D429" s="39" t="str">
        <f>IF('PRISM REPORT'!$B429&lt;&gt;"",'PRISM REPORT'!D429,"")</f>
        <v/>
      </c>
      <c r="E429" s="40" t="str">
        <f>IF('PRISM REPORT'!$B429&lt;&gt;"",'RAW DATA'!F429,"")</f>
        <v/>
      </c>
      <c r="F429" s="40" t="str">
        <f>IF('PRISM REPORT'!$B429&lt;&gt;"",IF('PRISM REPORT'!E429&lt;&gt;"",IF('PRISM REPORT'!E429&gt;0,'PRISM REPORT'!E429,0),0),"")</f>
        <v/>
      </c>
      <c r="G429" s="40" t="str">
        <f t="shared" si="12"/>
        <v/>
      </c>
      <c r="I429" s="40" t="str">
        <f t="shared" si="13"/>
        <v/>
      </c>
    </row>
    <row r="430" spans="2:9" x14ac:dyDescent="0.25">
      <c r="B430" s="39" t="str">
        <f>IF('PRISM REPORT'!$B430&lt;&gt;"",'PRISM REPORT'!B430,"")</f>
        <v/>
      </c>
      <c r="C430" s="39" t="str">
        <f>IF('PRISM REPORT'!$B430&lt;&gt;"",'PRISM REPORT'!C430,"")</f>
        <v/>
      </c>
      <c r="D430" s="39" t="str">
        <f>IF('PRISM REPORT'!$B430&lt;&gt;"",'PRISM REPORT'!D430,"")</f>
        <v/>
      </c>
      <c r="E430" s="40" t="str">
        <f>IF('PRISM REPORT'!$B430&lt;&gt;"",'RAW DATA'!F430,"")</f>
        <v/>
      </c>
      <c r="F430" s="40" t="str">
        <f>IF('PRISM REPORT'!$B430&lt;&gt;"",IF('PRISM REPORT'!E430&lt;&gt;"",IF('PRISM REPORT'!E430&gt;0,'PRISM REPORT'!E430,0),0),"")</f>
        <v/>
      </c>
      <c r="G430" s="40" t="str">
        <f t="shared" si="12"/>
        <v/>
      </c>
      <c r="I430" s="40" t="str">
        <f t="shared" si="13"/>
        <v/>
      </c>
    </row>
    <row r="431" spans="2:9" x14ac:dyDescent="0.25">
      <c r="B431" s="39" t="str">
        <f>IF('PRISM REPORT'!$B431&lt;&gt;"",'PRISM REPORT'!B431,"")</f>
        <v/>
      </c>
      <c r="C431" s="39" t="str">
        <f>IF('PRISM REPORT'!$B431&lt;&gt;"",'PRISM REPORT'!C431,"")</f>
        <v/>
      </c>
      <c r="D431" s="39" t="str">
        <f>IF('PRISM REPORT'!$B431&lt;&gt;"",'PRISM REPORT'!D431,"")</f>
        <v/>
      </c>
      <c r="E431" s="40" t="str">
        <f>IF('PRISM REPORT'!$B431&lt;&gt;"",'RAW DATA'!F431,"")</f>
        <v/>
      </c>
      <c r="F431" s="40" t="str">
        <f>IF('PRISM REPORT'!$B431&lt;&gt;"",IF('PRISM REPORT'!E431&lt;&gt;"",IF('PRISM REPORT'!E431&gt;0,'PRISM REPORT'!E431,0),0),"")</f>
        <v/>
      </c>
      <c r="G431" s="40" t="str">
        <f t="shared" si="12"/>
        <v/>
      </c>
      <c r="I431" s="40" t="str">
        <f t="shared" si="13"/>
        <v/>
      </c>
    </row>
    <row r="432" spans="2:9" x14ac:dyDescent="0.25">
      <c r="B432" s="39" t="str">
        <f>IF('PRISM REPORT'!$B432&lt;&gt;"",'PRISM REPORT'!B432,"")</f>
        <v/>
      </c>
      <c r="C432" s="39" t="str">
        <f>IF('PRISM REPORT'!$B432&lt;&gt;"",'PRISM REPORT'!C432,"")</f>
        <v/>
      </c>
      <c r="D432" s="39" t="str">
        <f>IF('PRISM REPORT'!$B432&lt;&gt;"",'PRISM REPORT'!D432,"")</f>
        <v/>
      </c>
      <c r="E432" s="40" t="str">
        <f>IF('PRISM REPORT'!$B432&lt;&gt;"",'RAW DATA'!F432,"")</f>
        <v/>
      </c>
      <c r="F432" s="40" t="str">
        <f>IF('PRISM REPORT'!$B432&lt;&gt;"",IF('PRISM REPORT'!E432&lt;&gt;"",IF('PRISM REPORT'!E432&gt;0,'PRISM REPORT'!E432,0),0),"")</f>
        <v/>
      </c>
      <c r="G432" s="40" t="str">
        <f t="shared" si="12"/>
        <v/>
      </c>
      <c r="I432" s="40" t="str">
        <f t="shared" si="13"/>
        <v/>
      </c>
    </row>
    <row r="433" spans="2:9" x14ac:dyDescent="0.25">
      <c r="B433" s="39" t="str">
        <f>IF('PRISM REPORT'!$B433&lt;&gt;"",'PRISM REPORT'!B433,"")</f>
        <v/>
      </c>
      <c r="C433" s="39" t="str">
        <f>IF('PRISM REPORT'!$B433&lt;&gt;"",'PRISM REPORT'!C433,"")</f>
        <v/>
      </c>
      <c r="D433" s="39" t="str">
        <f>IF('PRISM REPORT'!$B433&lt;&gt;"",'PRISM REPORT'!D433,"")</f>
        <v/>
      </c>
      <c r="E433" s="40" t="str">
        <f>IF('PRISM REPORT'!$B433&lt;&gt;"",'RAW DATA'!F433,"")</f>
        <v/>
      </c>
      <c r="F433" s="40" t="str">
        <f>IF('PRISM REPORT'!$B433&lt;&gt;"",IF('PRISM REPORT'!E433&lt;&gt;"",IF('PRISM REPORT'!E433&gt;0,'PRISM REPORT'!E433,0),0),"")</f>
        <v/>
      </c>
      <c r="G433" s="40" t="str">
        <f t="shared" si="12"/>
        <v/>
      </c>
      <c r="I433" s="40" t="str">
        <f t="shared" si="13"/>
        <v/>
      </c>
    </row>
    <row r="434" spans="2:9" x14ac:dyDescent="0.25">
      <c r="B434" s="39" t="str">
        <f>IF('PRISM REPORT'!$B434&lt;&gt;"",'PRISM REPORT'!B434,"")</f>
        <v/>
      </c>
      <c r="C434" s="39" t="str">
        <f>IF('PRISM REPORT'!$B434&lt;&gt;"",'PRISM REPORT'!C434,"")</f>
        <v/>
      </c>
      <c r="D434" s="39" t="str">
        <f>IF('PRISM REPORT'!$B434&lt;&gt;"",'PRISM REPORT'!D434,"")</f>
        <v/>
      </c>
      <c r="E434" s="40" t="str">
        <f>IF('PRISM REPORT'!$B434&lt;&gt;"",'RAW DATA'!F434,"")</f>
        <v/>
      </c>
      <c r="F434" s="40" t="str">
        <f>IF('PRISM REPORT'!$B434&lt;&gt;"",IF('PRISM REPORT'!E434&lt;&gt;"",IF('PRISM REPORT'!E434&gt;0,'PRISM REPORT'!E434,0),0),"")</f>
        <v/>
      </c>
      <c r="G434" s="40" t="str">
        <f t="shared" si="12"/>
        <v/>
      </c>
      <c r="I434" s="40" t="str">
        <f t="shared" si="13"/>
        <v/>
      </c>
    </row>
    <row r="435" spans="2:9" x14ac:dyDescent="0.25">
      <c r="B435" s="39" t="str">
        <f>IF('PRISM REPORT'!$B435&lt;&gt;"",'PRISM REPORT'!B435,"")</f>
        <v/>
      </c>
      <c r="C435" s="39" t="str">
        <f>IF('PRISM REPORT'!$B435&lt;&gt;"",'PRISM REPORT'!C435,"")</f>
        <v/>
      </c>
      <c r="D435" s="39" t="str">
        <f>IF('PRISM REPORT'!$B435&lt;&gt;"",'PRISM REPORT'!D435,"")</f>
        <v/>
      </c>
      <c r="E435" s="40" t="str">
        <f>IF('PRISM REPORT'!$B435&lt;&gt;"",'RAW DATA'!F435,"")</f>
        <v/>
      </c>
      <c r="F435" s="40" t="str">
        <f>IF('PRISM REPORT'!$B435&lt;&gt;"",IF('PRISM REPORT'!E435&lt;&gt;"",IF('PRISM REPORT'!E435&gt;0,'PRISM REPORT'!E435,0),0),"")</f>
        <v/>
      </c>
      <c r="G435" s="40" t="str">
        <f t="shared" si="12"/>
        <v/>
      </c>
      <c r="I435" s="40" t="str">
        <f t="shared" si="13"/>
        <v/>
      </c>
    </row>
    <row r="436" spans="2:9" x14ac:dyDescent="0.25">
      <c r="B436" s="39" t="str">
        <f>IF('PRISM REPORT'!$B436&lt;&gt;"",'PRISM REPORT'!B436,"")</f>
        <v/>
      </c>
      <c r="C436" s="39" t="str">
        <f>IF('PRISM REPORT'!$B436&lt;&gt;"",'PRISM REPORT'!C436,"")</f>
        <v/>
      </c>
      <c r="D436" s="39" t="str">
        <f>IF('PRISM REPORT'!$B436&lt;&gt;"",'PRISM REPORT'!D436,"")</f>
        <v/>
      </c>
      <c r="E436" s="40" t="str">
        <f>IF('PRISM REPORT'!$B436&lt;&gt;"",'RAW DATA'!F436,"")</f>
        <v/>
      </c>
      <c r="F436" s="40" t="str">
        <f>IF('PRISM REPORT'!$B436&lt;&gt;"",IF('PRISM REPORT'!E436&lt;&gt;"",IF('PRISM REPORT'!E436&gt;0,'PRISM REPORT'!E436,0),0),"")</f>
        <v/>
      </c>
      <c r="G436" s="40" t="str">
        <f t="shared" si="12"/>
        <v/>
      </c>
      <c r="I436" s="40" t="str">
        <f t="shared" si="13"/>
        <v/>
      </c>
    </row>
    <row r="437" spans="2:9" x14ac:dyDescent="0.25">
      <c r="B437" s="39" t="str">
        <f>IF('PRISM REPORT'!$B437&lt;&gt;"",'PRISM REPORT'!B437,"")</f>
        <v/>
      </c>
      <c r="C437" s="39" t="str">
        <f>IF('PRISM REPORT'!$B437&lt;&gt;"",'PRISM REPORT'!C437,"")</f>
        <v/>
      </c>
      <c r="D437" s="39" t="str">
        <f>IF('PRISM REPORT'!$B437&lt;&gt;"",'PRISM REPORT'!D437,"")</f>
        <v/>
      </c>
      <c r="E437" s="40" t="str">
        <f>IF('PRISM REPORT'!$B437&lt;&gt;"",'RAW DATA'!F437,"")</f>
        <v/>
      </c>
      <c r="F437" s="40" t="str">
        <f>IF('PRISM REPORT'!$B437&lt;&gt;"",IF('PRISM REPORT'!E437&lt;&gt;"",IF('PRISM REPORT'!E437&gt;0,'PRISM REPORT'!E437,0),0),"")</f>
        <v/>
      </c>
      <c r="G437" s="40" t="str">
        <f t="shared" si="12"/>
        <v/>
      </c>
      <c r="I437" s="40" t="str">
        <f t="shared" si="13"/>
        <v/>
      </c>
    </row>
    <row r="438" spans="2:9" x14ac:dyDescent="0.25">
      <c r="B438" s="39" t="str">
        <f>IF('PRISM REPORT'!$B438&lt;&gt;"",'PRISM REPORT'!B438,"")</f>
        <v/>
      </c>
      <c r="C438" s="39" t="str">
        <f>IF('PRISM REPORT'!$B438&lt;&gt;"",'PRISM REPORT'!C438,"")</f>
        <v/>
      </c>
      <c r="D438" s="39" t="str">
        <f>IF('PRISM REPORT'!$B438&lt;&gt;"",'PRISM REPORT'!D438,"")</f>
        <v/>
      </c>
      <c r="E438" s="40" t="str">
        <f>IF('PRISM REPORT'!$B438&lt;&gt;"",'RAW DATA'!F438,"")</f>
        <v/>
      </c>
      <c r="F438" s="40" t="str">
        <f>IF('PRISM REPORT'!$B438&lt;&gt;"",IF('PRISM REPORT'!E438&lt;&gt;"",IF('PRISM REPORT'!E438&gt;0,'PRISM REPORT'!E438,0),0),"")</f>
        <v/>
      </c>
      <c r="G438" s="40" t="str">
        <f t="shared" si="12"/>
        <v/>
      </c>
      <c r="I438" s="40" t="str">
        <f t="shared" si="13"/>
        <v/>
      </c>
    </row>
    <row r="439" spans="2:9" x14ac:dyDescent="0.25">
      <c r="B439" s="39" t="str">
        <f>IF('PRISM REPORT'!$B439&lt;&gt;"",'PRISM REPORT'!B439,"")</f>
        <v/>
      </c>
      <c r="C439" s="39" t="str">
        <f>IF('PRISM REPORT'!$B439&lt;&gt;"",'PRISM REPORT'!C439,"")</f>
        <v/>
      </c>
      <c r="D439" s="39" t="str">
        <f>IF('PRISM REPORT'!$B439&lt;&gt;"",'PRISM REPORT'!D439,"")</f>
        <v/>
      </c>
      <c r="E439" s="40" t="str">
        <f>IF('PRISM REPORT'!$B439&lt;&gt;"",'RAW DATA'!F439,"")</f>
        <v/>
      </c>
      <c r="F439" s="40" t="str">
        <f>IF('PRISM REPORT'!$B439&lt;&gt;"",IF('PRISM REPORT'!E439&lt;&gt;"",IF('PRISM REPORT'!E439&gt;0,'PRISM REPORT'!E439,0),0),"")</f>
        <v/>
      </c>
      <c r="G439" s="40" t="str">
        <f t="shared" si="12"/>
        <v/>
      </c>
      <c r="I439" s="40" t="str">
        <f t="shared" si="13"/>
        <v/>
      </c>
    </row>
    <row r="440" spans="2:9" x14ac:dyDescent="0.25">
      <c r="B440" s="39" t="str">
        <f>IF('PRISM REPORT'!$B440&lt;&gt;"",'PRISM REPORT'!B440,"")</f>
        <v/>
      </c>
      <c r="C440" s="39" t="str">
        <f>IF('PRISM REPORT'!$B440&lt;&gt;"",'PRISM REPORT'!C440,"")</f>
        <v/>
      </c>
      <c r="D440" s="39" t="str">
        <f>IF('PRISM REPORT'!$B440&lt;&gt;"",'PRISM REPORT'!D440,"")</f>
        <v/>
      </c>
      <c r="E440" s="40" t="str">
        <f>IF('PRISM REPORT'!$B440&lt;&gt;"",'RAW DATA'!F440,"")</f>
        <v/>
      </c>
      <c r="F440" s="40" t="str">
        <f>IF('PRISM REPORT'!$B440&lt;&gt;"",IF('PRISM REPORT'!E440&lt;&gt;"",IF('PRISM REPORT'!E440&gt;0,'PRISM REPORT'!E440,0),0),"")</f>
        <v/>
      </c>
      <c r="G440" s="40" t="str">
        <f t="shared" si="12"/>
        <v/>
      </c>
      <c r="I440" s="40" t="str">
        <f t="shared" si="13"/>
        <v/>
      </c>
    </row>
    <row r="441" spans="2:9" x14ac:dyDescent="0.25">
      <c r="B441" s="39" t="str">
        <f>IF('PRISM REPORT'!$B441&lt;&gt;"",'PRISM REPORT'!B441,"")</f>
        <v/>
      </c>
      <c r="C441" s="39" t="str">
        <f>IF('PRISM REPORT'!$B441&lt;&gt;"",'PRISM REPORT'!C441,"")</f>
        <v/>
      </c>
      <c r="D441" s="39" t="str">
        <f>IF('PRISM REPORT'!$B441&lt;&gt;"",'PRISM REPORT'!D441,"")</f>
        <v/>
      </c>
      <c r="E441" s="40" t="str">
        <f>IF('PRISM REPORT'!$B441&lt;&gt;"",'RAW DATA'!F441,"")</f>
        <v/>
      </c>
      <c r="F441" s="40" t="str">
        <f>IF('PRISM REPORT'!$B441&lt;&gt;"",IF('PRISM REPORT'!E441&lt;&gt;"",IF('PRISM REPORT'!E441&gt;0,'PRISM REPORT'!E441,0),0),"")</f>
        <v/>
      </c>
      <c r="G441" s="40" t="str">
        <f t="shared" si="12"/>
        <v/>
      </c>
      <c r="I441" s="40" t="str">
        <f t="shared" si="13"/>
        <v/>
      </c>
    </row>
    <row r="442" spans="2:9" x14ac:dyDescent="0.25">
      <c r="B442" s="39" t="str">
        <f>IF('PRISM REPORT'!$B442&lt;&gt;"",'PRISM REPORT'!B442,"")</f>
        <v/>
      </c>
      <c r="C442" s="39" t="str">
        <f>IF('PRISM REPORT'!$B442&lt;&gt;"",'PRISM REPORT'!C442,"")</f>
        <v/>
      </c>
      <c r="D442" s="39" t="str">
        <f>IF('PRISM REPORT'!$B442&lt;&gt;"",'PRISM REPORT'!D442,"")</f>
        <v/>
      </c>
      <c r="E442" s="40" t="str">
        <f>IF('PRISM REPORT'!$B442&lt;&gt;"",'RAW DATA'!F442,"")</f>
        <v/>
      </c>
      <c r="F442" s="40" t="str">
        <f>IF('PRISM REPORT'!$B442&lt;&gt;"",IF('PRISM REPORT'!E442&lt;&gt;"",IF('PRISM REPORT'!E442&gt;0,'PRISM REPORT'!E442,0),0),"")</f>
        <v/>
      </c>
      <c r="G442" s="40" t="str">
        <f t="shared" si="12"/>
        <v/>
      </c>
      <c r="I442" s="40" t="str">
        <f t="shared" si="13"/>
        <v/>
      </c>
    </row>
    <row r="443" spans="2:9" x14ac:dyDescent="0.25">
      <c r="B443" s="39" t="str">
        <f>IF('PRISM REPORT'!$B443&lt;&gt;"",'PRISM REPORT'!B443,"")</f>
        <v/>
      </c>
      <c r="C443" s="39" t="str">
        <f>IF('PRISM REPORT'!$B443&lt;&gt;"",'PRISM REPORT'!C443,"")</f>
        <v/>
      </c>
      <c r="D443" s="39" t="str">
        <f>IF('PRISM REPORT'!$B443&lt;&gt;"",'PRISM REPORT'!D443,"")</f>
        <v/>
      </c>
      <c r="E443" s="40" t="str">
        <f>IF('PRISM REPORT'!$B443&lt;&gt;"",'RAW DATA'!F443,"")</f>
        <v/>
      </c>
      <c r="F443" s="40" t="str">
        <f>IF('PRISM REPORT'!$B443&lt;&gt;"",IF('PRISM REPORT'!E443&lt;&gt;"",IF('PRISM REPORT'!E443&gt;0,'PRISM REPORT'!E443,0),0),"")</f>
        <v/>
      </c>
      <c r="G443" s="40" t="str">
        <f t="shared" si="12"/>
        <v/>
      </c>
      <c r="I443" s="40" t="str">
        <f t="shared" si="13"/>
        <v/>
      </c>
    </row>
    <row r="444" spans="2:9" x14ac:dyDescent="0.25">
      <c r="B444" s="39" t="str">
        <f>IF('PRISM REPORT'!$B444&lt;&gt;"",'PRISM REPORT'!B444,"")</f>
        <v/>
      </c>
      <c r="C444" s="39" t="str">
        <f>IF('PRISM REPORT'!$B444&lt;&gt;"",'PRISM REPORT'!C444,"")</f>
        <v/>
      </c>
      <c r="D444" s="39" t="str">
        <f>IF('PRISM REPORT'!$B444&lt;&gt;"",'PRISM REPORT'!D444,"")</f>
        <v/>
      </c>
      <c r="E444" s="40" t="str">
        <f>IF('PRISM REPORT'!$B444&lt;&gt;"",'RAW DATA'!F444,"")</f>
        <v/>
      </c>
      <c r="F444" s="40" t="str">
        <f>IF('PRISM REPORT'!$B444&lt;&gt;"",IF('PRISM REPORT'!E444&lt;&gt;"",IF('PRISM REPORT'!E444&gt;0,'PRISM REPORT'!E444,0),0),"")</f>
        <v/>
      </c>
      <c r="G444" s="40" t="str">
        <f t="shared" si="12"/>
        <v/>
      </c>
      <c r="I444" s="40" t="str">
        <f t="shared" si="13"/>
        <v/>
      </c>
    </row>
    <row r="445" spans="2:9" x14ac:dyDescent="0.25">
      <c r="B445" s="39" t="str">
        <f>IF('PRISM REPORT'!$B445&lt;&gt;"",'PRISM REPORT'!B445,"")</f>
        <v/>
      </c>
      <c r="C445" s="39" t="str">
        <f>IF('PRISM REPORT'!$B445&lt;&gt;"",'PRISM REPORT'!C445,"")</f>
        <v/>
      </c>
      <c r="D445" s="39" t="str">
        <f>IF('PRISM REPORT'!$B445&lt;&gt;"",'PRISM REPORT'!D445,"")</f>
        <v/>
      </c>
      <c r="E445" s="40" t="str">
        <f>IF('PRISM REPORT'!$B445&lt;&gt;"",'RAW DATA'!F445,"")</f>
        <v/>
      </c>
      <c r="F445" s="40" t="str">
        <f>IF('PRISM REPORT'!$B445&lt;&gt;"",IF('PRISM REPORT'!E445&lt;&gt;"",IF('PRISM REPORT'!E445&gt;0,'PRISM REPORT'!E445,0),0),"")</f>
        <v/>
      </c>
      <c r="G445" s="40" t="str">
        <f t="shared" si="12"/>
        <v/>
      </c>
      <c r="I445" s="40" t="str">
        <f t="shared" si="13"/>
        <v/>
      </c>
    </row>
    <row r="446" spans="2:9" x14ac:dyDescent="0.25">
      <c r="B446" s="39" t="str">
        <f>IF('PRISM REPORT'!$B446&lt;&gt;"",'PRISM REPORT'!B446,"")</f>
        <v/>
      </c>
      <c r="C446" s="39" t="str">
        <f>IF('PRISM REPORT'!$B446&lt;&gt;"",'PRISM REPORT'!C446,"")</f>
        <v/>
      </c>
      <c r="D446" s="39" t="str">
        <f>IF('PRISM REPORT'!$B446&lt;&gt;"",'PRISM REPORT'!D446,"")</f>
        <v/>
      </c>
      <c r="E446" s="40" t="str">
        <f>IF('PRISM REPORT'!$B446&lt;&gt;"",'RAW DATA'!F446,"")</f>
        <v/>
      </c>
      <c r="F446" s="40" t="str">
        <f>IF('PRISM REPORT'!$B446&lt;&gt;"",IF('PRISM REPORT'!E446&lt;&gt;"",IF('PRISM REPORT'!E446&gt;0,'PRISM REPORT'!E446,0),0),"")</f>
        <v/>
      </c>
      <c r="G446" s="40" t="str">
        <f t="shared" si="12"/>
        <v/>
      </c>
      <c r="I446" s="40" t="str">
        <f t="shared" si="13"/>
        <v/>
      </c>
    </row>
    <row r="447" spans="2:9" x14ac:dyDescent="0.25">
      <c r="B447" s="39" t="str">
        <f>IF('PRISM REPORT'!$B447&lt;&gt;"",'PRISM REPORT'!B447,"")</f>
        <v/>
      </c>
      <c r="C447" s="39" t="str">
        <f>IF('PRISM REPORT'!$B447&lt;&gt;"",'PRISM REPORT'!C447,"")</f>
        <v/>
      </c>
      <c r="D447" s="39" t="str">
        <f>IF('PRISM REPORT'!$B447&lt;&gt;"",'PRISM REPORT'!D447,"")</f>
        <v/>
      </c>
      <c r="E447" s="40" t="str">
        <f>IF('PRISM REPORT'!$B447&lt;&gt;"",'RAW DATA'!F447,"")</f>
        <v/>
      </c>
      <c r="F447" s="40" t="str">
        <f>IF('PRISM REPORT'!$B447&lt;&gt;"",IF('PRISM REPORT'!E447&lt;&gt;"",IF('PRISM REPORT'!E447&gt;0,'PRISM REPORT'!E447,0),0),"")</f>
        <v/>
      </c>
      <c r="G447" s="40" t="str">
        <f t="shared" si="12"/>
        <v/>
      </c>
      <c r="I447" s="40" t="str">
        <f t="shared" si="13"/>
        <v/>
      </c>
    </row>
    <row r="448" spans="2:9" x14ac:dyDescent="0.25">
      <c r="B448" s="39" t="str">
        <f>IF('PRISM REPORT'!$B448&lt;&gt;"",'PRISM REPORT'!B448,"")</f>
        <v/>
      </c>
      <c r="C448" s="39" t="str">
        <f>IF('PRISM REPORT'!$B448&lt;&gt;"",'PRISM REPORT'!C448,"")</f>
        <v/>
      </c>
      <c r="D448" s="39" t="str">
        <f>IF('PRISM REPORT'!$B448&lt;&gt;"",'PRISM REPORT'!D448,"")</f>
        <v/>
      </c>
      <c r="E448" s="40" t="str">
        <f>IF('PRISM REPORT'!$B448&lt;&gt;"",'RAW DATA'!F448,"")</f>
        <v/>
      </c>
      <c r="F448" s="40" t="str">
        <f>IF('PRISM REPORT'!$B448&lt;&gt;"",IF('PRISM REPORT'!E448&lt;&gt;"",IF('PRISM REPORT'!E448&gt;0,'PRISM REPORT'!E448,0),0),"")</f>
        <v/>
      </c>
      <c r="G448" s="40" t="str">
        <f t="shared" si="12"/>
        <v/>
      </c>
      <c r="I448" s="40" t="str">
        <f t="shared" si="13"/>
        <v/>
      </c>
    </row>
    <row r="449" spans="2:9" x14ac:dyDescent="0.25">
      <c r="B449" s="39" t="str">
        <f>IF('PRISM REPORT'!$B449&lt;&gt;"",'PRISM REPORT'!B449,"")</f>
        <v/>
      </c>
      <c r="C449" s="39" t="str">
        <f>IF('PRISM REPORT'!$B449&lt;&gt;"",'PRISM REPORT'!C449,"")</f>
        <v/>
      </c>
      <c r="D449" s="39" t="str">
        <f>IF('PRISM REPORT'!$B449&lt;&gt;"",'PRISM REPORT'!D449,"")</f>
        <v/>
      </c>
      <c r="E449" s="40" t="str">
        <f>IF('PRISM REPORT'!$B449&lt;&gt;"",'RAW DATA'!F449,"")</f>
        <v/>
      </c>
      <c r="F449" s="40" t="str">
        <f>IF('PRISM REPORT'!$B449&lt;&gt;"",IF('PRISM REPORT'!E449&lt;&gt;"",IF('PRISM REPORT'!E449&gt;0,'PRISM REPORT'!E449,0),0),"")</f>
        <v/>
      </c>
      <c r="G449" s="40" t="str">
        <f t="shared" si="12"/>
        <v/>
      </c>
      <c r="I449" s="40" t="str">
        <f t="shared" si="13"/>
        <v/>
      </c>
    </row>
    <row r="450" spans="2:9" x14ac:dyDescent="0.25">
      <c r="B450" s="39" t="str">
        <f>IF('PRISM REPORT'!$B450&lt;&gt;"",'PRISM REPORT'!B450,"")</f>
        <v/>
      </c>
      <c r="C450" s="39" t="str">
        <f>IF('PRISM REPORT'!$B450&lt;&gt;"",'PRISM REPORT'!C450,"")</f>
        <v/>
      </c>
      <c r="D450" s="39" t="str">
        <f>IF('PRISM REPORT'!$B450&lt;&gt;"",'PRISM REPORT'!D450,"")</f>
        <v/>
      </c>
      <c r="E450" s="40" t="str">
        <f>IF('PRISM REPORT'!$B450&lt;&gt;"",'RAW DATA'!F450,"")</f>
        <v/>
      </c>
      <c r="F450" s="40" t="str">
        <f>IF('PRISM REPORT'!$B450&lt;&gt;"",IF('PRISM REPORT'!E450&lt;&gt;"",IF('PRISM REPORT'!E450&gt;0,'PRISM REPORT'!E450,0),0),"")</f>
        <v/>
      </c>
      <c r="G450" s="40" t="str">
        <f t="shared" si="12"/>
        <v/>
      </c>
      <c r="I450" s="40" t="str">
        <f t="shared" si="13"/>
        <v/>
      </c>
    </row>
    <row r="451" spans="2:9" x14ac:dyDescent="0.25">
      <c r="B451" s="39" t="str">
        <f>IF('PRISM REPORT'!$B451&lt;&gt;"",'PRISM REPORT'!B451,"")</f>
        <v/>
      </c>
      <c r="C451" s="39" t="str">
        <f>IF('PRISM REPORT'!$B451&lt;&gt;"",'PRISM REPORT'!C451,"")</f>
        <v/>
      </c>
      <c r="D451" s="39" t="str">
        <f>IF('PRISM REPORT'!$B451&lt;&gt;"",'PRISM REPORT'!D451,"")</f>
        <v/>
      </c>
      <c r="E451" s="40" t="str">
        <f>IF('PRISM REPORT'!$B451&lt;&gt;"",'RAW DATA'!F451,"")</f>
        <v/>
      </c>
      <c r="F451" s="40" t="str">
        <f>IF('PRISM REPORT'!$B451&lt;&gt;"",IF('PRISM REPORT'!E451&lt;&gt;"",IF('PRISM REPORT'!E451&gt;0,'PRISM REPORT'!E451,0),0),"")</f>
        <v/>
      </c>
      <c r="G451" s="40" t="str">
        <f t="shared" si="12"/>
        <v/>
      </c>
      <c r="I451" s="40" t="str">
        <f t="shared" si="13"/>
        <v/>
      </c>
    </row>
    <row r="452" spans="2:9" x14ac:dyDescent="0.25">
      <c r="B452" s="39" t="str">
        <f>IF('PRISM REPORT'!$B452&lt;&gt;"",'PRISM REPORT'!B452,"")</f>
        <v/>
      </c>
      <c r="C452" s="39" t="str">
        <f>IF('PRISM REPORT'!$B452&lt;&gt;"",'PRISM REPORT'!C452,"")</f>
        <v/>
      </c>
      <c r="D452" s="39" t="str">
        <f>IF('PRISM REPORT'!$B452&lt;&gt;"",'PRISM REPORT'!D452,"")</f>
        <v/>
      </c>
      <c r="E452" s="40" t="str">
        <f>IF('PRISM REPORT'!$B452&lt;&gt;"",'RAW DATA'!F452,"")</f>
        <v/>
      </c>
      <c r="F452" s="40" t="str">
        <f>IF('PRISM REPORT'!$B452&lt;&gt;"",IF('PRISM REPORT'!E452&lt;&gt;"",IF('PRISM REPORT'!E452&gt;0,'PRISM REPORT'!E452,0),0),"")</f>
        <v/>
      </c>
      <c r="G452" s="40" t="str">
        <f t="shared" si="12"/>
        <v/>
      </c>
      <c r="I452" s="40" t="str">
        <f t="shared" si="13"/>
        <v/>
      </c>
    </row>
    <row r="453" spans="2:9" x14ac:dyDescent="0.25">
      <c r="B453" s="39" t="str">
        <f>IF('PRISM REPORT'!$B453&lt;&gt;"",'PRISM REPORT'!B453,"")</f>
        <v/>
      </c>
      <c r="C453" s="39" t="str">
        <f>IF('PRISM REPORT'!$B453&lt;&gt;"",'PRISM REPORT'!C453,"")</f>
        <v/>
      </c>
      <c r="D453" s="39" t="str">
        <f>IF('PRISM REPORT'!$B453&lt;&gt;"",'PRISM REPORT'!D453,"")</f>
        <v/>
      </c>
      <c r="E453" s="40" t="str">
        <f>IF('PRISM REPORT'!$B453&lt;&gt;"",'RAW DATA'!F453,"")</f>
        <v/>
      </c>
      <c r="F453" s="40" t="str">
        <f>IF('PRISM REPORT'!$B453&lt;&gt;"",IF('PRISM REPORT'!E453&lt;&gt;"",IF('PRISM REPORT'!E453&gt;0,'PRISM REPORT'!E453,0),0),"")</f>
        <v/>
      </c>
      <c r="G453" s="40" t="str">
        <f t="shared" ref="G453:G499" si="14">IF(AND(B453&lt;&gt;"",C453&lt;&gt;""),SUM(E453,F453),"")</f>
        <v/>
      </c>
      <c r="I453" s="40" t="str">
        <f t="shared" ref="I453:I499" si="15">IF(AND(B453&lt;&gt;"",C453&lt;&gt;""),G453-(H453*50),"")</f>
        <v/>
      </c>
    </row>
    <row r="454" spans="2:9" x14ac:dyDescent="0.25">
      <c r="B454" s="39" t="str">
        <f>IF('PRISM REPORT'!$B454&lt;&gt;"",'PRISM REPORT'!B454,"")</f>
        <v/>
      </c>
      <c r="C454" s="39" t="str">
        <f>IF('PRISM REPORT'!$B454&lt;&gt;"",'PRISM REPORT'!C454,"")</f>
        <v/>
      </c>
      <c r="D454" s="39" t="str">
        <f>IF('PRISM REPORT'!$B454&lt;&gt;"",'PRISM REPORT'!D454,"")</f>
        <v/>
      </c>
      <c r="E454" s="40" t="str">
        <f>IF('PRISM REPORT'!$B454&lt;&gt;"",'RAW DATA'!F454,"")</f>
        <v/>
      </c>
      <c r="F454" s="40" t="str">
        <f>IF('PRISM REPORT'!$B454&lt;&gt;"",IF('PRISM REPORT'!E454&lt;&gt;"",IF('PRISM REPORT'!E454&gt;0,'PRISM REPORT'!E454,0),0),"")</f>
        <v/>
      </c>
      <c r="G454" s="40" t="str">
        <f t="shared" si="14"/>
        <v/>
      </c>
      <c r="I454" s="40" t="str">
        <f t="shared" si="15"/>
        <v/>
      </c>
    </row>
    <row r="455" spans="2:9" x14ac:dyDescent="0.25">
      <c r="B455" s="39" t="str">
        <f>IF('PRISM REPORT'!$B455&lt;&gt;"",'PRISM REPORT'!B455,"")</f>
        <v/>
      </c>
      <c r="C455" s="39" t="str">
        <f>IF('PRISM REPORT'!$B455&lt;&gt;"",'PRISM REPORT'!C455,"")</f>
        <v/>
      </c>
      <c r="D455" s="39" t="str">
        <f>IF('PRISM REPORT'!$B455&lt;&gt;"",'PRISM REPORT'!D455,"")</f>
        <v/>
      </c>
      <c r="E455" s="40" t="str">
        <f>IF('PRISM REPORT'!$B455&lt;&gt;"",'RAW DATA'!F455,"")</f>
        <v/>
      </c>
      <c r="F455" s="40" t="str">
        <f>IF('PRISM REPORT'!$B455&lt;&gt;"",IF('PRISM REPORT'!E455&lt;&gt;"",IF('PRISM REPORT'!E455&gt;0,'PRISM REPORT'!E455,0),0),"")</f>
        <v/>
      </c>
      <c r="G455" s="40" t="str">
        <f t="shared" si="14"/>
        <v/>
      </c>
      <c r="I455" s="40" t="str">
        <f t="shared" si="15"/>
        <v/>
      </c>
    </row>
    <row r="456" spans="2:9" x14ac:dyDescent="0.25">
      <c r="B456" s="39" t="str">
        <f>IF('PRISM REPORT'!$B456&lt;&gt;"",'PRISM REPORT'!B456,"")</f>
        <v/>
      </c>
      <c r="C456" s="39" t="str">
        <f>IF('PRISM REPORT'!$B456&lt;&gt;"",'PRISM REPORT'!C456,"")</f>
        <v/>
      </c>
      <c r="D456" s="39" t="str">
        <f>IF('PRISM REPORT'!$B456&lt;&gt;"",'PRISM REPORT'!D456,"")</f>
        <v/>
      </c>
      <c r="E456" s="40" t="str">
        <f>IF('PRISM REPORT'!$B456&lt;&gt;"",'RAW DATA'!F456,"")</f>
        <v/>
      </c>
      <c r="F456" s="40" t="str">
        <f>IF('PRISM REPORT'!$B456&lt;&gt;"",IF('PRISM REPORT'!E456&lt;&gt;"",IF('PRISM REPORT'!E456&gt;0,'PRISM REPORT'!E456,0),0),"")</f>
        <v/>
      </c>
      <c r="G456" s="40" t="str">
        <f t="shared" si="14"/>
        <v/>
      </c>
      <c r="I456" s="40" t="str">
        <f t="shared" si="15"/>
        <v/>
      </c>
    </row>
    <row r="457" spans="2:9" x14ac:dyDescent="0.25">
      <c r="B457" s="39" t="str">
        <f>IF('PRISM REPORT'!$B457&lt;&gt;"",'PRISM REPORT'!B457,"")</f>
        <v/>
      </c>
      <c r="C457" s="39" t="str">
        <f>IF('PRISM REPORT'!$B457&lt;&gt;"",'PRISM REPORT'!C457,"")</f>
        <v/>
      </c>
      <c r="D457" s="39" t="str">
        <f>IF('PRISM REPORT'!$B457&lt;&gt;"",'PRISM REPORT'!D457,"")</f>
        <v/>
      </c>
      <c r="E457" s="40" t="str">
        <f>IF('PRISM REPORT'!$B457&lt;&gt;"",'RAW DATA'!F457,"")</f>
        <v/>
      </c>
      <c r="F457" s="40" t="str">
        <f>IF('PRISM REPORT'!$B457&lt;&gt;"",IF('PRISM REPORT'!E457&lt;&gt;"",IF('PRISM REPORT'!E457&gt;0,'PRISM REPORT'!E457,0),0),"")</f>
        <v/>
      </c>
      <c r="G457" s="40" t="str">
        <f t="shared" si="14"/>
        <v/>
      </c>
      <c r="I457" s="40" t="str">
        <f t="shared" si="15"/>
        <v/>
      </c>
    </row>
    <row r="458" spans="2:9" x14ac:dyDescent="0.25">
      <c r="B458" s="39" t="str">
        <f>IF('PRISM REPORT'!$B458&lt;&gt;"",'PRISM REPORT'!B458,"")</f>
        <v/>
      </c>
      <c r="C458" s="39" t="str">
        <f>IF('PRISM REPORT'!$B458&lt;&gt;"",'PRISM REPORT'!C458,"")</f>
        <v/>
      </c>
      <c r="D458" s="39" t="str">
        <f>IF('PRISM REPORT'!$B458&lt;&gt;"",'PRISM REPORT'!D458,"")</f>
        <v/>
      </c>
      <c r="E458" s="40" t="str">
        <f>IF('PRISM REPORT'!$B458&lt;&gt;"",'RAW DATA'!F458,"")</f>
        <v/>
      </c>
      <c r="F458" s="40" t="str">
        <f>IF('PRISM REPORT'!$B458&lt;&gt;"",IF('PRISM REPORT'!E458&lt;&gt;"",IF('PRISM REPORT'!E458&gt;0,'PRISM REPORT'!E458,0),0),"")</f>
        <v/>
      </c>
      <c r="G458" s="40" t="str">
        <f t="shared" si="14"/>
        <v/>
      </c>
      <c r="I458" s="40" t="str">
        <f t="shared" si="15"/>
        <v/>
      </c>
    </row>
    <row r="459" spans="2:9" x14ac:dyDescent="0.25">
      <c r="B459" s="39" t="str">
        <f>IF('PRISM REPORT'!$B459&lt;&gt;"",'PRISM REPORT'!B459,"")</f>
        <v/>
      </c>
      <c r="C459" s="39" t="str">
        <f>IF('PRISM REPORT'!$B459&lt;&gt;"",'PRISM REPORT'!C459,"")</f>
        <v/>
      </c>
      <c r="D459" s="39" t="str">
        <f>IF('PRISM REPORT'!$B459&lt;&gt;"",'PRISM REPORT'!D459,"")</f>
        <v/>
      </c>
      <c r="E459" s="40" t="str">
        <f>IF('PRISM REPORT'!$B459&lt;&gt;"",'RAW DATA'!F459,"")</f>
        <v/>
      </c>
      <c r="F459" s="40" t="str">
        <f>IF('PRISM REPORT'!$B459&lt;&gt;"",IF('PRISM REPORT'!E459&lt;&gt;"",IF('PRISM REPORT'!E459&gt;0,'PRISM REPORT'!E459,0),0),"")</f>
        <v/>
      </c>
      <c r="G459" s="40" t="str">
        <f t="shared" si="14"/>
        <v/>
      </c>
      <c r="I459" s="40" t="str">
        <f t="shared" si="15"/>
        <v/>
      </c>
    </row>
    <row r="460" spans="2:9" x14ac:dyDescent="0.25">
      <c r="B460" s="39" t="str">
        <f>IF('PRISM REPORT'!$B460&lt;&gt;"",'PRISM REPORT'!B460,"")</f>
        <v/>
      </c>
      <c r="C460" s="39" t="str">
        <f>IF('PRISM REPORT'!$B460&lt;&gt;"",'PRISM REPORT'!C460,"")</f>
        <v/>
      </c>
      <c r="D460" s="39" t="str">
        <f>IF('PRISM REPORT'!$B460&lt;&gt;"",'PRISM REPORT'!D460,"")</f>
        <v/>
      </c>
      <c r="E460" s="40" t="str">
        <f>IF('PRISM REPORT'!$B460&lt;&gt;"",'RAW DATA'!F460,"")</f>
        <v/>
      </c>
      <c r="F460" s="40" t="str">
        <f>IF('PRISM REPORT'!$B460&lt;&gt;"",IF('PRISM REPORT'!E460&lt;&gt;"",IF('PRISM REPORT'!E460&gt;0,'PRISM REPORT'!E460,0),0),"")</f>
        <v/>
      </c>
      <c r="G460" s="40" t="str">
        <f t="shared" si="14"/>
        <v/>
      </c>
      <c r="I460" s="40" t="str">
        <f t="shared" si="15"/>
        <v/>
      </c>
    </row>
    <row r="461" spans="2:9" x14ac:dyDescent="0.25">
      <c r="B461" s="39" t="str">
        <f>IF('PRISM REPORT'!$B461&lt;&gt;"",'PRISM REPORT'!B461,"")</f>
        <v/>
      </c>
      <c r="C461" s="39" t="str">
        <f>IF('PRISM REPORT'!$B461&lt;&gt;"",'PRISM REPORT'!C461,"")</f>
        <v/>
      </c>
      <c r="D461" s="39" t="str">
        <f>IF('PRISM REPORT'!$B461&lt;&gt;"",'PRISM REPORT'!D461,"")</f>
        <v/>
      </c>
      <c r="E461" s="40" t="str">
        <f>IF('PRISM REPORT'!$B461&lt;&gt;"",'RAW DATA'!F461,"")</f>
        <v/>
      </c>
      <c r="F461" s="40" t="str">
        <f>IF('PRISM REPORT'!$B461&lt;&gt;"",IF('PRISM REPORT'!E461&lt;&gt;"",IF('PRISM REPORT'!E461&gt;0,'PRISM REPORT'!E461,0),0),"")</f>
        <v/>
      </c>
      <c r="G461" s="40" t="str">
        <f t="shared" si="14"/>
        <v/>
      </c>
      <c r="I461" s="40" t="str">
        <f t="shared" si="15"/>
        <v/>
      </c>
    </row>
    <row r="462" spans="2:9" x14ac:dyDescent="0.25">
      <c r="B462" s="39" t="str">
        <f>IF('PRISM REPORT'!$B462&lt;&gt;"",'PRISM REPORT'!B462,"")</f>
        <v/>
      </c>
      <c r="C462" s="39" t="str">
        <f>IF('PRISM REPORT'!$B462&lt;&gt;"",'PRISM REPORT'!C462,"")</f>
        <v/>
      </c>
      <c r="D462" s="39" t="str">
        <f>IF('PRISM REPORT'!$B462&lt;&gt;"",'PRISM REPORT'!D462,"")</f>
        <v/>
      </c>
      <c r="E462" s="40" t="str">
        <f>IF('PRISM REPORT'!$B462&lt;&gt;"",'RAW DATA'!F462,"")</f>
        <v/>
      </c>
      <c r="F462" s="40" t="str">
        <f>IF('PRISM REPORT'!$B462&lt;&gt;"",IF('PRISM REPORT'!E462&lt;&gt;"",IF('PRISM REPORT'!E462&gt;0,'PRISM REPORT'!E462,0),0),"")</f>
        <v/>
      </c>
      <c r="G462" s="40" t="str">
        <f t="shared" si="14"/>
        <v/>
      </c>
      <c r="I462" s="40" t="str">
        <f t="shared" si="15"/>
        <v/>
      </c>
    </row>
    <row r="463" spans="2:9" x14ac:dyDescent="0.25">
      <c r="B463" s="39" t="str">
        <f>IF('PRISM REPORT'!$B463&lt;&gt;"",'PRISM REPORT'!B463,"")</f>
        <v/>
      </c>
      <c r="C463" s="39" t="str">
        <f>IF('PRISM REPORT'!$B463&lt;&gt;"",'PRISM REPORT'!C463,"")</f>
        <v/>
      </c>
      <c r="D463" s="39" t="str">
        <f>IF('PRISM REPORT'!$B463&lt;&gt;"",'PRISM REPORT'!D463,"")</f>
        <v/>
      </c>
      <c r="E463" s="40" t="str">
        <f>IF('PRISM REPORT'!$B463&lt;&gt;"",'RAW DATA'!F463,"")</f>
        <v/>
      </c>
      <c r="F463" s="40" t="str">
        <f>IF('PRISM REPORT'!$B463&lt;&gt;"",IF('PRISM REPORT'!E463&lt;&gt;"",IF('PRISM REPORT'!E463&gt;0,'PRISM REPORT'!E463,0),0),"")</f>
        <v/>
      </c>
      <c r="G463" s="40" t="str">
        <f t="shared" si="14"/>
        <v/>
      </c>
      <c r="I463" s="40" t="str">
        <f t="shared" si="15"/>
        <v/>
      </c>
    </row>
    <row r="464" spans="2:9" x14ac:dyDescent="0.25">
      <c r="B464" s="39" t="str">
        <f>IF('PRISM REPORT'!$B464&lt;&gt;"",'PRISM REPORT'!B464,"")</f>
        <v/>
      </c>
      <c r="C464" s="39" t="str">
        <f>IF('PRISM REPORT'!$B464&lt;&gt;"",'PRISM REPORT'!C464,"")</f>
        <v/>
      </c>
      <c r="D464" s="39" t="str">
        <f>IF('PRISM REPORT'!$B464&lt;&gt;"",'PRISM REPORT'!D464,"")</f>
        <v/>
      </c>
      <c r="E464" s="40" t="str">
        <f>IF('PRISM REPORT'!$B464&lt;&gt;"",'RAW DATA'!F464,"")</f>
        <v/>
      </c>
      <c r="F464" s="40" t="str">
        <f>IF('PRISM REPORT'!$B464&lt;&gt;"",IF('PRISM REPORT'!E464&lt;&gt;"",IF('PRISM REPORT'!E464&gt;0,'PRISM REPORT'!E464,0),0),"")</f>
        <v/>
      </c>
      <c r="G464" s="40" t="str">
        <f t="shared" si="14"/>
        <v/>
      </c>
      <c r="I464" s="40" t="str">
        <f t="shared" si="15"/>
        <v/>
      </c>
    </row>
    <row r="465" spans="2:9" x14ac:dyDescent="0.25">
      <c r="B465" s="39" t="str">
        <f>IF('PRISM REPORT'!$B465&lt;&gt;"",'PRISM REPORT'!B465,"")</f>
        <v/>
      </c>
      <c r="C465" s="39" t="str">
        <f>IF('PRISM REPORT'!$B465&lt;&gt;"",'PRISM REPORT'!C465,"")</f>
        <v/>
      </c>
      <c r="D465" s="39" t="str">
        <f>IF('PRISM REPORT'!$B465&lt;&gt;"",'PRISM REPORT'!D465,"")</f>
        <v/>
      </c>
      <c r="E465" s="40" t="str">
        <f>IF('PRISM REPORT'!$B465&lt;&gt;"",'RAW DATA'!F465,"")</f>
        <v/>
      </c>
      <c r="F465" s="40" t="str">
        <f>IF('PRISM REPORT'!$B465&lt;&gt;"",IF('PRISM REPORT'!E465&lt;&gt;"",IF('PRISM REPORT'!E465&gt;0,'PRISM REPORT'!E465,0),0),"")</f>
        <v/>
      </c>
      <c r="G465" s="40" t="str">
        <f t="shared" si="14"/>
        <v/>
      </c>
      <c r="I465" s="40" t="str">
        <f t="shared" si="15"/>
        <v/>
      </c>
    </row>
    <row r="466" spans="2:9" x14ac:dyDescent="0.25">
      <c r="B466" s="39" t="str">
        <f>IF('PRISM REPORT'!$B466&lt;&gt;"",'PRISM REPORT'!B466,"")</f>
        <v/>
      </c>
      <c r="C466" s="39" t="str">
        <f>IF('PRISM REPORT'!$B466&lt;&gt;"",'PRISM REPORT'!C466,"")</f>
        <v/>
      </c>
      <c r="D466" s="39" t="str">
        <f>IF('PRISM REPORT'!$B466&lt;&gt;"",'PRISM REPORT'!D466,"")</f>
        <v/>
      </c>
      <c r="E466" s="40" t="str">
        <f>IF('PRISM REPORT'!$B466&lt;&gt;"",'RAW DATA'!F466,"")</f>
        <v/>
      </c>
      <c r="F466" s="40" t="str">
        <f>IF('PRISM REPORT'!$B466&lt;&gt;"",IF('PRISM REPORT'!E466&lt;&gt;"",IF('PRISM REPORT'!E466&gt;0,'PRISM REPORT'!E466,0),0),"")</f>
        <v/>
      </c>
      <c r="G466" s="40" t="str">
        <f t="shared" si="14"/>
        <v/>
      </c>
      <c r="I466" s="40" t="str">
        <f t="shared" si="15"/>
        <v/>
      </c>
    </row>
    <row r="467" spans="2:9" x14ac:dyDescent="0.25">
      <c r="B467" s="39" t="str">
        <f>IF('PRISM REPORT'!$B467&lt;&gt;"",'PRISM REPORT'!B467,"")</f>
        <v/>
      </c>
      <c r="C467" s="39" t="str">
        <f>IF('PRISM REPORT'!$B467&lt;&gt;"",'PRISM REPORT'!C467,"")</f>
        <v/>
      </c>
      <c r="D467" s="39" t="str">
        <f>IF('PRISM REPORT'!$B467&lt;&gt;"",'PRISM REPORT'!D467,"")</f>
        <v/>
      </c>
      <c r="E467" s="40" t="str">
        <f>IF('PRISM REPORT'!$B467&lt;&gt;"",'RAW DATA'!F467,"")</f>
        <v/>
      </c>
      <c r="F467" s="40" t="str">
        <f>IF('PRISM REPORT'!$B467&lt;&gt;"",IF('PRISM REPORT'!E467&lt;&gt;"",IF('PRISM REPORT'!E467&gt;0,'PRISM REPORT'!E467,0),0),"")</f>
        <v/>
      </c>
      <c r="G467" s="40" t="str">
        <f t="shared" si="14"/>
        <v/>
      </c>
      <c r="I467" s="40" t="str">
        <f t="shared" si="15"/>
        <v/>
      </c>
    </row>
    <row r="468" spans="2:9" x14ac:dyDescent="0.25">
      <c r="B468" s="39" t="str">
        <f>IF('PRISM REPORT'!$B468&lt;&gt;"",'PRISM REPORT'!B468,"")</f>
        <v/>
      </c>
      <c r="C468" s="39" t="str">
        <f>IF('PRISM REPORT'!$B468&lt;&gt;"",'PRISM REPORT'!C468,"")</f>
        <v/>
      </c>
      <c r="D468" s="39" t="str">
        <f>IF('PRISM REPORT'!$B468&lt;&gt;"",'PRISM REPORT'!D468,"")</f>
        <v/>
      </c>
      <c r="E468" s="40" t="str">
        <f>IF('PRISM REPORT'!$B468&lt;&gt;"",'RAW DATA'!F468,"")</f>
        <v/>
      </c>
      <c r="F468" s="40" t="str">
        <f>IF('PRISM REPORT'!$B468&lt;&gt;"",IF('PRISM REPORT'!E468&lt;&gt;"",IF('PRISM REPORT'!E468&gt;0,'PRISM REPORT'!E468,0),0),"")</f>
        <v/>
      </c>
      <c r="G468" s="40" t="str">
        <f t="shared" si="14"/>
        <v/>
      </c>
      <c r="I468" s="40" t="str">
        <f t="shared" si="15"/>
        <v/>
      </c>
    </row>
    <row r="469" spans="2:9" x14ac:dyDescent="0.25">
      <c r="B469" s="39" t="str">
        <f>IF('PRISM REPORT'!$B469&lt;&gt;"",'PRISM REPORT'!B469,"")</f>
        <v/>
      </c>
      <c r="C469" s="39" t="str">
        <f>IF('PRISM REPORT'!$B469&lt;&gt;"",'PRISM REPORT'!C469,"")</f>
        <v/>
      </c>
      <c r="D469" s="39" t="str">
        <f>IF('PRISM REPORT'!$B469&lt;&gt;"",'PRISM REPORT'!D469,"")</f>
        <v/>
      </c>
      <c r="E469" s="40" t="str">
        <f>IF('PRISM REPORT'!$B469&lt;&gt;"",'RAW DATA'!F469,"")</f>
        <v/>
      </c>
      <c r="F469" s="40" t="str">
        <f>IF('PRISM REPORT'!$B469&lt;&gt;"",IF('PRISM REPORT'!E469&lt;&gt;"",IF('PRISM REPORT'!E469&gt;0,'PRISM REPORT'!E469,0),0),"")</f>
        <v/>
      </c>
      <c r="G469" s="40" t="str">
        <f t="shared" si="14"/>
        <v/>
      </c>
      <c r="I469" s="40" t="str">
        <f t="shared" si="15"/>
        <v/>
      </c>
    </row>
    <row r="470" spans="2:9" x14ac:dyDescent="0.25">
      <c r="B470" s="39" t="str">
        <f>IF('PRISM REPORT'!$B470&lt;&gt;"",'PRISM REPORT'!B470,"")</f>
        <v/>
      </c>
      <c r="C470" s="39" t="str">
        <f>IF('PRISM REPORT'!$B470&lt;&gt;"",'PRISM REPORT'!C470,"")</f>
        <v/>
      </c>
      <c r="D470" s="39" t="str">
        <f>IF('PRISM REPORT'!$B470&lt;&gt;"",'PRISM REPORT'!D470,"")</f>
        <v/>
      </c>
      <c r="E470" s="40" t="str">
        <f>IF('PRISM REPORT'!$B470&lt;&gt;"",'RAW DATA'!F470,"")</f>
        <v/>
      </c>
      <c r="F470" s="40" t="str">
        <f>IF('PRISM REPORT'!$B470&lt;&gt;"",IF('PRISM REPORT'!E470&lt;&gt;"",IF('PRISM REPORT'!E470&gt;0,'PRISM REPORT'!E470,0),0),"")</f>
        <v/>
      </c>
      <c r="G470" s="40" t="str">
        <f t="shared" si="14"/>
        <v/>
      </c>
      <c r="I470" s="40" t="str">
        <f t="shared" si="15"/>
        <v/>
      </c>
    </row>
    <row r="471" spans="2:9" x14ac:dyDescent="0.25">
      <c r="B471" s="39" t="str">
        <f>IF('PRISM REPORT'!$B471&lt;&gt;"",'PRISM REPORT'!B471,"")</f>
        <v/>
      </c>
      <c r="C471" s="39" t="str">
        <f>IF('PRISM REPORT'!$B471&lt;&gt;"",'PRISM REPORT'!C471,"")</f>
        <v/>
      </c>
      <c r="D471" s="39" t="str">
        <f>IF('PRISM REPORT'!$B471&lt;&gt;"",'PRISM REPORT'!D471,"")</f>
        <v/>
      </c>
      <c r="E471" s="40" t="str">
        <f>IF('PRISM REPORT'!$B471&lt;&gt;"",'RAW DATA'!F471,"")</f>
        <v/>
      </c>
      <c r="F471" s="40" t="str">
        <f>IF('PRISM REPORT'!$B471&lt;&gt;"",IF('PRISM REPORT'!E471&lt;&gt;"",IF('PRISM REPORT'!E471&gt;0,'PRISM REPORT'!E471,0),0),"")</f>
        <v/>
      </c>
      <c r="G471" s="40" t="str">
        <f t="shared" si="14"/>
        <v/>
      </c>
      <c r="I471" s="40" t="str">
        <f t="shared" si="15"/>
        <v/>
      </c>
    </row>
    <row r="472" spans="2:9" x14ac:dyDescent="0.25">
      <c r="B472" s="39" t="str">
        <f>IF('PRISM REPORT'!$B472&lt;&gt;"",'PRISM REPORT'!B472,"")</f>
        <v/>
      </c>
      <c r="C472" s="39" t="str">
        <f>IF('PRISM REPORT'!$B472&lt;&gt;"",'PRISM REPORT'!C472,"")</f>
        <v/>
      </c>
      <c r="D472" s="39" t="str">
        <f>IF('PRISM REPORT'!$B472&lt;&gt;"",'PRISM REPORT'!D472,"")</f>
        <v/>
      </c>
      <c r="E472" s="40" t="str">
        <f>IF('PRISM REPORT'!$B472&lt;&gt;"",'RAW DATA'!F472,"")</f>
        <v/>
      </c>
      <c r="F472" s="40" t="str">
        <f>IF('PRISM REPORT'!$B472&lt;&gt;"",IF('PRISM REPORT'!E472&lt;&gt;"",IF('PRISM REPORT'!E472&gt;0,'PRISM REPORT'!E472,0),0),"")</f>
        <v/>
      </c>
      <c r="G472" s="40" t="str">
        <f t="shared" si="14"/>
        <v/>
      </c>
      <c r="I472" s="40" t="str">
        <f t="shared" si="15"/>
        <v/>
      </c>
    </row>
    <row r="473" spans="2:9" x14ac:dyDescent="0.25">
      <c r="B473" s="39" t="str">
        <f>IF('PRISM REPORT'!$B473&lt;&gt;"",'PRISM REPORT'!B473,"")</f>
        <v/>
      </c>
      <c r="C473" s="39" t="str">
        <f>IF('PRISM REPORT'!$B473&lt;&gt;"",'PRISM REPORT'!C473,"")</f>
        <v/>
      </c>
      <c r="D473" s="39" t="str">
        <f>IF('PRISM REPORT'!$B473&lt;&gt;"",'PRISM REPORT'!D473,"")</f>
        <v/>
      </c>
      <c r="E473" s="40" t="str">
        <f>IF('PRISM REPORT'!$B473&lt;&gt;"",'RAW DATA'!F473,"")</f>
        <v/>
      </c>
      <c r="F473" s="40" t="str">
        <f>IF('PRISM REPORT'!$B473&lt;&gt;"",IF('PRISM REPORT'!E473&lt;&gt;"",IF('PRISM REPORT'!E473&gt;0,'PRISM REPORT'!E473,0),0),"")</f>
        <v/>
      </c>
      <c r="G473" s="40" t="str">
        <f t="shared" si="14"/>
        <v/>
      </c>
      <c r="I473" s="40" t="str">
        <f t="shared" si="15"/>
        <v/>
      </c>
    </row>
    <row r="474" spans="2:9" x14ac:dyDescent="0.25">
      <c r="B474" s="39" t="str">
        <f>IF('PRISM REPORT'!$B474&lt;&gt;"",'PRISM REPORT'!B474,"")</f>
        <v/>
      </c>
      <c r="C474" s="39" t="str">
        <f>IF('PRISM REPORT'!$B474&lt;&gt;"",'PRISM REPORT'!C474,"")</f>
        <v/>
      </c>
      <c r="D474" s="39" t="str">
        <f>IF('PRISM REPORT'!$B474&lt;&gt;"",'PRISM REPORT'!D474,"")</f>
        <v/>
      </c>
      <c r="E474" s="40" t="str">
        <f>IF('PRISM REPORT'!$B474&lt;&gt;"",'RAW DATA'!F474,"")</f>
        <v/>
      </c>
      <c r="F474" s="40" t="str">
        <f>IF('PRISM REPORT'!$B474&lt;&gt;"",IF('PRISM REPORT'!E474&lt;&gt;"",IF('PRISM REPORT'!E474&gt;0,'PRISM REPORT'!E474,0),0),"")</f>
        <v/>
      </c>
      <c r="G474" s="40" t="str">
        <f t="shared" si="14"/>
        <v/>
      </c>
      <c r="I474" s="40" t="str">
        <f t="shared" si="15"/>
        <v/>
      </c>
    </row>
    <row r="475" spans="2:9" x14ac:dyDescent="0.25">
      <c r="B475" s="39" t="str">
        <f>IF('PRISM REPORT'!$B475&lt;&gt;"",'PRISM REPORT'!B475,"")</f>
        <v/>
      </c>
      <c r="C475" s="39" t="str">
        <f>IF('PRISM REPORT'!$B475&lt;&gt;"",'PRISM REPORT'!C475,"")</f>
        <v/>
      </c>
      <c r="D475" s="39" t="str">
        <f>IF('PRISM REPORT'!$B475&lt;&gt;"",'PRISM REPORT'!D475,"")</f>
        <v/>
      </c>
      <c r="E475" s="40" t="str">
        <f>IF('PRISM REPORT'!$B475&lt;&gt;"",'RAW DATA'!F475,"")</f>
        <v/>
      </c>
      <c r="F475" s="40" t="str">
        <f>IF('PRISM REPORT'!$B475&lt;&gt;"",IF('PRISM REPORT'!E475&lt;&gt;"",IF('PRISM REPORT'!E475&gt;0,'PRISM REPORT'!E475,0),0),"")</f>
        <v/>
      </c>
      <c r="G475" s="40" t="str">
        <f t="shared" si="14"/>
        <v/>
      </c>
      <c r="I475" s="40" t="str">
        <f t="shared" si="15"/>
        <v/>
      </c>
    </row>
    <row r="476" spans="2:9" x14ac:dyDescent="0.25">
      <c r="B476" s="39" t="str">
        <f>IF('PRISM REPORT'!$B476&lt;&gt;"",'PRISM REPORT'!B476,"")</f>
        <v/>
      </c>
      <c r="C476" s="39" t="str">
        <f>IF('PRISM REPORT'!$B476&lt;&gt;"",'PRISM REPORT'!C476,"")</f>
        <v/>
      </c>
      <c r="D476" s="39" t="str">
        <f>IF('PRISM REPORT'!$B476&lt;&gt;"",'PRISM REPORT'!D476,"")</f>
        <v/>
      </c>
      <c r="E476" s="40" t="str">
        <f>IF('PRISM REPORT'!$B476&lt;&gt;"",'RAW DATA'!F476,"")</f>
        <v/>
      </c>
      <c r="F476" s="40" t="str">
        <f>IF('PRISM REPORT'!$B476&lt;&gt;"",IF('PRISM REPORT'!E476&lt;&gt;"",IF('PRISM REPORT'!E476&gt;0,'PRISM REPORT'!E476,0),0),"")</f>
        <v/>
      </c>
      <c r="G476" s="40" t="str">
        <f t="shared" si="14"/>
        <v/>
      </c>
      <c r="I476" s="40" t="str">
        <f t="shared" si="15"/>
        <v/>
      </c>
    </row>
    <row r="477" spans="2:9" x14ac:dyDescent="0.25">
      <c r="B477" s="39" t="str">
        <f>IF('PRISM REPORT'!$B477&lt;&gt;"",'PRISM REPORT'!B477,"")</f>
        <v/>
      </c>
      <c r="C477" s="39" t="str">
        <f>IF('PRISM REPORT'!$B477&lt;&gt;"",'PRISM REPORT'!C477,"")</f>
        <v/>
      </c>
      <c r="D477" s="39" t="str">
        <f>IF('PRISM REPORT'!$B477&lt;&gt;"",'PRISM REPORT'!D477,"")</f>
        <v/>
      </c>
      <c r="E477" s="40" t="str">
        <f>IF('PRISM REPORT'!$B477&lt;&gt;"",'RAW DATA'!F477,"")</f>
        <v/>
      </c>
      <c r="F477" s="40" t="str">
        <f>IF('PRISM REPORT'!$B477&lt;&gt;"",IF('PRISM REPORT'!E477&lt;&gt;"",IF('PRISM REPORT'!E477&gt;0,'PRISM REPORT'!E477,0),0),"")</f>
        <v/>
      </c>
      <c r="G477" s="40" t="str">
        <f t="shared" si="14"/>
        <v/>
      </c>
      <c r="I477" s="40" t="str">
        <f t="shared" si="15"/>
        <v/>
      </c>
    </row>
    <row r="478" spans="2:9" x14ac:dyDescent="0.25">
      <c r="B478" s="39" t="str">
        <f>IF('PRISM REPORT'!$B478&lt;&gt;"",'PRISM REPORT'!B478,"")</f>
        <v/>
      </c>
      <c r="C478" s="39" t="str">
        <f>IF('PRISM REPORT'!$B478&lt;&gt;"",'PRISM REPORT'!C478,"")</f>
        <v/>
      </c>
      <c r="D478" s="39" t="str">
        <f>IF('PRISM REPORT'!$B478&lt;&gt;"",'PRISM REPORT'!D478,"")</f>
        <v/>
      </c>
      <c r="E478" s="40" t="str">
        <f>IF('PRISM REPORT'!$B478&lt;&gt;"",'RAW DATA'!F478,"")</f>
        <v/>
      </c>
      <c r="F478" s="40" t="str">
        <f>IF('PRISM REPORT'!$B478&lt;&gt;"",IF('PRISM REPORT'!E478&lt;&gt;"",IF('PRISM REPORT'!E478&gt;0,'PRISM REPORT'!E478,0),0),"")</f>
        <v/>
      </c>
      <c r="G478" s="40" t="str">
        <f t="shared" si="14"/>
        <v/>
      </c>
      <c r="I478" s="40" t="str">
        <f t="shared" si="15"/>
        <v/>
      </c>
    </row>
    <row r="479" spans="2:9" x14ac:dyDescent="0.25">
      <c r="B479" s="39" t="str">
        <f>IF('PRISM REPORT'!$B479&lt;&gt;"",'PRISM REPORT'!B479,"")</f>
        <v/>
      </c>
      <c r="C479" s="39" t="str">
        <f>IF('PRISM REPORT'!$B479&lt;&gt;"",'PRISM REPORT'!C479,"")</f>
        <v/>
      </c>
      <c r="D479" s="39" t="str">
        <f>IF('PRISM REPORT'!$B479&lt;&gt;"",'PRISM REPORT'!D479,"")</f>
        <v/>
      </c>
      <c r="E479" s="40" t="str">
        <f>IF('PRISM REPORT'!$B479&lt;&gt;"",'RAW DATA'!F479,"")</f>
        <v/>
      </c>
      <c r="F479" s="40" t="str">
        <f>IF('PRISM REPORT'!$B479&lt;&gt;"",IF('PRISM REPORT'!E479&lt;&gt;"",IF('PRISM REPORT'!E479&gt;0,'PRISM REPORT'!E479,0),0),"")</f>
        <v/>
      </c>
      <c r="G479" s="40" t="str">
        <f t="shared" si="14"/>
        <v/>
      </c>
      <c r="I479" s="40" t="str">
        <f t="shared" si="15"/>
        <v/>
      </c>
    </row>
    <row r="480" spans="2:9" x14ac:dyDescent="0.25">
      <c r="B480" s="39" t="str">
        <f>IF('PRISM REPORT'!$B480&lt;&gt;"",'PRISM REPORT'!B480,"")</f>
        <v/>
      </c>
      <c r="C480" s="39" t="str">
        <f>IF('PRISM REPORT'!$B480&lt;&gt;"",'PRISM REPORT'!C480,"")</f>
        <v/>
      </c>
      <c r="D480" s="39" t="str">
        <f>IF('PRISM REPORT'!$B480&lt;&gt;"",'PRISM REPORT'!D480,"")</f>
        <v/>
      </c>
      <c r="E480" s="40" t="str">
        <f>IF('PRISM REPORT'!$B480&lt;&gt;"",'RAW DATA'!F480,"")</f>
        <v/>
      </c>
      <c r="F480" s="40" t="str">
        <f>IF('PRISM REPORT'!$B480&lt;&gt;"",IF('PRISM REPORT'!E480&lt;&gt;"",IF('PRISM REPORT'!E480&gt;0,'PRISM REPORT'!E480,0),0),"")</f>
        <v/>
      </c>
      <c r="G480" s="40" t="str">
        <f t="shared" si="14"/>
        <v/>
      </c>
      <c r="I480" s="40" t="str">
        <f t="shared" si="15"/>
        <v/>
      </c>
    </row>
    <row r="481" spans="2:9" x14ac:dyDescent="0.25">
      <c r="B481" s="39" t="str">
        <f>IF('PRISM REPORT'!$B481&lt;&gt;"",'PRISM REPORT'!B481,"")</f>
        <v/>
      </c>
      <c r="C481" s="39" t="str">
        <f>IF('PRISM REPORT'!$B481&lt;&gt;"",'PRISM REPORT'!C481,"")</f>
        <v/>
      </c>
      <c r="D481" s="39" t="str">
        <f>IF('PRISM REPORT'!$B481&lt;&gt;"",'PRISM REPORT'!D481,"")</f>
        <v/>
      </c>
      <c r="E481" s="40" t="str">
        <f>IF('PRISM REPORT'!$B481&lt;&gt;"",'RAW DATA'!F481,"")</f>
        <v/>
      </c>
      <c r="F481" s="40" t="str">
        <f>IF('PRISM REPORT'!$B481&lt;&gt;"",IF('PRISM REPORT'!E481&lt;&gt;"",IF('PRISM REPORT'!E481&gt;0,'PRISM REPORT'!E481,0),0),"")</f>
        <v/>
      </c>
      <c r="G481" s="40" t="str">
        <f t="shared" si="14"/>
        <v/>
      </c>
      <c r="I481" s="40" t="str">
        <f t="shared" si="15"/>
        <v/>
      </c>
    </row>
    <row r="482" spans="2:9" x14ac:dyDescent="0.25">
      <c r="B482" s="39" t="str">
        <f>IF('PRISM REPORT'!$B482&lt;&gt;"",'PRISM REPORT'!B482,"")</f>
        <v/>
      </c>
      <c r="C482" s="39" t="str">
        <f>IF('PRISM REPORT'!$B482&lt;&gt;"",'PRISM REPORT'!C482,"")</f>
        <v/>
      </c>
      <c r="D482" s="39" t="str">
        <f>IF('PRISM REPORT'!$B482&lt;&gt;"",'PRISM REPORT'!D482,"")</f>
        <v/>
      </c>
      <c r="E482" s="40" t="str">
        <f>IF('PRISM REPORT'!$B482&lt;&gt;"",'RAW DATA'!F482,"")</f>
        <v/>
      </c>
      <c r="F482" s="40" t="str">
        <f>IF('PRISM REPORT'!$B482&lt;&gt;"",IF('PRISM REPORT'!E482&lt;&gt;"",IF('PRISM REPORT'!E482&gt;0,'PRISM REPORT'!E482,0),0),"")</f>
        <v/>
      </c>
      <c r="G482" s="40" t="str">
        <f t="shared" si="14"/>
        <v/>
      </c>
      <c r="I482" s="40" t="str">
        <f t="shared" si="15"/>
        <v/>
      </c>
    </row>
    <row r="483" spans="2:9" x14ac:dyDescent="0.25">
      <c r="B483" s="39" t="str">
        <f>IF('PRISM REPORT'!$B483&lt;&gt;"",'PRISM REPORT'!B483,"")</f>
        <v/>
      </c>
      <c r="C483" s="39" t="str">
        <f>IF('PRISM REPORT'!$B483&lt;&gt;"",'PRISM REPORT'!C483,"")</f>
        <v/>
      </c>
      <c r="D483" s="39" t="str">
        <f>IF('PRISM REPORT'!$B483&lt;&gt;"",'PRISM REPORT'!D483,"")</f>
        <v/>
      </c>
      <c r="E483" s="40" t="str">
        <f>IF('PRISM REPORT'!$B483&lt;&gt;"",'RAW DATA'!F483,"")</f>
        <v/>
      </c>
      <c r="F483" s="40" t="str">
        <f>IF('PRISM REPORT'!$B483&lt;&gt;"",IF('PRISM REPORT'!E483&lt;&gt;"",IF('PRISM REPORT'!E483&gt;0,'PRISM REPORT'!E483,0),0),"")</f>
        <v/>
      </c>
      <c r="G483" s="40" t="str">
        <f t="shared" si="14"/>
        <v/>
      </c>
      <c r="I483" s="40" t="str">
        <f t="shared" si="15"/>
        <v/>
      </c>
    </row>
    <row r="484" spans="2:9" x14ac:dyDescent="0.25">
      <c r="B484" s="39" t="str">
        <f>IF('PRISM REPORT'!$B484&lt;&gt;"",'PRISM REPORT'!B484,"")</f>
        <v/>
      </c>
      <c r="C484" s="39" t="str">
        <f>IF('PRISM REPORT'!$B484&lt;&gt;"",'PRISM REPORT'!C484,"")</f>
        <v/>
      </c>
      <c r="D484" s="39" t="str">
        <f>IF('PRISM REPORT'!$B484&lt;&gt;"",'PRISM REPORT'!D484,"")</f>
        <v/>
      </c>
      <c r="E484" s="40" t="str">
        <f>IF('PRISM REPORT'!$B484&lt;&gt;"",'RAW DATA'!F484,"")</f>
        <v/>
      </c>
      <c r="F484" s="40" t="str">
        <f>IF('PRISM REPORT'!$B484&lt;&gt;"",IF('PRISM REPORT'!E484&lt;&gt;"",IF('PRISM REPORT'!E484&gt;0,'PRISM REPORT'!E484,0),0),"")</f>
        <v/>
      </c>
      <c r="G484" s="40" t="str">
        <f t="shared" si="14"/>
        <v/>
      </c>
      <c r="I484" s="40" t="str">
        <f t="shared" si="15"/>
        <v/>
      </c>
    </row>
    <row r="485" spans="2:9" x14ac:dyDescent="0.25">
      <c r="B485" s="39" t="str">
        <f>IF('PRISM REPORT'!$B485&lt;&gt;"",'PRISM REPORT'!B485,"")</f>
        <v/>
      </c>
      <c r="C485" s="39" t="str">
        <f>IF('PRISM REPORT'!$B485&lt;&gt;"",'PRISM REPORT'!C485,"")</f>
        <v/>
      </c>
      <c r="D485" s="39" t="str">
        <f>IF('PRISM REPORT'!$B485&lt;&gt;"",'PRISM REPORT'!D485,"")</f>
        <v/>
      </c>
      <c r="E485" s="40" t="str">
        <f>IF('PRISM REPORT'!$B485&lt;&gt;"",'RAW DATA'!F485,"")</f>
        <v/>
      </c>
      <c r="F485" s="40" t="str">
        <f>IF('PRISM REPORT'!$B485&lt;&gt;"",IF('PRISM REPORT'!E485&lt;&gt;"",IF('PRISM REPORT'!E485&gt;0,'PRISM REPORT'!E485,0),0),"")</f>
        <v/>
      </c>
      <c r="G485" s="40" t="str">
        <f t="shared" si="14"/>
        <v/>
      </c>
      <c r="I485" s="40" t="str">
        <f t="shared" si="15"/>
        <v/>
      </c>
    </row>
    <row r="486" spans="2:9" x14ac:dyDescent="0.25">
      <c r="B486" s="39" t="str">
        <f>IF('PRISM REPORT'!$B486&lt;&gt;"",'PRISM REPORT'!B486,"")</f>
        <v/>
      </c>
      <c r="C486" s="39" t="str">
        <f>IF('PRISM REPORT'!$B486&lt;&gt;"",'PRISM REPORT'!C486,"")</f>
        <v/>
      </c>
      <c r="D486" s="39" t="str">
        <f>IF('PRISM REPORT'!$B486&lt;&gt;"",'PRISM REPORT'!D486,"")</f>
        <v/>
      </c>
      <c r="E486" s="40" t="str">
        <f>IF('PRISM REPORT'!$B486&lt;&gt;"",'RAW DATA'!F486,"")</f>
        <v/>
      </c>
      <c r="F486" s="40" t="str">
        <f>IF('PRISM REPORT'!$B486&lt;&gt;"",IF('PRISM REPORT'!E486&lt;&gt;"",IF('PRISM REPORT'!E486&gt;0,'PRISM REPORT'!E486,0),0),"")</f>
        <v/>
      </c>
      <c r="G486" s="40" t="str">
        <f t="shared" si="14"/>
        <v/>
      </c>
      <c r="I486" s="40" t="str">
        <f t="shared" si="15"/>
        <v/>
      </c>
    </row>
    <row r="487" spans="2:9" x14ac:dyDescent="0.25">
      <c r="B487" s="39" t="str">
        <f>IF('PRISM REPORT'!$B487&lt;&gt;"",'PRISM REPORT'!B487,"")</f>
        <v/>
      </c>
      <c r="C487" s="39" t="str">
        <f>IF('PRISM REPORT'!$B487&lt;&gt;"",'PRISM REPORT'!C487,"")</f>
        <v/>
      </c>
      <c r="D487" s="39" t="str">
        <f>IF('PRISM REPORT'!$B487&lt;&gt;"",'PRISM REPORT'!D487,"")</f>
        <v/>
      </c>
      <c r="E487" s="40" t="str">
        <f>IF('PRISM REPORT'!$B487&lt;&gt;"",'RAW DATA'!F487,"")</f>
        <v/>
      </c>
      <c r="F487" s="40" t="str">
        <f>IF('PRISM REPORT'!$B487&lt;&gt;"",IF('PRISM REPORT'!E487&lt;&gt;"",IF('PRISM REPORT'!E487&gt;0,'PRISM REPORT'!E487,0),0),"")</f>
        <v/>
      </c>
      <c r="G487" s="40" t="str">
        <f t="shared" si="14"/>
        <v/>
      </c>
      <c r="I487" s="40" t="str">
        <f t="shared" si="15"/>
        <v/>
      </c>
    </row>
    <row r="488" spans="2:9" x14ac:dyDescent="0.25">
      <c r="B488" s="39" t="str">
        <f>IF('PRISM REPORT'!$B488&lt;&gt;"",'PRISM REPORT'!B488,"")</f>
        <v/>
      </c>
      <c r="C488" s="39" t="str">
        <f>IF('PRISM REPORT'!$B488&lt;&gt;"",'PRISM REPORT'!C488,"")</f>
        <v/>
      </c>
      <c r="D488" s="39" t="str">
        <f>IF('PRISM REPORT'!$B488&lt;&gt;"",'PRISM REPORT'!D488,"")</f>
        <v/>
      </c>
      <c r="E488" s="40" t="str">
        <f>IF('PRISM REPORT'!$B488&lt;&gt;"",'RAW DATA'!F488,"")</f>
        <v/>
      </c>
      <c r="F488" s="40" t="str">
        <f>IF('PRISM REPORT'!$B488&lt;&gt;"",IF('PRISM REPORT'!E488&lt;&gt;"",IF('PRISM REPORT'!E488&gt;0,'PRISM REPORT'!E488,0),0),"")</f>
        <v/>
      </c>
      <c r="G488" s="40" t="str">
        <f t="shared" si="14"/>
        <v/>
      </c>
      <c r="I488" s="40" t="str">
        <f t="shared" si="15"/>
        <v/>
      </c>
    </row>
    <row r="489" spans="2:9" x14ac:dyDescent="0.25">
      <c r="B489" s="39" t="str">
        <f>IF('PRISM REPORT'!$B489&lt;&gt;"",'PRISM REPORT'!B489,"")</f>
        <v/>
      </c>
      <c r="C489" s="39" t="str">
        <f>IF('PRISM REPORT'!$B489&lt;&gt;"",'PRISM REPORT'!C489,"")</f>
        <v/>
      </c>
      <c r="D489" s="39" t="str">
        <f>IF('PRISM REPORT'!$B489&lt;&gt;"",'PRISM REPORT'!D489,"")</f>
        <v/>
      </c>
      <c r="E489" s="40" t="str">
        <f>IF('PRISM REPORT'!$B489&lt;&gt;"",'RAW DATA'!F489,"")</f>
        <v/>
      </c>
      <c r="F489" s="40" t="str">
        <f>IF('PRISM REPORT'!$B489&lt;&gt;"",IF('PRISM REPORT'!E489&lt;&gt;"",IF('PRISM REPORT'!E489&gt;0,'PRISM REPORT'!E489,0),0),"")</f>
        <v/>
      </c>
      <c r="G489" s="40" t="str">
        <f t="shared" si="14"/>
        <v/>
      </c>
      <c r="I489" s="40" t="str">
        <f t="shared" si="15"/>
        <v/>
      </c>
    </row>
    <row r="490" spans="2:9" x14ac:dyDescent="0.25">
      <c r="B490" s="39" t="str">
        <f>IF('PRISM REPORT'!$B490&lt;&gt;"",'PRISM REPORT'!B490,"")</f>
        <v/>
      </c>
      <c r="C490" s="39" t="str">
        <f>IF('PRISM REPORT'!$B490&lt;&gt;"",'PRISM REPORT'!C490,"")</f>
        <v/>
      </c>
      <c r="D490" s="39" t="str">
        <f>IF('PRISM REPORT'!$B490&lt;&gt;"",'PRISM REPORT'!D490,"")</f>
        <v/>
      </c>
      <c r="E490" s="40" t="str">
        <f>IF('PRISM REPORT'!$B490&lt;&gt;"",'RAW DATA'!F490,"")</f>
        <v/>
      </c>
      <c r="F490" s="40" t="str">
        <f>IF('PRISM REPORT'!$B490&lt;&gt;"",IF('PRISM REPORT'!E490&lt;&gt;"",IF('PRISM REPORT'!E490&gt;0,'PRISM REPORT'!E490,0),0),"")</f>
        <v/>
      </c>
      <c r="G490" s="40" t="str">
        <f t="shared" si="14"/>
        <v/>
      </c>
      <c r="I490" s="40" t="str">
        <f t="shared" si="15"/>
        <v/>
      </c>
    </row>
    <row r="491" spans="2:9" x14ac:dyDescent="0.25">
      <c r="B491" s="39" t="str">
        <f>IF('PRISM REPORT'!$B491&lt;&gt;"",'PRISM REPORT'!B491,"")</f>
        <v/>
      </c>
      <c r="C491" s="39" t="str">
        <f>IF('PRISM REPORT'!$B491&lt;&gt;"",'PRISM REPORT'!C491,"")</f>
        <v/>
      </c>
      <c r="D491" s="39" t="str">
        <f>IF('PRISM REPORT'!$B491&lt;&gt;"",'PRISM REPORT'!D491,"")</f>
        <v/>
      </c>
      <c r="E491" s="40" t="str">
        <f>IF('PRISM REPORT'!$B491&lt;&gt;"",'RAW DATA'!F491,"")</f>
        <v/>
      </c>
      <c r="F491" s="40" t="str">
        <f>IF('PRISM REPORT'!$B491&lt;&gt;"",IF('PRISM REPORT'!E491&lt;&gt;"",IF('PRISM REPORT'!E491&gt;0,'PRISM REPORT'!E491,0),0),"")</f>
        <v/>
      </c>
      <c r="G491" s="40" t="str">
        <f t="shared" si="14"/>
        <v/>
      </c>
      <c r="I491" s="40" t="str">
        <f t="shared" si="15"/>
        <v/>
      </c>
    </row>
    <row r="492" spans="2:9" x14ac:dyDescent="0.25">
      <c r="B492" s="39" t="str">
        <f>IF('PRISM REPORT'!$B492&lt;&gt;"",'PRISM REPORT'!B492,"")</f>
        <v/>
      </c>
      <c r="C492" s="39" t="str">
        <f>IF('PRISM REPORT'!$B492&lt;&gt;"",'PRISM REPORT'!C492,"")</f>
        <v/>
      </c>
      <c r="D492" s="39" t="str">
        <f>IF('PRISM REPORT'!$B492&lt;&gt;"",'PRISM REPORT'!D492,"")</f>
        <v/>
      </c>
      <c r="E492" s="40" t="str">
        <f>IF('PRISM REPORT'!$B492&lt;&gt;"",'RAW DATA'!F492,"")</f>
        <v/>
      </c>
      <c r="F492" s="40" t="str">
        <f>IF('PRISM REPORT'!$B492&lt;&gt;"",IF('PRISM REPORT'!E492&lt;&gt;"",IF('PRISM REPORT'!E492&gt;0,'PRISM REPORT'!E492,0),0),"")</f>
        <v/>
      </c>
      <c r="G492" s="40" t="str">
        <f t="shared" si="14"/>
        <v/>
      </c>
      <c r="I492" s="40" t="str">
        <f t="shared" si="15"/>
        <v/>
      </c>
    </row>
    <row r="493" spans="2:9" x14ac:dyDescent="0.25">
      <c r="B493" s="39" t="str">
        <f>IF('PRISM REPORT'!$B493&lt;&gt;"",'PRISM REPORT'!B493,"")</f>
        <v/>
      </c>
      <c r="C493" s="39" t="str">
        <f>IF('PRISM REPORT'!$B493&lt;&gt;"",'PRISM REPORT'!C493,"")</f>
        <v/>
      </c>
      <c r="D493" s="39" t="str">
        <f>IF('PRISM REPORT'!$B493&lt;&gt;"",'PRISM REPORT'!D493,"")</f>
        <v/>
      </c>
      <c r="E493" s="40" t="str">
        <f>IF('PRISM REPORT'!$B493&lt;&gt;"",'RAW DATA'!F493,"")</f>
        <v/>
      </c>
      <c r="F493" s="40" t="str">
        <f>IF('PRISM REPORT'!$B493&lt;&gt;"",IF('PRISM REPORT'!E493&lt;&gt;"",IF('PRISM REPORT'!E493&gt;0,'PRISM REPORT'!E493,0),0),"")</f>
        <v/>
      </c>
      <c r="G493" s="40" t="str">
        <f t="shared" si="14"/>
        <v/>
      </c>
      <c r="I493" s="40" t="str">
        <f t="shared" si="15"/>
        <v/>
      </c>
    </row>
    <row r="494" spans="2:9" x14ac:dyDescent="0.25">
      <c r="B494" s="39" t="str">
        <f>IF('PRISM REPORT'!$B494&lt;&gt;"",'PRISM REPORT'!B494,"")</f>
        <v/>
      </c>
      <c r="C494" s="39" t="str">
        <f>IF('PRISM REPORT'!$B494&lt;&gt;"",'PRISM REPORT'!C494,"")</f>
        <v/>
      </c>
      <c r="D494" s="39" t="str">
        <f>IF('PRISM REPORT'!$B494&lt;&gt;"",'PRISM REPORT'!D494,"")</f>
        <v/>
      </c>
      <c r="E494" s="40" t="str">
        <f>IF('PRISM REPORT'!$B494&lt;&gt;"",'RAW DATA'!F494,"")</f>
        <v/>
      </c>
      <c r="F494" s="40" t="str">
        <f>IF('PRISM REPORT'!$B494&lt;&gt;"",IF('PRISM REPORT'!E494&lt;&gt;"",IF('PRISM REPORT'!E494&gt;0,'PRISM REPORT'!E494,0),0),"")</f>
        <v/>
      </c>
      <c r="G494" s="40" t="str">
        <f t="shared" si="14"/>
        <v/>
      </c>
      <c r="I494" s="40" t="str">
        <f t="shared" si="15"/>
        <v/>
      </c>
    </row>
    <row r="495" spans="2:9" x14ac:dyDescent="0.25">
      <c r="B495" s="39" t="str">
        <f>IF('PRISM REPORT'!$B495&lt;&gt;"",'PRISM REPORT'!B495,"")</f>
        <v/>
      </c>
      <c r="C495" s="39" t="str">
        <f>IF('PRISM REPORT'!$B495&lt;&gt;"",'PRISM REPORT'!C495,"")</f>
        <v/>
      </c>
      <c r="D495" s="39" t="str">
        <f>IF('PRISM REPORT'!$B495&lt;&gt;"",'PRISM REPORT'!D495,"")</f>
        <v/>
      </c>
      <c r="E495" s="40" t="str">
        <f>IF('PRISM REPORT'!$B495&lt;&gt;"",'RAW DATA'!F495,"")</f>
        <v/>
      </c>
      <c r="F495" s="40" t="str">
        <f>IF('PRISM REPORT'!$B495&lt;&gt;"",IF('PRISM REPORT'!E495&lt;&gt;"",IF('PRISM REPORT'!E495&gt;0,'PRISM REPORT'!E495,0),0),"")</f>
        <v/>
      </c>
      <c r="G495" s="40" t="str">
        <f t="shared" si="14"/>
        <v/>
      </c>
      <c r="I495" s="40" t="str">
        <f t="shared" si="15"/>
        <v/>
      </c>
    </row>
    <row r="496" spans="2:9" x14ac:dyDescent="0.25">
      <c r="B496" s="39" t="str">
        <f>IF('PRISM REPORT'!$B496&lt;&gt;"",'PRISM REPORT'!B496,"")</f>
        <v/>
      </c>
      <c r="C496" s="39" t="str">
        <f>IF('PRISM REPORT'!$B496&lt;&gt;"",'PRISM REPORT'!C496,"")</f>
        <v/>
      </c>
      <c r="D496" s="39" t="str">
        <f>IF('PRISM REPORT'!$B496&lt;&gt;"",'PRISM REPORT'!D496,"")</f>
        <v/>
      </c>
      <c r="E496" s="40" t="str">
        <f>IF('PRISM REPORT'!$B496&lt;&gt;"",'RAW DATA'!F496,"")</f>
        <v/>
      </c>
      <c r="F496" s="40" t="str">
        <f>IF('PRISM REPORT'!$B496&lt;&gt;"",IF('PRISM REPORT'!E496&lt;&gt;"",IF('PRISM REPORT'!E496&gt;0,'PRISM REPORT'!E496,0),0),"")</f>
        <v/>
      </c>
      <c r="G496" s="40" t="str">
        <f t="shared" si="14"/>
        <v/>
      </c>
      <c r="I496" s="40" t="str">
        <f t="shared" si="15"/>
        <v/>
      </c>
    </row>
    <row r="497" spans="2:9" x14ac:dyDescent="0.25">
      <c r="B497" s="39" t="str">
        <f>IF('PRISM REPORT'!$B497&lt;&gt;"",'PRISM REPORT'!B497,"")</f>
        <v/>
      </c>
      <c r="C497" s="39" t="str">
        <f>IF('PRISM REPORT'!$B497&lt;&gt;"",'PRISM REPORT'!C497,"")</f>
        <v/>
      </c>
      <c r="D497" s="39" t="str">
        <f>IF('PRISM REPORT'!$B497&lt;&gt;"",'PRISM REPORT'!D497,"")</f>
        <v/>
      </c>
      <c r="E497" s="40" t="str">
        <f>IF('PRISM REPORT'!$B497&lt;&gt;"",'RAW DATA'!F497,"")</f>
        <v/>
      </c>
      <c r="F497" s="40" t="str">
        <f>IF('PRISM REPORT'!$B497&lt;&gt;"",IF('PRISM REPORT'!E497&lt;&gt;"",IF('PRISM REPORT'!E497&gt;0,'PRISM REPORT'!E497,0),0),"")</f>
        <v/>
      </c>
      <c r="G497" s="40" t="str">
        <f t="shared" si="14"/>
        <v/>
      </c>
      <c r="I497" s="40" t="str">
        <f t="shared" si="15"/>
        <v/>
      </c>
    </row>
    <row r="498" spans="2:9" x14ac:dyDescent="0.25">
      <c r="B498" s="39" t="str">
        <f>IF('PRISM REPORT'!$B498&lt;&gt;"",'PRISM REPORT'!B498,"")</f>
        <v/>
      </c>
      <c r="C498" s="39" t="str">
        <f>IF('PRISM REPORT'!$B498&lt;&gt;"",'PRISM REPORT'!C498,"")</f>
        <v/>
      </c>
      <c r="D498" s="39" t="str">
        <f>IF('PRISM REPORT'!$B498&lt;&gt;"",'PRISM REPORT'!D498,"")</f>
        <v/>
      </c>
      <c r="E498" s="40" t="str">
        <f>IF('PRISM REPORT'!$B498&lt;&gt;"",'RAW DATA'!F498,"")</f>
        <v/>
      </c>
      <c r="F498" s="40" t="str">
        <f>IF('PRISM REPORT'!$B498&lt;&gt;"",IF('PRISM REPORT'!E498&lt;&gt;"",IF('PRISM REPORT'!E498&gt;0,'PRISM REPORT'!E498,0),0),"")</f>
        <v/>
      </c>
      <c r="G498" s="40" t="str">
        <f t="shared" si="14"/>
        <v/>
      </c>
      <c r="I498" s="40" t="str">
        <f t="shared" si="15"/>
        <v/>
      </c>
    </row>
    <row r="499" spans="2:9" x14ac:dyDescent="0.25">
      <c r="B499" s="39" t="str">
        <f>IF('PRISM REPORT'!$B499&lt;&gt;"",'PRISM REPORT'!B499,"")</f>
        <v/>
      </c>
      <c r="C499" s="39" t="str">
        <f>IF('PRISM REPORT'!$B499&lt;&gt;"",'PRISM REPORT'!C499,"")</f>
        <v/>
      </c>
      <c r="D499" s="39" t="str">
        <f>IF('PRISM REPORT'!$B499&lt;&gt;"",'PRISM REPORT'!D499,"")</f>
        <v/>
      </c>
      <c r="E499" s="40" t="str">
        <f>IF('PRISM REPORT'!$B499&lt;&gt;"",'RAW DATA'!F499,"")</f>
        <v/>
      </c>
      <c r="F499" s="40" t="str">
        <f>IF('PRISM REPORT'!$B499&lt;&gt;"",IF('PRISM REPORT'!E499&lt;&gt;"",IF('PRISM REPORT'!E499&gt;0,'PRISM REPORT'!E499,0),0),"")</f>
        <v/>
      </c>
      <c r="G499" s="40" t="str">
        <f t="shared" si="14"/>
        <v/>
      </c>
      <c r="I499" s="40" t="str">
        <f t="shared" si="15"/>
        <v/>
      </c>
    </row>
  </sheetData>
  <mergeCells count="1">
    <mergeCell ref="B2:J2"/>
  </mergeCells>
  <conditionalFormatting sqref="H4:H499">
    <cfRule type="expression" dxfId="23" priority="9">
      <formula>AND($H4&gt;0,$H4&lt;&gt;"")</formula>
    </cfRule>
  </conditionalFormatting>
  <conditionalFormatting sqref="G4:G499">
    <cfRule type="expression" dxfId="22" priority="10">
      <formula>AND($G4&gt;49,$G4&lt;&gt;"")</formula>
    </cfRule>
  </conditionalFormatting>
  <dataValidations count="1">
    <dataValidation type="list" allowBlank="1" showInputMessage="1" showErrorMessage="1" sqref="H4:H499">
      <formula1>"1,2,3,4"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73E97109-55B3-4E58-9B78-B4BDC09B1A80}">
            <xm:f>'RAW DATA'!$G4&lt;&gt;""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B4:J499</xm:sqref>
        </x14:conditionalFormatting>
        <x14:conditionalFormatting xmlns:xm="http://schemas.microsoft.com/office/excel/2006/main">
          <x14:cfRule type="expression" priority="14" id="{0BCA4340-49F4-42E4-B012-7548D797A413}">
            <xm:f>AND('RAW DATA'!$H4=1,'RAW DATA'!$B4&lt;&gt;"")</xm:f>
            <x14:dxf>
              <fill>
                <patternFill>
                  <bgColor theme="6" tint="0.79998168889431442"/>
                </patternFill>
              </fill>
            </x14:dxf>
          </x14:cfRule>
          <x14:cfRule type="expression" priority="16" id="{CED1C6A0-3D36-4BF6-928F-BB3635D2D84D}">
            <xm:f>AND('RAW DATA'!$H4=2,'RAW DATA'!$B4&lt;&gt;"")</xm:f>
            <x14:dxf>
              <fill>
                <patternFill>
                  <bgColor theme="4" tint="0.79998168889431442"/>
                </patternFill>
              </fill>
            </x14:dxf>
          </x14:cfRule>
          <x14:cfRule type="expression" priority="17" id="{B455A4EE-C3F2-4677-ABCD-DDFF7809418A}">
            <xm:f>AND('RAW DATA'!$H4=3,'RAW DATA'!$B4&lt;&gt;"")</xm:f>
            <x14:dxf>
              <fill>
                <patternFill>
                  <bgColor theme="7" tint="0.79998168889431442"/>
                </patternFill>
              </fill>
            </x14:dxf>
          </x14:cfRule>
          <xm:sqref>B4:D499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499"/>
  <sheetViews>
    <sheetView zoomScaleNormal="100" workbookViewId="0">
      <selection activeCell="B2" sqref="B2:G2"/>
    </sheetView>
  </sheetViews>
  <sheetFormatPr defaultRowHeight="15" x14ac:dyDescent="0.25"/>
  <cols>
    <col min="1" max="1" width="9.140625" style="36"/>
    <col min="2" max="4" width="25.7109375" style="39" customWidth="1"/>
    <col min="5" max="5" width="20.7109375" style="38" customWidth="1"/>
    <col min="6" max="6" width="20.7109375" style="40" customWidth="1"/>
    <col min="7" max="7" width="30.7109375" style="38" customWidth="1"/>
    <col min="8" max="16384" width="9.140625" style="36"/>
  </cols>
  <sheetData>
    <row r="1" spans="2:7" ht="15" customHeight="1" x14ac:dyDescent="0.25">
      <c r="E1" s="37"/>
    </row>
    <row r="2" spans="2:7" ht="30" customHeight="1" x14ac:dyDescent="0.25">
      <c r="B2" s="48">
        <f>'RAW DATA'!C3</f>
        <v>0</v>
      </c>
      <c r="C2" s="49"/>
      <c r="D2" s="49"/>
      <c r="E2" s="49"/>
      <c r="F2" s="49"/>
      <c r="G2" s="50"/>
    </row>
    <row r="3" spans="2:7" ht="35.1" customHeight="1" x14ac:dyDescent="0.25">
      <c r="B3" s="46" t="s">
        <v>21</v>
      </c>
      <c r="C3" s="46" t="s">
        <v>22</v>
      </c>
      <c r="D3" s="47" t="s">
        <v>23</v>
      </c>
      <c r="E3" s="45" t="s">
        <v>25</v>
      </c>
      <c r="F3" s="43" t="s">
        <v>27</v>
      </c>
      <c r="G3" s="43" t="s">
        <v>26</v>
      </c>
    </row>
    <row r="4" spans="2:7" x14ac:dyDescent="0.25">
      <c r="B4" s="39" t="str">
        <f>IF('VISA CARDS (LIBRI CSV)'!$B4&lt;&gt;"",'VISA CARDS (LIBRI CSV)'!B4,"")</f>
        <v/>
      </c>
      <c r="C4" s="39" t="str">
        <f>IF('VISA CARDS (LIBRI CSV)'!$B4&lt;&gt;"",'VISA CARDS (LIBRI CSV)'!C4,"")</f>
        <v/>
      </c>
      <c r="D4" s="39" t="str">
        <f>IF('VISA CARDS (LIBRI CSV)'!$B4&lt;&gt;"",'VISA CARDS (LIBRI CSV)'!D4,"")</f>
        <v/>
      </c>
      <c r="E4" s="40" t="str">
        <f>IF('VISA CARDS (LIBRI CSV)'!$H4&lt;&gt;"",'VISA CARDS (LIBRI CSV)'!H4,"")</f>
        <v/>
      </c>
    </row>
    <row r="5" spans="2:7" x14ac:dyDescent="0.25">
      <c r="B5" s="39" t="str">
        <f>IF('VISA CARDS (LIBRI CSV)'!$B5&lt;&gt;"",'VISA CARDS (LIBRI CSV)'!B5,"")</f>
        <v/>
      </c>
      <c r="C5" s="39" t="str">
        <f>IF('VISA CARDS (LIBRI CSV)'!$B5&lt;&gt;"",'VISA CARDS (LIBRI CSV)'!C5,"")</f>
        <v/>
      </c>
      <c r="D5" s="39" t="str">
        <f>IF('VISA CARDS (LIBRI CSV)'!$B5&lt;&gt;"",'VISA CARDS (LIBRI CSV)'!D5,"")</f>
        <v/>
      </c>
      <c r="E5" s="40" t="str">
        <f>IF('VISA CARDS (LIBRI CSV)'!$H5&lt;&gt;"",'VISA CARDS (LIBRI CSV)'!H5,"")</f>
        <v/>
      </c>
    </row>
    <row r="6" spans="2:7" x14ac:dyDescent="0.25">
      <c r="B6" s="39" t="str">
        <f>IF('VISA CARDS (LIBRI CSV)'!$B6&lt;&gt;"",'VISA CARDS (LIBRI CSV)'!B6,"")</f>
        <v/>
      </c>
      <c r="C6" s="39" t="str">
        <f>IF('VISA CARDS (LIBRI CSV)'!$B6&lt;&gt;"",'VISA CARDS (LIBRI CSV)'!C6,"")</f>
        <v/>
      </c>
      <c r="D6" s="39" t="str">
        <f>IF('VISA CARDS (LIBRI CSV)'!$B6&lt;&gt;"",'VISA CARDS (LIBRI CSV)'!D6,"")</f>
        <v/>
      </c>
      <c r="E6" s="40" t="str">
        <f>IF('VISA CARDS (LIBRI CSV)'!$H6&lt;&gt;"",'VISA CARDS (LIBRI CSV)'!H6,"")</f>
        <v/>
      </c>
    </row>
    <row r="7" spans="2:7" x14ac:dyDescent="0.25">
      <c r="B7" s="39" t="str">
        <f>IF('VISA CARDS (LIBRI CSV)'!$B7&lt;&gt;"",'VISA CARDS (LIBRI CSV)'!B7,"")</f>
        <v/>
      </c>
      <c r="C7" s="39" t="str">
        <f>IF('VISA CARDS (LIBRI CSV)'!$B7&lt;&gt;"",'VISA CARDS (LIBRI CSV)'!C7,"")</f>
        <v/>
      </c>
      <c r="D7" s="39" t="str">
        <f>IF('VISA CARDS (LIBRI CSV)'!$B7&lt;&gt;"",'VISA CARDS (LIBRI CSV)'!D7,"")</f>
        <v/>
      </c>
      <c r="E7" s="40" t="str">
        <f>IF('VISA CARDS (LIBRI CSV)'!$H7&lt;&gt;"",'VISA CARDS (LIBRI CSV)'!H7,"")</f>
        <v/>
      </c>
    </row>
    <row r="8" spans="2:7" x14ac:dyDescent="0.25">
      <c r="B8" s="39" t="str">
        <f>IF('VISA CARDS (LIBRI CSV)'!$B8&lt;&gt;"",'VISA CARDS (LIBRI CSV)'!B8,"")</f>
        <v/>
      </c>
      <c r="C8" s="39" t="str">
        <f>IF('VISA CARDS (LIBRI CSV)'!$B8&lt;&gt;"",'VISA CARDS (LIBRI CSV)'!C8,"")</f>
        <v/>
      </c>
      <c r="D8" s="39" t="str">
        <f>IF('VISA CARDS (LIBRI CSV)'!$B8&lt;&gt;"",'VISA CARDS (LIBRI CSV)'!D8,"")</f>
        <v/>
      </c>
      <c r="E8" s="40" t="str">
        <f>IF('VISA CARDS (LIBRI CSV)'!$H8&lt;&gt;"",'VISA CARDS (LIBRI CSV)'!H8,"")</f>
        <v/>
      </c>
    </row>
    <row r="9" spans="2:7" x14ac:dyDescent="0.25">
      <c r="B9" s="39" t="str">
        <f>IF('VISA CARDS (LIBRI CSV)'!$B9&lt;&gt;"",'VISA CARDS (LIBRI CSV)'!B9,"")</f>
        <v/>
      </c>
      <c r="C9" s="39" t="str">
        <f>IF('VISA CARDS (LIBRI CSV)'!$B9&lt;&gt;"",'VISA CARDS (LIBRI CSV)'!C9,"")</f>
        <v/>
      </c>
      <c r="D9" s="39" t="str">
        <f>IF('VISA CARDS (LIBRI CSV)'!$B9&lt;&gt;"",'VISA CARDS (LIBRI CSV)'!D9,"")</f>
        <v/>
      </c>
      <c r="E9" s="40" t="str">
        <f>IF('VISA CARDS (LIBRI CSV)'!$H9&lt;&gt;"",'VISA CARDS (LIBRI CSV)'!H9,"")</f>
        <v/>
      </c>
    </row>
    <row r="10" spans="2:7" x14ac:dyDescent="0.25">
      <c r="B10" s="39" t="str">
        <f>IF('VISA CARDS (LIBRI CSV)'!$B10&lt;&gt;"",'VISA CARDS (LIBRI CSV)'!B10,"")</f>
        <v/>
      </c>
      <c r="C10" s="39" t="str">
        <f>IF('VISA CARDS (LIBRI CSV)'!$B10&lt;&gt;"",'VISA CARDS (LIBRI CSV)'!C10,"")</f>
        <v/>
      </c>
      <c r="D10" s="39" t="str">
        <f>IF('VISA CARDS (LIBRI CSV)'!$B10&lt;&gt;"",'VISA CARDS (LIBRI CSV)'!D10,"")</f>
        <v/>
      </c>
      <c r="E10" s="40" t="str">
        <f>IF('VISA CARDS (LIBRI CSV)'!$H10&lt;&gt;"",'VISA CARDS (LIBRI CSV)'!H10,"")</f>
        <v/>
      </c>
    </row>
    <row r="11" spans="2:7" x14ac:dyDescent="0.25">
      <c r="B11" s="39" t="str">
        <f>IF('VISA CARDS (LIBRI CSV)'!$B11&lt;&gt;"",'VISA CARDS (LIBRI CSV)'!B11,"")</f>
        <v/>
      </c>
      <c r="C11" s="39" t="str">
        <f>IF('VISA CARDS (LIBRI CSV)'!$B11&lt;&gt;"",'VISA CARDS (LIBRI CSV)'!C11,"")</f>
        <v/>
      </c>
      <c r="D11" s="39" t="str">
        <f>IF('VISA CARDS (LIBRI CSV)'!$B11&lt;&gt;"",'VISA CARDS (LIBRI CSV)'!D11,"")</f>
        <v/>
      </c>
      <c r="E11" s="40" t="str">
        <f>IF('VISA CARDS (LIBRI CSV)'!$H11&lt;&gt;"",'VISA CARDS (LIBRI CSV)'!H11,"")</f>
        <v/>
      </c>
    </row>
    <row r="12" spans="2:7" x14ac:dyDescent="0.25">
      <c r="B12" s="39" t="str">
        <f>IF('VISA CARDS (LIBRI CSV)'!$B12&lt;&gt;"",'VISA CARDS (LIBRI CSV)'!B12,"")</f>
        <v/>
      </c>
      <c r="C12" s="39" t="str">
        <f>IF('VISA CARDS (LIBRI CSV)'!$B12&lt;&gt;"",'VISA CARDS (LIBRI CSV)'!C12,"")</f>
        <v/>
      </c>
      <c r="D12" s="39" t="str">
        <f>IF('VISA CARDS (LIBRI CSV)'!$B12&lt;&gt;"",'VISA CARDS (LIBRI CSV)'!D12,"")</f>
        <v/>
      </c>
      <c r="E12" s="40" t="str">
        <f>IF('VISA CARDS (LIBRI CSV)'!$H12&lt;&gt;"",'VISA CARDS (LIBRI CSV)'!H12,"")</f>
        <v/>
      </c>
    </row>
    <row r="13" spans="2:7" x14ac:dyDescent="0.25">
      <c r="B13" s="39" t="str">
        <f>IF('VISA CARDS (LIBRI CSV)'!$B13&lt;&gt;"",'VISA CARDS (LIBRI CSV)'!B13,"")</f>
        <v/>
      </c>
      <c r="C13" s="39" t="str">
        <f>IF('VISA CARDS (LIBRI CSV)'!$B13&lt;&gt;"",'VISA CARDS (LIBRI CSV)'!C13,"")</f>
        <v/>
      </c>
      <c r="D13" s="39" t="str">
        <f>IF('VISA CARDS (LIBRI CSV)'!$B13&lt;&gt;"",'VISA CARDS (LIBRI CSV)'!D13,"")</f>
        <v/>
      </c>
      <c r="E13" s="40" t="str">
        <f>IF('VISA CARDS (LIBRI CSV)'!$H13&lt;&gt;"",'VISA CARDS (LIBRI CSV)'!H13,"")</f>
        <v/>
      </c>
    </row>
    <row r="14" spans="2:7" x14ac:dyDescent="0.25">
      <c r="B14" s="39" t="str">
        <f>IF('VISA CARDS (LIBRI CSV)'!$B14&lt;&gt;"",'VISA CARDS (LIBRI CSV)'!B14,"")</f>
        <v/>
      </c>
      <c r="C14" s="39" t="str">
        <f>IF('VISA CARDS (LIBRI CSV)'!$B14&lt;&gt;"",'VISA CARDS (LIBRI CSV)'!C14,"")</f>
        <v/>
      </c>
      <c r="D14" s="39" t="str">
        <f>IF('VISA CARDS (LIBRI CSV)'!$B14&lt;&gt;"",'VISA CARDS (LIBRI CSV)'!D14,"")</f>
        <v/>
      </c>
      <c r="E14" s="40" t="str">
        <f>IF('VISA CARDS (LIBRI CSV)'!$H14&lt;&gt;"",'VISA CARDS (LIBRI CSV)'!H14,"")</f>
        <v/>
      </c>
    </row>
    <row r="15" spans="2:7" x14ac:dyDescent="0.25">
      <c r="B15" s="39" t="str">
        <f>IF('VISA CARDS (LIBRI CSV)'!$B15&lt;&gt;"",'VISA CARDS (LIBRI CSV)'!B15,"")</f>
        <v/>
      </c>
      <c r="C15" s="39" t="str">
        <f>IF('VISA CARDS (LIBRI CSV)'!$B15&lt;&gt;"",'VISA CARDS (LIBRI CSV)'!C15,"")</f>
        <v/>
      </c>
      <c r="D15" s="39" t="str">
        <f>IF('VISA CARDS (LIBRI CSV)'!$B15&lt;&gt;"",'VISA CARDS (LIBRI CSV)'!D15,"")</f>
        <v/>
      </c>
      <c r="E15" s="40" t="str">
        <f>IF('VISA CARDS (LIBRI CSV)'!$H15&lt;&gt;"",'VISA CARDS (LIBRI CSV)'!H15,"")</f>
        <v/>
      </c>
    </row>
    <row r="16" spans="2:7" x14ac:dyDescent="0.25">
      <c r="B16" s="39" t="str">
        <f>IF('VISA CARDS (LIBRI CSV)'!$B16&lt;&gt;"",'VISA CARDS (LIBRI CSV)'!B16,"")</f>
        <v/>
      </c>
      <c r="C16" s="39" t="str">
        <f>IF('VISA CARDS (LIBRI CSV)'!$B16&lt;&gt;"",'VISA CARDS (LIBRI CSV)'!C16,"")</f>
        <v/>
      </c>
      <c r="D16" s="39" t="str">
        <f>IF('VISA CARDS (LIBRI CSV)'!$B16&lt;&gt;"",'VISA CARDS (LIBRI CSV)'!D16,"")</f>
        <v/>
      </c>
      <c r="E16" s="40" t="str">
        <f>IF('VISA CARDS (LIBRI CSV)'!$H16&lt;&gt;"",'VISA CARDS (LIBRI CSV)'!H16,"")</f>
        <v/>
      </c>
    </row>
    <row r="17" spans="2:5" x14ac:dyDescent="0.25">
      <c r="B17" s="39" t="str">
        <f>IF('VISA CARDS (LIBRI CSV)'!$B17&lt;&gt;"",'VISA CARDS (LIBRI CSV)'!B17,"")</f>
        <v/>
      </c>
      <c r="C17" s="39" t="str">
        <f>IF('VISA CARDS (LIBRI CSV)'!$B17&lt;&gt;"",'VISA CARDS (LIBRI CSV)'!C17,"")</f>
        <v/>
      </c>
      <c r="D17" s="39" t="str">
        <f>IF('VISA CARDS (LIBRI CSV)'!$B17&lt;&gt;"",'VISA CARDS (LIBRI CSV)'!D17,"")</f>
        <v/>
      </c>
      <c r="E17" s="40" t="str">
        <f>IF('VISA CARDS (LIBRI CSV)'!$H17&lt;&gt;"",'VISA CARDS (LIBRI CSV)'!H17,"")</f>
        <v/>
      </c>
    </row>
    <row r="18" spans="2:5" x14ac:dyDescent="0.25">
      <c r="B18" s="39" t="str">
        <f>IF('VISA CARDS (LIBRI CSV)'!$B18&lt;&gt;"",'VISA CARDS (LIBRI CSV)'!B18,"")</f>
        <v/>
      </c>
      <c r="C18" s="39" t="str">
        <f>IF('VISA CARDS (LIBRI CSV)'!$B18&lt;&gt;"",'VISA CARDS (LIBRI CSV)'!C18,"")</f>
        <v/>
      </c>
      <c r="D18" s="39" t="str">
        <f>IF('VISA CARDS (LIBRI CSV)'!$B18&lt;&gt;"",'VISA CARDS (LIBRI CSV)'!D18,"")</f>
        <v/>
      </c>
      <c r="E18" s="40" t="str">
        <f>IF('VISA CARDS (LIBRI CSV)'!$H18&lt;&gt;"",'VISA CARDS (LIBRI CSV)'!H18,"")</f>
        <v/>
      </c>
    </row>
    <row r="19" spans="2:5" x14ac:dyDescent="0.25">
      <c r="B19" s="39" t="str">
        <f>IF('VISA CARDS (LIBRI CSV)'!$B19&lt;&gt;"",'VISA CARDS (LIBRI CSV)'!B19,"")</f>
        <v/>
      </c>
      <c r="C19" s="39" t="str">
        <f>IF('VISA CARDS (LIBRI CSV)'!$B19&lt;&gt;"",'VISA CARDS (LIBRI CSV)'!C19,"")</f>
        <v/>
      </c>
      <c r="D19" s="39" t="str">
        <f>IF('VISA CARDS (LIBRI CSV)'!$B19&lt;&gt;"",'VISA CARDS (LIBRI CSV)'!D19,"")</f>
        <v/>
      </c>
      <c r="E19" s="40" t="str">
        <f>IF('VISA CARDS (LIBRI CSV)'!$H19&lt;&gt;"",'VISA CARDS (LIBRI CSV)'!H19,"")</f>
        <v/>
      </c>
    </row>
    <row r="20" spans="2:5" x14ac:dyDescent="0.25">
      <c r="B20" s="39" t="str">
        <f>IF('VISA CARDS (LIBRI CSV)'!$B20&lt;&gt;"",'VISA CARDS (LIBRI CSV)'!B20,"")</f>
        <v/>
      </c>
      <c r="C20" s="39" t="str">
        <f>IF('VISA CARDS (LIBRI CSV)'!$B20&lt;&gt;"",'VISA CARDS (LIBRI CSV)'!C20,"")</f>
        <v/>
      </c>
      <c r="D20" s="39" t="str">
        <f>IF('VISA CARDS (LIBRI CSV)'!$B20&lt;&gt;"",'VISA CARDS (LIBRI CSV)'!D20,"")</f>
        <v/>
      </c>
      <c r="E20" s="40" t="str">
        <f>IF('VISA CARDS (LIBRI CSV)'!$H20&lt;&gt;"",'VISA CARDS (LIBRI CSV)'!H20,"")</f>
        <v/>
      </c>
    </row>
    <row r="21" spans="2:5" x14ac:dyDescent="0.25">
      <c r="B21" s="39" t="str">
        <f>IF('VISA CARDS (LIBRI CSV)'!$B21&lt;&gt;"",'VISA CARDS (LIBRI CSV)'!B21,"")</f>
        <v/>
      </c>
      <c r="C21" s="39" t="str">
        <f>IF('VISA CARDS (LIBRI CSV)'!$B21&lt;&gt;"",'VISA CARDS (LIBRI CSV)'!C21,"")</f>
        <v/>
      </c>
      <c r="D21" s="39" t="str">
        <f>IF('VISA CARDS (LIBRI CSV)'!$B21&lt;&gt;"",'VISA CARDS (LIBRI CSV)'!D21,"")</f>
        <v/>
      </c>
      <c r="E21" s="40" t="str">
        <f>IF('VISA CARDS (LIBRI CSV)'!$H21&lt;&gt;"",'VISA CARDS (LIBRI CSV)'!H21,"")</f>
        <v/>
      </c>
    </row>
    <row r="22" spans="2:5" x14ac:dyDescent="0.25">
      <c r="B22" s="39" t="str">
        <f>IF('VISA CARDS (LIBRI CSV)'!$B22&lt;&gt;"",'VISA CARDS (LIBRI CSV)'!B22,"")</f>
        <v/>
      </c>
      <c r="C22" s="39" t="str">
        <f>IF('VISA CARDS (LIBRI CSV)'!$B22&lt;&gt;"",'VISA CARDS (LIBRI CSV)'!C22,"")</f>
        <v/>
      </c>
      <c r="D22" s="39" t="str">
        <f>IF('VISA CARDS (LIBRI CSV)'!$B22&lt;&gt;"",'VISA CARDS (LIBRI CSV)'!D22,"")</f>
        <v/>
      </c>
      <c r="E22" s="40" t="str">
        <f>IF('VISA CARDS (LIBRI CSV)'!$H22&lt;&gt;"",'VISA CARDS (LIBRI CSV)'!H22,"")</f>
        <v/>
      </c>
    </row>
    <row r="23" spans="2:5" x14ac:dyDescent="0.25">
      <c r="B23" s="39" t="str">
        <f>IF('VISA CARDS (LIBRI CSV)'!$B23&lt;&gt;"",'VISA CARDS (LIBRI CSV)'!B23,"")</f>
        <v/>
      </c>
      <c r="C23" s="39" t="str">
        <f>IF('VISA CARDS (LIBRI CSV)'!$B23&lt;&gt;"",'VISA CARDS (LIBRI CSV)'!C23,"")</f>
        <v/>
      </c>
      <c r="D23" s="39" t="str">
        <f>IF('VISA CARDS (LIBRI CSV)'!$B23&lt;&gt;"",'VISA CARDS (LIBRI CSV)'!D23,"")</f>
        <v/>
      </c>
      <c r="E23" s="40" t="str">
        <f>IF('VISA CARDS (LIBRI CSV)'!$H23&lt;&gt;"",'VISA CARDS (LIBRI CSV)'!H23,"")</f>
        <v/>
      </c>
    </row>
    <row r="24" spans="2:5" x14ac:dyDescent="0.25">
      <c r="B24" s="39" t="str">
        <f>IF('VISA CARDS (LIBRI CSV)'!$B24&lt;&gt;"",'VISA CARDS (LIBRI CSV)'!B24,"")</f>
        <v/>
      </c>
      <c r="C24" s="39" t="str">
        <f>IF('VISA CARDS (LIBRI CSV)'!$B24&lt;&gt;"",'VISA CARDS (LIBRI CSV)'!C24,"")</f>
        <v/>
      </c>
      <c r="D24" s="39" t="str">
        <f>IF('VISA CARDS (LIBRI CSV)'!$B24&lt;&gt;"",'VISA CARDS (LIBRI CSV)'!D24,"")</f>
        <v/>
      </c>
      <c r="E24" s="40" t="str">
        <f>IF('VISA CARDS (LIBRI CSV)'!$H24&lt;&gt;"",'VISA CARDS (LIBRI CSV)'!H24,"")</f>
        <v/>
      </c>
    </row>
    <row r="25" spans="2:5" x14ac:dyDescent="0.25">
      <c r="B25" s="39" t="str">
        <f>IF('VISA CARDS (LIBRI CSV)'!$B25&lt;&gt;"",'VISA CARDS (LIBRI CSV)'!B25,"")</f>
        <v/>
      </c>
      <c r="C25" s="39" t="str">
        <f>IF('VISA CARDS (LIBRI CSV)'!$B25&lt;&gt;"",'VISA CARDS (LIBRI CSV)'!C25,"")</f>
        <v/>
      </c>
      <c r="D25" s="39" t="str">
        <f>IF('VISA CARDS (LIBRI CSV)'!$B25&lt;&gt;"",'VISA CARDS (LIBRI CSV)'!D25,"")</f>
        <v/>
      </c>
      <c r="E25" s="40" t="str">
        <f>IF('VISA CARDS (LIBRI CSV)'!$H25&lt;&gt;"",'VISA CARDS (LIBRI CSV)'!H25,"")</f>
        <v/>
      </c>
    </row>
    <row r="26" spans="2:5" x14ac:dyDescent="0.25">
      <c r="B26" s="39" t="str">
        <f>IF('VISA CARDS (LIBRI CSV)'!$B26&lt;&gt;"",'VISA CARDS (LIBRI CSV)'!B26,"")</f>
        <v/>
      </c>
      <c r="C26" s="39" t="str">
        <f>IF('VISA CARDS (LIBRI CSV)'!$B26&lt;&gt;"",'VISA CARDS (LIBRI CSV)'!C26,"")</f>
        <v/>
      </c>
      <c r="D26" s="39" t="str">
        <f>IF('VISA CARDS (LIBRI CSV)'!$B26&lt;&gt;"",'VISA CARDS (LIBRI CSV)'!D26,"")</f>
        <v/>
      </c>
      <c r="E26" s="40" t="str">
        <f>IF('VISA CARDS (LIBRI CSV)'!$H26&lt;&gt;"",'VISA CARDS (LIBRI CSV)'!H26,"")</f>
        <v/>
      </c>
    </row>
    <row r="27" spans="2:5" x14ac:dyDescent="0.25">
      <c r="B27" s="39" t="str">
        <f>IF('VISA CARDS (LIBRI CSV)'!$B27&lt;&gt;"",'VISA CARDS (LIBRI CSV)'!B27,"")</f>
        <v/>
      </c>
      <c r="C27" s="39" t="str">
        <f>IF('VISA CARDS (LIBRI CSV)'!$B27&lt;&gt;"",'VISA CARDS (LIBRI CSV)'!C27,"")</f>
        <v/>
      </c>
      <c r="D27" s="39" t="str">
        <f>IF('VISA CARDS (LIBRI CSV)'!$B27&lt;&gt;"",'VISA CARDS (LIBRI CSV)'!D27,"")</f>
        <v/>
      </c>
      <c r="E27" s="40" t="str">
        <f>IF('VISA CARDS (LIBRI CSV)'!$H27&lt;&gt;"",'VISA CARDS (LIBRI CSV)'!H27,"")</f>
        <v/>
      </c>
    </row>
    <row r="28" spans="2:5" x14ac:dyDescent="0.25">
      <c r="B28" s="39" t="str">
        <f>IF('VISA CARDS (LIBRI CSV)'!$B28&lt;&gt;"",'VISA CARDS (LIBRI CSV)'!B28,"")</f>
        <v/>
      </c>
      <c r="C28" s="39" t="str">
        <f>IF('VISA CARDS (LIBRI CSV)'!$B28&lt;&gt;"",'VISA CARDS (LIBRI CSV)'!C28,"")</f>
        <v/>
      </c>
      <c r="D28" s="39" t="str">
        <f>IF('VISA CARDS (LIBRI CSV)'!$B28&lt;&gt;"",'VISA CARDS (LIBRI CSV)'!D28,"")</f>
        <v/>
      </c>
      <c r="E28" s="40" t="str">
        <f>IF('VISA CARDS (LIBRI CSV)'!$H28&lt;&gt;"",'VISA CARDS (LIBRI CSV)'!H28,"")</f>
        <v/>
      </c>
    </row>
    <row r="29" spans="2:5" x14ac:dyDescent="0.25">
      <c r="B29" s="39" t="str">
        <f>IF('VISA CARDS (LIBRI CSV)'!$B29&lt;&gt;"",'VISA CARDS (LIBRI CSV)'!B29,"")</f>
        <v/>
      </c>
      <c r="C29" s="39" t="str">
        <f>IF('VISA CARDS (LIBRI CSV)'!$B29&lt;&gt;"",'VISA CARDS (LIBRI CSV)'!C29,"")</f>
        <v/>
      </c>
      <c r="D29" s="39" t="str">
        <f>IF('VISA CARDS (LIBRI CSV)'!$B29&lt;&gt;"",'VISA CARDS (LIBRI CSV)'!D29,"")</f>
        <v/>
      </c>
      <c r="E29" s="40" t="str">
        <f>IF('VISA CARDS (LIBRI CSV)'!$H29&lt;&gt;"",'VISA CARDS (LIBRI CSV)'!H29,"")</f>
        <v/>
      </c>
    </row>
    <row r="30" spans="2:5" x14ac:dyDescent="0.25">
      <c r="B30" s="39" t="str">
        <f>IF('VISA CARDS (LIBRI CSV)'!$B30&lt;&gt;"",'VISA CARDS (LIBRI CSV)'!B30,"")</f>
        <v/>
      </c>
      <c r="C30" s="39" t="str">
        <f>IF('VISA CARDS (LIBRI CSV)'!$B30&lt;&gt;"",'VISA CARDS (LIBRI CSV)'!C30,"")</f>
        <v/>
      </c>
      <c r="D30" s="39" t="str">
        <f>IF('VISA CARDS (LIBRI CSV)'!$B30&lt;&gt;"",'VISA CARDS (LIBRI CSV)'!D30,"")</f>
        <v/>
      </c>
      <c r="E30" s="40" t="str">
        <f>IF('VISA CARDS (LIBRI CSV)'!$H30&lt;&gt;"",'VISA CARDS (LIBRI CSV)'!H30,"")</f>
        <v/>
      </c>
    </row>
    <row r="31" spans="2:5" x14ac:dyDescent="0.25">
      <c r="B31" s="39" t="str">
        <f>IF('VISA CARDS (LIBRI CSV)'!$B31&lt;&gt;"",'VISA CARDS (LIBRI CSV)'!B31,"")</f>
        <v/>
      </c>
      <c r="C31" s="39" t="str">
        <f>IF('VISA CARDS (LIBRI CSV)'!$B31&lt;&gt;"",'VISA CARDS (LIBRI CSV)'!C31,"")</f>
        <v/>
      </c>
      <c r="D31" s="39" t="str">
        <f>IF('VISA CARDS (LIBRI CSV)'!$B31&lt;&gt;"",'VISA CARDS (LIBRI CSV)'!D31,"")</f>
        <v/>
      </c>
      <c r="E31" s="40" t="str">
        <f>IF('VISA CARDS (LIBRI CSV)'!$H31&lt;&gt;"",'VISA CARDS (LIBRI CSV)'!H31,"")</f>
        <v/>
      </c>
    </row>
    <row r="32" spans="2:5" x14ac:dyDescent="0.25">
      <c r="B32" s="39" t="str">
        <f>IF('VISA CARDS (LIBRI CSV)'!$B32&lt;&gt;"",'VISA CARDS (LIBRI CSV)'!B32,"")</f>
        <v/>
      </c>
      <c r="C32" s="39" t="str">
        <f>IF('VISA CARDS (LIBRI CSV)'!$B32&lt;&gt;"",'VISA CARDS (LIBRI CSV)'!C32,"")</f>
        <v/>
      </c>
      <c r="D32" s="39" t="str">
        <f>IF('VISA CARDS (LIBRI CSV)'!$B32&lt;&gt;"",'VISA CARDS (LIBRI CSV)'!D32,"")</f>
        <v/>
      </c>
      <c r="E32" s="40" t="str">
        <f>IF('VISA CARDS (LIBRI CSV)'!$H32&lt;&gt;"",'VISA CARDS (LIBRI CSV)'!H32,"")</f>
        <v/>
      </c>
    </row>
    <row r="33" spans="2:5" x14ac:dyDescent="0.25">
      <c r="B33" s="39" t="str">
        <f>IF('VISA CARDS (LIBRI CSV)'!$B33&lt;&gt;"",'VISA CARDS (LIBRI CSV)'!B33,"")</f>
        <v/>
      </c>
      <c r="C33" s="39" t="str">
        <f>IF('VISA CARDS (LIBRI CSV)'!$B33&lt;&gt;"",'VISA CARDS (LIBRI CSV)'!C33,"")</f>
        <v/>
      </c>
      <c r="D33" s="39" t="str">
        <f>IF('VISA CARDS (LIBRI CSV)'!$B33&lt;&gt;"",'VISA CARDS (LIBRI CSV)'!D33,"")</f>
        <v/>
      </c>
      <c r="E33" s="40" t="str">
        <f>IF('VISA CARDS (LIBRI CSV)'!$H33&lt;&gt;"",'VISA CARDS (LIBRI CSV)'!H33,"")</f>
        <v/>
      </c>
    </row>
    <row r="34" spans="2:5" x14ac:dyDescent="0.25">
      <c r="B34" s="39" t="str">
        <f>IF('VISA CARDS (LIBRI CSV)'!$B34&lt;&gt;"",'VISA CARDS (LIBRI CSV)'!B34,"")</f>
        <v/>
      </c>
      <c r="C34" s="39" t="str">
        <f>IF('VISA CARDS (LIBRI CSV)'!$B34&lt;&gt;"",'VISA CARDS (LIBRI CSV)'!C34,"")</f>
        <v/>
      </c>
      <c r="D34" s="39" t="str">
        <f>IF('VISA CARDS (LIBRI CSV)'!$B34&lt;&gt;"",'VISA CARDS (LIBRI CSV)'!D34,"")</f>
        <v/>
      </c>
      <c r="E34" s="40" t="str">
        <f>IF('VISA CARDS (LIBRI CSV)'!$H34&lt;&gt;"",'VISA CARDS (LIBRI CSV)'!H34,"")</f>
        <v/>
      </c>
    </row>
    <row r="35" spans="2:5" x14ac:dyDescent="0.25">
      <c r="B35" s="39" t="str">
        <f>IF('VISA CARDS (LIBRI CSV)'!$B35&lt;&gt;"",'VISA CARDS (LIBRI CSV)'!B35,"")</f>
        <v/>
      </c>
      <c r="C35" s="39" t="str">
        <f>IF('VISA CARDS (LIBRI CSV)'!$B35&lt;&gt;"",'VISA CARDS (LIBRI CSV)'!C35,"")</f>
        <v/>
      </c>
      <c r="D35" s="39" t="str">
        <f>IF('VISA CARDS (LIBRI CSV)'!$B35&lt;&gt;"",'VISA CARDS (LIBRI CSV)'!D35,"")</f>
        <v/>
      </c>
      <c r="E35" s="40" t="str">
        <f>IF('VISA CARDS (LIBRI CSV)'!$H35&lt;&gt;"",'VISA CARDS (LIBRI CSV)'!H35,"")</f>
        <v/>
      </c>
    </row>
    <row r="36" spans="2:5" x14ac:dyDescent="0.25">
      <c r="B36" s="39" t="str">
        <f>IF('VISA CARDS (LIBRI CSV)'!$B36&lt;&gt;"",'VISA CARDS (LIBRI CSV)'!B36,"")</f>
        <v/>
      </c>
      <c r="C36" s="39" t="str">
        <f>IF('VISA CARDS (LIBRI CSV)'!$B36&lt;&gt;"",'VISA CARDS (LIBRI CSV)'!C36,"")</f>
        <v/>
      </c>
      <c r="D36" s="39" t="str">
        <f>IF('VISA CARDS (LIBRI CSV)'!$B36&lt;&gt;"",'VISA CARDS (LIBRI CSV)'!D36,"")</f>
        <v/>
      </c>
      <c r="E36" s="40" t="str">
        <f>IF('VISA CARDS (LIBRI CSV)'!$H36&lt;&gt;"",'VISA CARDS (LIBRI CSV)'!H36,"")</f>
        <v/>
      </c>
    </row>
    <row r="37" spans="2:5" x14ac:dyDescent="0.25">
      <c r="B37" s="39" t="str">
        <f>IF('VISA CARDS (LIBRI CSV)'!$B37&lt;&gt;"",'VISA CARDS (LIBRI CSV)'!B37,"")</f>
        <v/>
      </c>
      <c r="C37" s="39" t="str">
        <f>IF('VISA CARDS (LIBRI CSV)'!$B37&lt;&gt;"",'VISA CARDS (LIBRI CSV)'!C37,"")</f>
        <v/>
      </c>
      <c r="D37" s="39" t="str">
        <f>IF('VISA CARDS (LIBRI CSV)'!$B37&lt;&gt;"",'VISA CARDS (LIBRI CSV)'!D37,"")</f>
        <v/>
      </c>
      <c r="E37" s="40" t="str">
        <f>IF('VISA CARDS (LIBRI CSV)'!$H37&lt;&gt;"",'VISA CARDS (LIBRI CSV)'!H37,"")</f>
        <v/>
      </c>
    </row>
    <row r="38" spans="2:5" x14ac:dyDescent="0.25">
      <c r="B38" s="39" t="str">
        <f>IF('VISA CARDS (LIBRI CSV)'!$B38&lt;&gt;"",'VISA CARDS (LIBRI CSV)'!B38,"")</f>
        <v/>
      </c>
      <c r="C38" s="39" t="str">
        <f>IF('VISA CARDS (LIBRI CSV)'!$B38&lt;&gt;"",'VISA CARDS (LIBRI CSV)'!C38,"")</f>
        <v/>
      </c>
      <c r="D38" s="39" t="str">
        <f>IF('VISA CARDS (LIBRI CSV)'!$B38&lt;&gt;"",'VISA CARDS (LIBRI CSV)'!D38,"")</f>
        <v/>
      </c>
      <c r="E38" s="40" t="str">
        <f>IF('VISA CARDS (LIBRI CSV)'!$H38&lt;&gt;"",'VISA CARDS (LIBRI CSV)'!H38,"")</f>
        <v/>
      </c>
    </row>
    <row r="39" spans="2:5" x14ac:dyDescent="0.25">
      <c r="B39" s="39" t="str">
        <f>IF('VISA CARDS (LIBRI CSV)'!$B39&lt;&gt;"",'VISA CARDS (LIBRI CSV)'!B39,"")</f>
        <v/>
      </c>
      <c r="C39" s="39" t="str">
        <f>IF('VISA CARDS (LIBRI CSV)'!$B39&lt;&gt;"",'VISA CARDS (LIBRI CSV)'!C39,"")</f>
        <v/>
      </c>
      <c r="D39" s="39" t="str">
        <f>IF('VISA CARDS (LIBRI CSV)'!$B39&lt;&gt;"",'VISA CARDS (LIBRI CSV)'!D39,"")</f>
        <v/>
      </c>
      <c r="E39" s="40" t="str">
        <f>IF('VISA CARDS (LIBRI CSV)'!$H39&lt;&gt;"",'VISA CARDS (LIBRI CSV)'!H39,"")</f>
        <v/>
      </c>
    </row>
    <row r="40" spans="2:5" x14ac:dyDescent="0.25">
      <c r="B40" s="39" t="str">
        <f>IF('VISA CARDS (LIBRI CSV)'!$B40&lt;&gt;"",'VISA CARDS (LIBRI CSV)'!B40,"")</f>
        <v/>
      </c>
      <c r="C40" s="39" t="str">
        <f>IF('VISA CARDS (LIBRI CSV)'!$B40&lt;&gt;"",'VISA CARDS (LIBRI CSV)'!C40,"")</f>
        <v/>
      </c>
      <c r="D40" s="39" t="str">
        <f>IF('VISA CARDS (LIBRI CSV)'!$B40&lt;&gt;"",'VISA CARDS (LIBRI CSV)'!D40,"")</f>
        <v/>
      </c>
      <c r="E40" s="40" t="str">
        <f>IF('VISA CARDS (LIBRI CSV)'!$H40&lt;&gt;"",'VISA CARDS (LIBRI CSV)'!H40,"")</f>
        <v/>
      </c>
    </row>
    <row r="41" spans="2:5" x14ac:dyDescent="0.25">
      <c r="B41" s="39" t="str">
        <f>IF('VISA CARDS (LIBRI CSV)'!$B41&lt;&gt;"",'VISA CARDS (LIBRI CSV)'!B41,"")</f>
        <v/>
      </c>
      <c r="C41" s="39" t="str">
        <f>IF('VISA CARDS (LIBRI CSV)'!$B41&lt;&gt;"",'VISA CARDS (LIBRI CSV)'!C41,"")</f>
        <v/>
      </c>
      <c r="D41" s="39" t="str">
        <f>IF('VISA CARDS (LIBRI CSV)'!$B41&lt;&gt;"",'VISA CARDS (LIBRI CSV)'!D41,"")</f>
        <v/>
      </c>
      <c r="E41" s="40" t="str">
        <f>IF('VISA CARDS (LIBRI CSV)'!$H41&lt;&gt;"",'VISA CARDS (LIBRI CSV)'!H41,"")</f>
        <v/>
      </c>
    </row>
    <row r="42" spans="2:5" x14ac:dyDescent="0.25">
      <c r="B42" s="39" t="str">
        <f>IF('VISA CARDS (LIBRI CSV)'!$B42&lt;&gt;"",'VISA CARDS (LIBRI CSV)'!B42,"")</f>
        <v/>
      </c>
      <c r="C42" s="39" t="str">
        <f>IF('VISA CARDS (LIBRI CSV)'!$B42&lt;&gt;"",'VISA CARDS (LIBRI CSV)'!C42,"")</f>
        <v/>
      </c>
      <c r="D42" s="39" t="str">
        <f>IF('VISA CARDS (LIBRI CSV)'!$B42&lt;&gt;"",'VISA CARDS (LIBRI CSV)'!D42,"")</f>
        <v/>
      </c>
      <c r="E42" s="40" t="str">
        <f>IF('VISA CARDS (LIBRI CSV)'!$H42&lt;&gt;"",'VISA CARDS (LIBRI CSV)'!H42,"")</f>
        <v/>
      </c>
    </row>
    <row r="43" spans="2:5" x14ac:dyDescent="0.25">
      <c r="B43" s="39" t="str">
        <f>IF('VISA CARDS (LIBRI CSV)'!$B43&lt;&gt;"",'VISA CARDS (LIBRI CSV)'!B43,"")</f>
        <v/>
      </c>
      <c r="C43" s="39" t="str">
        <f>IF('VISA CARDS (LIBRI CSV)'!$B43&lt;&gt;"",'VISA CARDS (LIBRI CSV)'!C43,"")</f>
        <v/>
      </c>
      <c r="D43" s="39" t="str">
        <f>IF('VISA CARDS (LIBRI CSV)'!$B43&lt;&gt;"",'VISA CARDS (LIBRI CSV)'!D43,"")</f>
        <v/>
      </c>
      <c r="E43" s="40" t="str">
        <f>IF('VISA CARDS (LIBRI CSV)'!$H43&lt;&gt;"",'VISA CARDS (LIBRI CSV)'!H43,"")</f>
        <v/>
      </c>
    </row>
    <row r="44" spans="2:5" x14ac:dyDescent="0.25">
      <c r="B44" s="39" t="str">
        <f>IF('VISA CARDS (LIBRI CSV)'!$B44&lt;&gt;"",'VISA CARDS (LIBRI CSV)'!B44,"")</f>
        <v/>
      </c>
      <c r="C44" s="39" t="str">
        <f>IF('VISA CARDS (LIBRI CSV)'!$B44&lt;&gt;"",'VISA CARDS (LIBRI CSV)'!C44,"")</f>
        <v/>
      </c>
      <c r="D44" s="39" t="str">
        <f>IF('VISA CARDS (LIBRI CSV)'!$B44&lt;&gt;"",'VISA CARDS (LIBRI CSV)'!D44,"")</f>
        <v/>
      </c>
      <c r="E44" s="40" t="str">
        <f>IF('VISA CARDS (LIBRI CSV)'!$H44&lt;&gt;"",'VISA CARDS (LIBRI CSV)'!H44,"")</f>
        <v/>
      </c>
    </row>
    <row r="45" spans="2:5" x14ac:dyDescent="0.25">
      <c r="B45" s="39" t="str">
        <f>IF('VISA CARDS (LIBRI CSV)'!$B45&lt;&gt;"",'VISA CARDS (LIBRI CSV)'!B45,"")</f>
        <v/>
      </c>
      <c r="C45" s="39" t="str">
        <f>IF('VISA CARDS (LIBRI CSV)'!$B45&lt;&gt;"",'VISA CARDS (LIBRI CSV)'!C45,"")</f>
        <v/>
      </c>
      <c r="D45" s="39" t="str">
        <f>IF('VISA CARDS (LIBRI CSV)'!$B45&lt;&gt;"",'VISA CARDS (LIBRI CSV)'!D45,"")</f>
        <v/>
      </c>
      <c r="E45" s="40" t="str">
        <f>IF('VISA CARDS (LIBRI CSV)'!$H45&lt;&gt;"",'VISA CARDS (LIBRI CSV)'!H45,"")</f>
        <v/>
      </c>
    </row>
    <row r="46" spans="2:5" x14ac:dyDescent="0.25">
      <c r="B46" s="39" t="str">
        <f>IF('VISA CARDS (LIBRI CSV)'!$B46&lt;&gt;"",'VISA CARDS (LIBRI CSV)'!B46,"")</f>
        <v/>
      </c>
      <c r="C46" s="39" t="str">
        <f>IF('VISA CARDS (LIBRI CSV)'!$B46&lt;&gt;"",'VISA CARDS (LIBRI CSV)'!C46,"")</f>
        <v/>
      </c>
      <c r="D46" s="39" t="str">
        <f>IF('VISA CARDS (LIBRI CSV)'!$B46&lt;&gt;"",'VISA CARDS (LIBRI CSV)'!D46,"")</f>
        <v/>
      </c>
      <c r="E46" s="40" t="str">
        <f>IF('VISA CARDS (LIBRI CSV)'!$H46&lt;&gt;"",'VISA CARDS (LIBRI CSV)'!H46,"")</f>
        <v/>
      </c>
    </row>
    <row r="47" spans="2:5" x14ac:dyDescent="0.25">
      <c r="B47" s="39" t="str">
        <f>IF('VISA CARDS (LIBRI CSV)'!$B47&lt;&gt;"",'VISA CARDS (LIBRI CSV)'!B47,"")</f>
        <v/>
      </c>
      <c r="C47" s="39" t="str">
        <f>IF('VISA CARDS (LIBRI CSV)'!$B47&lt;&gt;"",'VISA CARDS (LIBRI CSV)'!C47,"")</f>
        <v/>
      </c>
      <c r="D47" s="39" t="str">
        <f>IF('VISA CARDS (LIBRI CSV)'!$B47&lt;&gt;"",'VISA CARDS (LIBRI CSV)'!D47,"")</f>
        <v/>
      </c>
      <c r="E47" s="40" t="str">
        <f>IF('VISA CARDS (LIBRI CSV)'!$H47&lt;&gt;"",'VISA CARDS (LIBRI CSV)'!H47,"")</f>
        <v/>
      </c>
    </row>
    <row r="48" spans="2:5" x14ac:dyDescent="0.25">
      <c r="B48" s="39" t="str">
        <f>IF('VISA CARDS (LIBRI CSV)'!$B48&lt;&gt;"",'VISA CARDS (LIBRI CSV)'!B48,"")</f>
        <v/>
      </c>
      <c r="C48" s="39" t="str">
        <f>IF('VISA CARDS (LIBRI CSV)'!$B48&lt;&gt;"",'VISA CARDS (LIBRI CSV)'!C48,"")</f>
        <v/>
      </c>
      <c r="D48" s="39" t="str">
        <f>IF('VISA CARDS (LIBRI CSV)'!$B48&lt;&gt;"",'VISA CARDS (LIBRI CSV)'!D48,"")</f>
        <v/>
      </c>
      <c r="E48" s="40" t="str">
        <f>IF('VISA CARDS (LIBRI CSV)'!$H48&lt;&gt;"",'VISA CARDS (LIBRI CSV)'!H48,"")</f>
        <v/>
      </c>
    </row>
    <row r="49" spans="2:5" x14ac:dyDescent="0.25">
      <c r="B49" s="39" t="str">
        <f>IF('VISA CARDS (LIBRI CSV)'!$B49&lt;&gt;"",'VISA CARDS (LIBRI CSV)'!B49,"")</f>
        <v/>
      </c>
      <c r="C49" s="39" t="str">
        <f>IF('VISA CARDS (LIBRI CSV)'!$B49&lt;&gt;"",'VISA CARDS (LIBRI CSV)'!C49,"")</f>
        <v/>
      </c>
      <c r="D49" s="39" t="str">
        <f>IF('VISA CARDS (LIBRI CSV)'!$B49&lt;&gt;"",'VISA CARDS (LIBRI CSV)'!D49,"")</f>
        <v/>
      </c>
      <c r="E49" s="40" t="str">
        <f>IF('VISA CARDS (LIBRI CSV)'!$H49&lt;&gt;"",'VISA CARDS (LIBRI CSV)'!H49,"")</f>
        <v/>
      </c>
    </row>
    <row r="50" spans="2:5" x14ac:dyDescent="0.25">
      <c r="B50" s="39" t="str">
        <f>IF('VISA CARDS (LIBRI CSV)'!$B50&lt;&gt;"",'VISA CARDS (LIBRI CSV)'!B50,"")</f>
        <v/>
      </c>
      <c r="C50" s="39" t="str">
        <f>IF('VISA CARDS (LIBRI CSV)'!$B50&lt;&gt;"",'VISA CARDS (LIBRI CSV)'!C50,"")</f>
        <v/>
      </c>
      <c r="D50" s="39" t="str">
        <f>IF('VISA CARDS (LIBRI CSV)'!$B50&lt;&gt;"",'VISA CARDS (LIBRI CSV)'!D50,"")</f>
        <v/>
      </c>
      <c r="E50" s="40" t="str">
        <f>IF('VISA CARDS (LIBRI CSV)'!$H50&lt;&gt;"",'VISA CARDS (LIBRI CSV)'!H50,"")</f>
        <v/>
      </c>
    </row>
    <row r="51" spans="2:5" x14ac:dyDescent="0.25">
      <c r="B51" s="39" t="str">
        <f>IF('VISA CARDS (LIBRI CSV)'!$B51&lt;&gt;"",'VISA CARDS (LIBRI CSV)'!B51,"")</f>
        <v/>
      </c>
      <c r="C51" s="39" t="str">
        <f>IF('VISA CARDS (LIBRI CSV)'!$B51&lt;&gt;"",'VISA CARDS (LIBRI CSV)'!C51,"")</f>
        <v/>
      </c>
      <c r="D51" s="39" t="str">
        <f>IF('VISA CARDS (LIBRI CSV)'!$B51&lt;&gt;"",'VISA CARDS (LIBRI CSV)'!D51,"")</f>
        <v/>
      </c>
      <c r="E51" s="40" t="str">
        <f>IF('VISA CARDS (LIBRI CSV)'!$H51&lt;&gt;"",'VISA CARDS (LIBRI CSV)'!H51,"")</f>
        <v/>
      </c>
    </row>
    <row r="52" spans="2:5" x14ac:dyDescent="0.25">
      <c r="B52" s="39" t="str">
        <f>IF('VISA CARDS (LIBRI CSV)'!$B52&lt;&gt;"",'VISA CARDS (LIBRI CSV)'!B52,"")</f>
        <v/>
      </c>
      <c r="C52" s="39" t="str">
        <f>IF('VISA CARDS (LIBRI CSV)'!$B52&lt;&gt;"",'VISA CARDS (LIBRI CSV)'!C52,"")</f>
        <v/>
      </c>
      <c r="D52" s="39" t="str">
        <f>IF('VISA CARDS (LIBRI CSV)'!$B52&lt;&gt;"",'VISA CARDS (LIBRI CSV)'!D52,"")</f>
        <v/>
      </c>
      <c r="E52" s="40" t="str">
        <f>IF('VISA CARDS (LIBRI CSV)'!$H52&lt;&gt;"",'VISA CARDS (LIBRI CSV)'!H52,"")</f>
        <v/>
      </c>
    </row>
    <row r="53" spans="2:5" x14ac:dyDescent="0.25">
      <c r="B53" s="39" t="str">
        <f>IF('VISA CARDS (LIBRI CSV)'!$B53&lt;&gt;"",'VISA CARDS (LIBRI CSV)'!B53,"")</f>
        <v/>
      </c>
      <c r="C53" s="39" t="str">
        <f>IF('VISA CARDS (LIBRI CSV)'!$B53&lt;&gt;"",'VISA CARDS (LIBRI CSV)'!C53,"")</f>
        <v/>
      </c>
      <c r="D53" s="39" t="str">
        <f>IF('VISA CARDS (LIBRI CSV)'!$B53&lt;&gt;"",'VISA CARDS (LIBRI CSV)'!D53,"")</f>
        <v/>
      </c>
      <c r="E53" s="40" t="str">
        <f>IF('VISA CARDS (LIBRI CSV)'!$H53&lt;&gt;"",'VISA CARDS (LIBRI CSV)'!H53,"")</f>
        <v/>
      </c>
    </row>
    <row r="54" spans="2:5" x14ac:dyDescent="0.25">
      <c r="B54" s="39" t="str">
        <f>IF('VISA CARDS (LIBRI CSV)'!$B54&lt;&gt;"",'VISA CARDS (LIBRI CSV)'!B54,"")</f>
        <v/>
      </c>
      <c r="C54" s="39" t="str">
        <f>IF('VISA CARDS (LIBRI CSV)'!$B54&lt;&gt;"",'VISA CARDS (LIBRI CSV)'!C54,"")</f>
        <v/>
      </c>
      <c r="D54" s="39" t="str">
        <f>IF('VISA CARDS (LIBRI CSV)'!$B54&lt;&gt;"",'VISA CARDS (LIBRI CSV)'!D54,"")</f>
        <v/>
      </c>
      <c r="E54" s="40" t="str">
        <f>IF('VISA CARDS (LIBRI CSV)'!$H54&lt;&gt;"",'VISA CARDS (LIBRI CSV)'!H54,"")</f>
        <v/>
      </c>
    </row>
    <row r="55" spans="2:5" x14ac:dyDescent="0.25">
      <c r="B55" s="39" t="str">
        <f>IF('VISA CARDS (LIBRI CSV)'!$B55&lt;&gt;"",'VISA CARDS (LIBRI CSV)'!B55,"")</f>
        <v/>
      </c>
      <c r="C55" s="39" t="str">
        <f>IF('VISA CARDS (LIBRI CSV)'!$B55&lt;&gt;"",'VISA CARDS (LIBRI CSV)'!C55,"")</f>
        <v/>
      </c>
      <c r="D55" s="39" t="str">
        <f>IF('VISA CARDS (LIBRI CSV)'!$B55&lt;&gt;"",'VISA CARDS (LIBRI CSV)'!D55,"")</f>
        <v/>
      </c>
      <c r="E55" s="40" t="str">
        <f>IF('VISA CARDS (LIBRI CSV)'!$H55&lt;&gt;"",'VISA CARDS (LIBRI CSV)'!H55,"")</f>
        <v/>
      </c>
    </row>
    <row r="56" spans="2:5" x14ac:dyDescent="0.25">
      <c r="B56" s="39" t="str">
        <f>IF('VISA CARDS (LIBRI CSV)'!$B56&lt;&gt;"",'VISA CARDS (LIBRI CSV)'!B56,"")</f>
        <v/>
      </c>
      <c r="C56" s="39" t="str">
        <f>IF('VISA CARDS (LIBRI CSV)'!$B56&lt;&gt;"",'VISA CARDS (LIBRI CSV)'!C56,"")</f>
        <v/>
      </c>
      <c r="D56" s="39" t="str">
        <f>IF('VISA CARDS (LIBRI CSV)'!$B56&lt;&gt;"",'VISA CARDS (LIBRI CSV)'!D56,"")</f>
        <v/>
      </c>
      <c r="E56" s="40" t="str">
        <f>IF('VISA CARDS (LIBRI CSV)'!$H56&lt;&gt;"",'VISA CARDS (LIBRI CSV)'!H56,"")</f>
        <v/>
      </c>
    </row>
    <row r="57" spans="2:5" x14ac:dyDescent="0.25">
      <c r="B57" s="39" t="str">
        <f>IF('VISA CARDS (LIBRI CSV)'!$B57&lt;&gt;"",'VISA CARDS (LIBRI CSV)'!B57,"")</f>
        <v/>
      </c>
      <c r="C57" s="39" t="str">
        <f>IF('VISA CARDS (LIBRI CSV)'!$B57&lt;&gt;"",'VISA CARDS (LIBRI CSV)'!C57,"")</f>
        <v/>
      </c>
      <c r="D57" s="39" t="str">
        <f>IF('VISA CARDS (LIBRI CSV)'!$B57&lt;&gt;"",'VISA CARDS (LIBRI CSV)'!D57,"")</f>
        <v/>
      </c>
      <c r="E57" s="40" t="str">
        <f>IF('VISA CARDS (LIBRI CSV)'!$H57&lt;&gt;"",'VISA CARDS (LIBRI CSV)'!H57,"")</f>
        <v/>
      </c>
    </row>
    <row r="58" spans="2:5" x14ac:dyDescent="0.25">
      <c r="B58" s="39" t="str">
        <f>IF('VISA CARDS (LIBRI CSV)'!$B58&lt;&gt;"",'VISA CARDS (LIBRI CSV)'!B58,"")</f>
        <v/>
      </c>
      <c r="C58" s="39" t="str">
        <f>IF('VISA CARDS (LIBRI CSV)'!$B58&lt;&gt;"",'VISA CARDS (LIBRI CSV)'!C58,"")</f>
        <v/>
      </c>
      <c r="D58" s="39" t="str">
        <f>IF('VISA CARDS (LIBRI CSV)'!$B58&lt;&gt;"",'VISA CARDS (LIBRI CSV)'!D58,"")</f>
        <v/>
      </c>
      <c r="E58" s="40" t="str">
        <f>IF('VISA CARDS (LIBRI CSV)'!$H58&lt;&gt;"",'VISA CARDS (LIBRI CSV)'!H58,"")</f>
        <v/>
      </c>
    </row>
    <row r="59" spans="2:5" x14ac:dyDescent="0.25">
      <c r="B59" s="39" t="str">
        <f>IF('VISA CARDS (LIBRI CSV)'!$B59&lt;&gt;"",'VISA CARDS (LIBRI CSV)'!B59,"")</f>
        <v/>
      </c>
      <c r="C59" s="39" t="str">
        <f>IF('VISA CARDS (LIBRI CSV)'!$B59&lt;&gt;"",'VISA CARDS (LIBRI CSV)'!C59,"")</f>
        <v/>
      </c>
      <c r="D59" s="39" t="str">
        <f>IF('VISA CARDS (LIBRI CSV)'!$B59&lt;&gt;"",'VISA CARDS (LIBRI CSV)'!D59,"")</f>
        <v/>
      </c>
      <c r="E59" s="40" t="str">
        <f>IF('VISA CARDS (LIBRI CSV)'!$H59&lt;&gt;"",'VISA CARDS (LIBRI CSV)'!H59,"")</f>
        <v/>
      </c>
    </row>
    <row r="60" spans="2:5" x14ac:dyDescent="0.25">
      <c r="B60" s="39" t="str">
        <f>IF('VISA CARDS (LIBRI CSV)'!$B60&lt;&gt;"",'VISA CARDS (LIBRI CSV)'!B60,"")</f>
        <v/>
      </c>
      <c r="C60" s="39" t="str">
        <f>IF('VISA CARDS (LIBRI CSV)'!$B60&lt;&gt;"",'VISA CARDS (LIBRI CSV)'!C60,"")</f>
        <v/>
      </c>
      <c r="D60" s="39" t="str">
        <f>IF('VISA CARDS (LIBRI CSV)'!$B60&lt;&gt;"",'VISA CARDS (LIBRI CSV)'!D60,"")</f>
        <v/>
      </c>
      <c r="E60" s="40" t="str">
        <f>IF('VISA CARDS (LIBRI CSV)'!$H60&lt;&gt;"",'VISA CARDS (LIBRI CSV)'!H60,"")</f>
        <v/>
      </c>
    </row>
    <row r="61" spans="2:5" x14ac:dyDescent="0.25">
      <c r="B61" s="39" t="str">
        <f>IF('VISA CARDS (LIBRI CSV)'!$B61&lt;&gt;"",'VISA CARDS (LIBRI CSV)'!B61,"")</f>
        <v/>
      </c>
      <c r="C61" s="39" t="str">
        <f>IF('VISA CARDS (LIBRI CSV)'!$B61&lt;&gt;"",'VISA CARDS (LIBRI CSV)'!C61,"")</f>
        <v/>
      </c>
      <c r="D61" s="39" t="str">
        <f>IF('VISA CARDS (LIBRI CSV)'!$B61&lt;&gt;"",'VISA CARDS (LIBRI CSV)'!D61,"")</f>
        <v/>
      </c>
      <c r="E61" s="40" t="str">
        <f>IF('VISA CARDS (LIBRI CSV)'!$H61&lt;&gt;"",'VISA CARDS (LIBRI CSV)'!H61,"")</f>
        <v/>
      </c>
    </row>
    <row r="62" spans="2:5" x14ac:dyDescent="0.25">
      <c r="B62" s="39" t="str">
        <f>IF('VISA CARDS (LIBRI CSV)'!$B62&lt;&gt;"",'VISA CARDS (LIBRI CSV)'!B62,"")</f>
        <v/>
      </c>
      <c r="C62" s="39" t="str">
        <f>IF('VISA CARDS (LIBRI CSV)'!$B62&lt;&gt;"",'VISA CARDS (LIBRI CSV)'!C62,"")</f>
        <v/>
      </c>
      <c r="D62" s="39" t="str">
        <f>IF('VISA CARDS (LIBRI CSV)'!$B62&lt;&gt;"",'VISA CARDS (LIBRI CSV)'!D62,"")</f>
        <v/>
      </c>
      <c r="E62" s="40" t="str">
        <f>IF('VISA CARDS (LIBRI CSV)'!$H62&lt;&gt;"",'VISA CARDS (LIBRI CSV)'!H62,"")</f>
        <v/>
      </c>
    </row>
    <row r="63" spans="2:5" x14ac:dyDescent="0.25">
      <c r="B63" s="39" t="str">
        <f>IF('VISA CARDS (LIBRI CSV)'!$B63&lt;&gt;"",'VISA CARDS (LIBRI CSV)'!B63,"")</f>
        <v/>
      </c>
      <c r="C63" s="39" t="str">
        <f>IF('VISA CARDS (LIBRI CSV)'!$B63&lt;&gt;"",'VISA CARDS (LIBRI CSV)'!C63,"")</f>
        <v/>
      </c>
      <c r="D63" s="39" t="str">
        <f>IF('VISA CARDS (LIBRI CSV)'!$B63&lt;&gt;"",'VISA CARDS (LIBRI CSV)'!D63,"")</f>
        <v/>
      </c>
      <c r="E63" s="40" t="str">
        <f>IF('VISA CARDS (LIBRI CSV)'!$H63&lt;&gt;"",'VISA CARDS (LIBRI CSV)'!H63,"")</f>
        <v/>
      </c>
    </row>
    <row r="64" spans="2:5" x14ac:dyDescent="0.25">
      <c r="B64" s="39" t="str">
        <f>IF('VISA CARDS (LIBRI CSV)'!$B64&lt;&gt;"",'VISA CARDS (LIBRI CSV)'!B64,"")</f>
        <v/>
      </c>
      <c r="C64" s="39" t="str">
        <f>IF('VISA CARDS (LIBRI CSV)'!$B64&lt;&gt;"",'VISA CARDS (LIBRI CSV)'!C64,"")</f>
        <v/>
      </c>
      <c r="D64" s="39" t="str">
        <f>IF('VISA CARDS (LIBRI CSV)'!$B64&lt;&gt;"",'VISA CARDS (LIBRI CSV)'!D64,"")</f>
        <v/>
      </c>
      <c r="E64" s="40" t="str">
        <f>IF('VISA CARDS (LIBRI CSV)'!$H64&lt;&gt;"",'VISA CARDS (LIBRI CSV)'!H64,"")</f>
        <v/>
      </c>
    </row>
    <row r="65" spans="2:5" x14ac:dyDescent="0.25">
      <c r="B65" s="39" t="str">
        <f>IF('VISA CARDS (LIBRI CSV)'!$B65&lt;&gt;"",'VISA CARDS (LIBRI CSV)'!B65,"")</f>
        <v/>
      </c>
      <c r="C65" s="39" t="str">
        <f>IF('VISA CARDS (LIBRI CSV)'!$B65&lt;&gt;"",'VISA CARDS (LIBRI CSV)'!C65,"")</f>
        <v/>
      </c>
      <c r="D65" s="39" t="str">
        <f>IF('VISA CARDS (LIBRI CSV)'!$B65&lt;&gt;"",'VISA CARDS (LIBRI CSV)'!D65,"")</f>
        <v/>
      </c>
      <c r="E65" s="40" t="str">
        <f>IF('VISA CARDS (LIBRI CSV)'!$H65&lt;&gt;"",'VISA CARDS (LIBRI CSV)'!H65,"")</f>
        <v/>
      </c>
    </row>
    <row r="66" spans="2:5" x14ac:dyDescent="0.25">
      <c r="B66" s="39" t="str">
        <f>IF('VISA CARDS (LIBRI CSV)'!$B66&lt;&gt;"",'VISA CARDS (LIBRI CSV)'!B66,"")</f>
        <v/>
      </c>
      <c r="C66" s="39" t="str">
        <f>IF('VISA CARDS (LIBRI CSV)'!$B66&lt;&gt;"",'VISA CARDS (LIBRI CSV)'!C66,"")</f>
        <v/>
      </c>
      <c r="D66" s="39" t="str">
        <f>IF('VISA CARDS (LIBRI CSV)'!$B66&lt;&gt;"",'VISA CARDS (LIBRI CSV)'!D66,"")</f>
        <v/>
      </c>
      <c r="E66" s="40" t="str">
        <f>IF('VISA CARDS (LIBRI CSV)'!$H66&lt;&gt;"",'VISA CARDS (LIBRI CSV)'!H66,"")</f>
        <v/>
      </c>
    </row>
    <row r="67" spans="2:5" x14ac:dyDescent="0.25">
      <c r="B67" s="39" t="str">
        <f>IF('VISA CARDS (LIBRI CSV)'!$B67&lt;&gt;"",'VISA CARDS (LIBRI CSV)'!B67,"")</f>
        <v/>
      </c>
      <c r="C67" s="39" t="str">
        <f>IF('VISA CARDS (LIBRI CSV)'!$B67&lt;&gt;"",'VISA CARDS (LIBRI CSV)'!C67,"")</f>
        <v/>
      </c>
      <c r="D67" s="39" t="str">
        <f>IF('VISA CARDS (LIBRI CSV)'!$B67&lt;&gt;"",'VISA CARDS (LIBRI CSV)'!D67,"")</f>
        <v/>
      </c>
      <c r="E67" s="40" t="str">
        <f>IF('VISA CARDS (LIBRI CSV)'!$H67&lt;&gt;"",'VISA CARDS (LIBRI CSV)'!H67,"")</f>
        <v/>
      </c>
    </row>
    <row r="68" spans="2:5" x14ac:dyDescent="0.25">
      <c r="B68" s="39" t="str">
        <f>IF('VISA CARDS (LIBRI CSV)'!$B68&lt;&gt;"",'VISA CARDS (LIBRI CSV)'!B68,"")</f>
        <v/>
      </c>
      <c r="C68" s="39" t="str">
        <f>IF('VISA CARDS (LIBRI CSV)'!$B68&lt;&gt;"",'VISA CARDS (LIBRI CSV)'!C68,"")</f>
        <v/>
      </c>
      <c r="D68" s="39" t="str">
        <f>IF('VISA CARDS (LIBRI CSV)'!$B68&lt;&gt;"",'VISA CARDS (LIBRI CSV)'!D68,"")</f>
        <v/>
      </c>
      <c r="E68" s="40" t="str">
        <f>IF('VISA CARDS (LIBRI CSV)'!$H68&lt;&gt;"",'VISA CARDS (LIBRI CSV)'!H68,"")</f>
        <v/>
      </c>
    </row>
    <row r="69" spans="2:5" x14ac:dyDescent="0.25">
      <c r="B69" s="39" t="str">
        <f>IF('VISA CARDS (LIBRI CSV)'!$B69&lt;&gt;"",'VISA CARDS (LIBRI CSV)'!B69,"")</f>
        <v/>
      </c>
      <c r="C69" s="39" t="str">
        <f>IF('VISA CARDS (LIBRI CSV)'!$B69&lt;&gt;"",'VISA CARDS (LIBRI CSV)'!C69,"")</f>
        <v/>
      </c>
      <c r="D69" s="39" t="str">
        <f>IF('VISA CARDS (LIBRI CSV)'!$B69&lt;&gt;"",'VISA CARDS (LIBRI CSV)'!D69,"")</f>
        <v/>
      </c>
      <c r="E69" s="40" t="str">
        <f>IF('VISA CARDS (LIBRI CSV)'!$H69&lt;&gt;"",'VISA CARDS (LIBRI CSV)'!H69,"")</f>
        <v/>
      </c>
    </row>
    <row r="70" spans="2:5" x14ac:dyDescent="0.25">
      <c r="B70" s="39" t="str">
        <f>IF('VISA CARDS (LIBRI CSV)'!$B70&lt;&gt;"",'VISA CARDS (LIBRI CSV)'!B70,"")</f>
        <v/>
      </c>
      <c r="C70" s="39" t="str">
        <f>IF('VISA CARDS (LIBRI CSV)'!$B70&lt;&gt;"",'VISA CARDS (LIBRI CSV)'!C70,"")</f>
        <v/>
      </c>
      <c r="D70" s="39" t="str">
        <f>IF('VISA CARDS (LIBRI CSV)'!$B70&lt;&gt;"",'VISA CARDS (LIBRI CSV)'!D70,"")</f>
        <v/>
      </c>
      <c r="E70" s="40" t="str">
        <f>IF('VISA CARDS (LIBRI CSV)'!$H70&lt;&gt;"",'VISA CARDS (LIBRI CSV)'!H70,"")</f>
        <v/>
      </c>
    </row>
    <row r="71" spans="2:5" x14ac:dyDescent="0.25">
      <c r="B71" s="39" t="str">
        <f>IF('VISA CARDS (LIBRI CSV)'!$B71&lt;&gt;"",'VISA CARDS (LIBRI CSV)'!B71,"")</f>
        <v/>
      </c>
      <c r="C71" s="39" t="str">
        <f>IF('VISA CARDS (LIBRI CSV)'!$B71&lt;&gt;"",'VISA CARDS (LIBRI CSV)'!C71,"")</f>
        <v/>
      </c>
      <c r="D71" s="39" t="str">
        <f>IF('VISA CARDS (LIBRI CSV)'!$B71&lt;&gt;"",'VISA CARDS (LIBRI CSV)'!D71,"")</f>
        <v/>
      </c>
      <c r="E71" s="40" t="str">
        <f>IF('VISA CARDS (LIBRI CSV)'!$H71&lt;&gt;"",'VISA CARDS (LIBRI CSV)'!H71,"")</f>
        <v/>
      </c>
    </row>
    <row r="72" spans="2:5" x14ac:dyDescent="0.25">
      <c r="B72" s="39" t="str">
        <f>IF('VISA CARDS (LIBRI CSV)'!$B72&lt;&gt;"",'VISA CARDS (LIBRI CSV)'!B72,"")</f>
        <v/>
      </c>
      <c r="C72" s="39" t="str">
        <f>IF('VISA CARDS (LIBRI CSV)'!$B72&lt;&gt;"",'VISA CARDS (LIBRI CSV)'!C72,"")</f>
        <v/>
      </c>
      <c r="D72" s="39" t="str">
        <f>IF('VISA CARDS (LIBRI CSV)'!$B72&lt;&gt;"",'VISA CARDS (LIBRI CSV)'!D72,"")</f>
        <v/>
      </c>
      <c r="E72" s="40" t="str">
        <f>IF('VISA CARDS (LIBRI CSV)'!$H72&lt;&gt;"",'VISA CARDS (LIBRI CSV)'!H72,"")</f>
        <v/>
      </c>
    </row>
    <row r="73" spans="2:5" x14ac:dyDescent="0.25">
      <c r="B73" s="39" t="str">
        <f>IF('VISA CARDS (LIBRI CSV)'!$B73&lt;&gt;"",'VISA CARDS (LIBRI CSV)'!B73,"")</f>
        <v/>
      </c>
      <c r="C73" s="39" t="str">
        <f>IF('VISA CARDS (LIBRI CSV)'!$B73&lt;&gt;"",'VISA CARDS (LIBRI CSV)'!C73,"")</f>
        <v/>
      </c>
      <c r="D73" s="39" t="str">
        <f>IF('VISA CARDS (LIBRI CSV)'!$B73&lt;&gt;"",'VISA CARDS (LIBRI CSV)'!D73,"")</f>
        <v/>
      </c>
      <c r="E73" s="40" t="str">
        <f>IF('VISA CARDS (LIBRI CSV)'!$H73&lt;&gt;"",'VISA CARDS (LIBRI CSV)'!H73,"")</f>
        <v/>
      </c>
    </row>
    <row r="74" spans="2:5" x14ac:dyDescent="0.25">
      <c r="B74" s="39" t="str">
        <f>IF('VISA CARDS (LIBRI CSV)'!$B74&lt;&gt;"",'VISA CARDS (LIBRI CSV)'!B74,"")</f>
        <v/>
      </c>
      <c r="C74" s="39" t="str">
        <f>IF('VISA CARDS (LIBRI CSV)'!$B74&lt;&gt;"",'VISA CARDS (LIBRI CSV)'!C74,"")</f>
        <v/>
      </c>
      <c r="D74" s="39" t="str">
        <f>IF('VISA CARDS (LIBRI CSV)'!$B74&lt;&gt;"",'VISA CARDS (LIBRI CSV)'!D74,"")</f>
        <v/>
      </c>
      <c r="E74" s="40" t="str">
        <f>IF('VISA CARDS (LIBRI CSV)'!$H74&lt;&gt;"",'VISA CARDS (LIBRI CSV)'!H74,"")</f>
        <v/>
      </c>
    </row>
    <row r="75" spans="2:5" x14ac:dyDescent="0.25">
      <c r="B75" s="39" t="str">
        <f>IF('VISA CARDS (LIBRI CSV)'!$B75&lt;&gt;"",'VISA CARDS (LIBRI CSV)'!B75,"")</f>
        <v/>
      </c>
      <c r="C75" s="39" t="str">
        <f>IF('VISA CARDS (LIBRI CSV)'!$B75&lt;&gt;"",'VISA CARDS (LIBRI CSV)'!C75,"")</f>
        <v/>
      </c>
      <c r="D75" s="39" t="str">
        <f>IF('VISA CARDS (LIBRI CSV)'!$B75&lt;&gt;"",'VISA CARDS (LIBRI CSV)'!D75,"")</f>
        <v/>
      </c>
      <c r="E75" s="40" t="str">
        <f>IF('VISA CARDS (LIBRI CSV)'!$H75&lt;&gt;"",'VISA CARDS (LIBRI CSV)'!H75,"")</f>
        <v/>
      </c>
    </row>
    <row r="76" spans="2:5" x14ac:dyDescent="0.25">
      <c r="B76" s="39" t="str">
        <f>IF('VISA CARDS (LIBRI CSV)'!$B76&lt;&gt;"",'VISA CARDS (LIBRI CSV)'!B76,"")</f>
        <v/>
      </c>
      <c r="C76" s="39" t="str">
        <f>IF('VISA CARDS (LIBRI CSV)'!$B76&lt;&gt;"",'VISA CARDS (LIBRI CSV)'!C76,"")</f>
        <v/>
      </c>
      <c r="D76" s="39" t="str">
        <f>IF('VISA CARDS (LIBRI CSV)'!$B76&lt;&gt;"",'VISA CARDS (LIBRI CSV)'!D76,"")</f>
        <v/>
      </c>
      <c r="E76" s="40" t="str">
        <f>IF('VISA CARDS (LIBRI CSV)'!$H76&lt;&gt;"",'VISA CARDS (LIBRI CSV)'!H76,"")</f>
        <v/>
      </c>
    </row>
    <row r="77" spans="2:5" x14ac:dyDescent="0.25">
      <c r="B77" s="39" t="str">
        <f>IF('VISA CARDS (LIBRI CSV)'!$B77&lt;&gt;"",'VISA CARDS (LIBRI CSV)'!B77,"")</f>
        <v/>
      </c>
      <c r="C77" s="39" t="str">
        <f>IF('VISA CARDS (LIBRI CSV)'!$B77&lt;&gt;"",'VISA CARDS (LIBRI CSV)'!C77,"")</f>
        <v/>
      </c>
      <c r="D77" s="39" t="str">
        <f>IF('VISA CARDS (LIBRI CSV)'!$B77&lt;&gt;"",'VISA CARDS (LIBRI CSV)'!D77,"")</f>
        <v/>
      </c>
      <c r="E77" s="40" t="str">
        <f>IF('VISA CARDS (LIBRI CSV)'!$H77&lt;&gt;"",'VISA CARDS (LIBRI CSV)'!H77,"")</f>
        <v/>
      </c>
    </row>
    <row r="78" spans="2:5" x14ac:dyDescent="0.25">
      <c r="B78" s="39" t="str">
        <f>IF('VISA CARDS (LIBRI CSV)'!$B78&lt;&gt;"",'VISA CARDS (LIBRI CSV)'!B78,"")</f>
        <v/>
      </c>
      <c r="C78" s="39" t="str">
        <f>IF('VISA CARDS (LIBRI CSV)'!$B78&lt;&gt;"",'VISA CARDS (LIBRI CSV)'!C78,"")</f>
        <v/>
      </c>
      <c r="D78" s="39" t="str">
        <f>IF('VISA CARDS (LIBRI CSV)'!$B78&lt;&gt;"",'VISA CARDS (LIBRI CSV)'!D78,"")</f>
        <v/>
      </c>
      <c r="E78" s="40" t="str">
        <f>IF('VISA CARDS (LIBRI CSV)'!$H78&lt;&gt;"",'VISA CARDS (LIBRI CSV)'!H78,"")</f>
        <v/>
      </c>
    </row>
    <row r="79" spans="2:5" x14ac:dyDescent="0.25">
      <c r="B79" s="39" t="str">
        <f>IF('VISA CARDS (LIBRI CSV)'!$B79&lt;&gt;"",'VISA CARDS (LIBRI CSV)'!B79,"")</f>
        <v/>
      </c>
      <c r="C79" s="39" t="str">
        <f>IF('VISA CARDS (LIBRI CSV)'!$B79&lt;&gt;"",'VISA CARDS (LIBRI CSV)'!C79,"")</f>
        <v/>
      </c>
      <c r="D79" s="39" t="str">
        <f>IF('VISA CARDS (LIBRI CSV)'!$B79&lt;&gt;"",'VISA CARDS (LIBRI CSV)'!D79,"")</f>
        <v/>
      </c>
      <c r="E79" s="40" t="str">
        <f>IF('VISA CARDS (LIBRI CSV)'!$H79&lt;&gt;"",'VISA CARDS (LIBRI CSV)'!H79,"")</f>
        <v/>
      </c>
    </row>
    <row r="80" spans="2:5" x14ac:dyDescent="0.25">
      <c r="B80" s="39" t="str">
        <f>IF('VISA CARDS (LIBRI CSV)'!$B80&lt;&gt;"",'VISA CARDS (LIBRI CSV)'!B80,"")</f>
        <v/>
      </c>
      <c r="C80" s="39" t="str">
        <f>IF('VISA CARDS (LIBRI CSV)'!$B80&lt;&gt;"",'VISA CARDS (LIBRI CSV)'!C80,"")</f>
        <v/>
      </c>
      <c r="D80" s="39" t="str">
        <f>IF('VISA CARDS (LIBRI CSV)'!$B80&lt;&gt;"",'VISA CARDS (LIBRI CSV)'!D80,"")</f>
        <v/>
      </c>
      <c r="E80" s="40" t="str">
        <f>IF('VISA CARDS (LIBRI CSV)'!$H80&lt;&gt;"",'VISA CARDS (LIBRI CSV)'!H80,"")</f>
        <v/>
      </c>
    </row>
    <row r="81" spans="2:5" x14ac:dyDescent="0.25">
      <c r="B81" s="39" t="str">
        <f>IF('VISA CARDS (LIBRI CSV)'!$B81&lt;&gt;"",'VISA CARDS (LIBRI CSV)'!B81,"")</f>
        <v/>
      </c>
      <c r="C81" s="39" t="str">
        <f>IF('VISA CARDS (LIBRI CSV)'!$B81&lt;&gt;"",'VISA CARDS (LIBRI CSV)'!C81,"")</f>
        <v/>
      </c>
      <c r="D81" s="39" t="str">
        <f>IF('VISA CARDS (LIBRI CSV)'!$B81&lt;&gt;"",'VISA CARDS (LIBRI CSV)'!D81,"")</f>
        <v/>
      </c>
      <c r="E81" s="40" t="str">
        <f>IF('VISA CARDS (LIBRI CSV)'!$H81&lt;&gt;"",'VISA CARDS (LIBRI CSV)'!H81,"")</f>
        <v/>
      </c>
    </row>
    <row r="82" spans="2:5" x14ac:dyDescent="0.25">
      <c r="B82" s="39" t="str">
        <f>IF('VISA CARDS (LIBRI CSV)'!$B82&lt;&gt;"",'VISA CARDS (LIBRI CSV)'!B82,"")</f>
        <v/>
      </c>
      <c r="C82" s="39" t="str">
        <f>IF('VISA CARDS (LIBRI CSV)'!$B82&lt;&gt;"",'VISA CARDS (LIBRI CSV)'!C82,"")</f>
        <v/>
      </c>
      <c r="D82" s="39" t="str">
        <f>IF('VISA CARDS (LIBRI CSV)'!$B82&lt;&gt;"",'VISA CARDS (LIBRI CSV)'!D82,"")</f>
        <v/>
      </c>
      <c r="E82" s="40" t="str">
        <f>IF('VISA CARDS (LIBRI CSV)'!$H82&lt;&gt;"",'VISA CARDS (LIBRI CSV)'!H82,"")</f>
        <v/>
      </c>
    </row>
    <row r="83" spans="2:5" x14ac:dyDescent="0.25">
      <c r="B83" s="39" t="str">
        <f>IF('VISA CARDS (LIBRI CSV)'!$B83&lt;&gt;"",'VISA CARDS (LIBRI CSV)'!B83,"")</f>
        <v/>
      </c>
      <c r="C83" s="39" t="str">
        <f>IF('VISA CARDS (LIBRI CSV)'!$B83&lt;&gt;"",'VISA CARDS (LIBRI CSV)'!C83,"")</f>
        <v/>
      </c>
      <c r="D83" s="39" t="str">
        <f>IF('VISA CARDS (LIBRI CSV)'!$B83&lt;&gt;"",'VISA CARDS (LIBRI CSV)'!D83,"")</f>
        <v/>
      </c>
      <c r="E83" s="40" t="str">
        <f>IF('VISA CARDS (LIBRI CSV)'!$H83&lt;&gt;"",'VISA CARDS (LIBRI CSV)'!H83,"")</f>
        <v/>
      </c>
    </row>
    <row r="84" spans="2:5" x14ac:dyDescent="0.25">
      <c r="B84" s="39" t="str">
        <f>IF('VISA CARDS (LIBRI CSV)'!$B84&lt;&gt;"",'VISA CARDS (LIBRI CSV)'!B84,"")</f>
        <v/>
      </c>
      <c r="C84" s="39" t="str">
        <f>IF('VISA CARDS (LIBRI CSV)'!$B84&lt;&gt;"",'VISA CARDS (LIBRI CSV)'!C84,"")</f>
        <v/>
      </c>
      <c r="D84" s="39" t="str">
        <f>IF('VISA CARDS (LIBRI CSV)'!$B84&lt;&gt;"",'VISA CARDS (LIBRI CSV)'!D84,"")</f>
        <v/>
      </c>
      <c r="E84" s="40" t="str">
        <f>IF('VISA CARDS (LIBRI CSV)'!$H84&lt;&gt;"",'VISA CARDS (LIBRI CSV)'!H84,"")</f>
        <v/>
      </c>
    </row>
    <row r="85" spans="2:5" x14ac:dyDescent="0.25">
      <c r="B85" s="39" t="str">
        <f>IF('VISA CARDS (LIBRI CSV)'!$B85&lt;&gt;"",'VISA CARDS (LIBRI CSV)'!B85,"")</f>
        <v/>
      </c>
      <c r="C85" s="39" t="str">
        <f>IF('VISA CARDS (LIBRI CSV)'!$B85&lt;&gt;"",'VISA CARDS (LIBRI CSV)'!C85,"")</f>
        <v/>
      </c>
      <c r="D85" s="39" t="str">
        <f>IF('VISA CARDS (LIBRI CSV)'!$B85&lt;&gt;"",'VISA CARDS (LIBRI CSV)'!D85,"")</f>
        <v/>
      </c>
      <c r="E85" s="40" t="str">
        <f>IF('VISA CARDS (LIBRI CSV)'!$H85&lt;&gt;"",'VISA CARDS (LIBRI CSV)'!H85,"")</f>
        <v/>
      </c>
    </row>
    <row r="86" spans="2:5" x14ac:dyDescent="0.25">
      <c r="B86" s="39" t="str">
        <f>IF('VISA CARDS (LIBRI CSV)'!$B86&lt;&gt;"",'VISA CARDS (LIBRI CSV)'!B86,"")</f>
        <v/>
      </c>
      <c r="C86" s="39" t="str">
        <f>IF('VISA CARDS (LIBRI CSV)'!$B86&lt;&gt;"",'VISA CARDS (LIBRI CSV)'!C86,"")</f>
        <v/>
      </c>
      <c r="D86" s="39" t="str">
        <f>IF('VISA CARDS (LIBRI CSV)'!$B86&lt;&gt;"",'VISA CARDS (LIBRI CSV)'!D86,"")</f>
        <v/>
      </c>
      <c r="E86" s="40" t="str">
        <f>IF('VISA CARDS (LIBRI CSV)'!$H86&lt;&gt;"",'VISA CARDS (LIBRI CSV)'!H86,"")</f>
        <v/>
      </c>
    </row>
    <row r="87" spans="2:5" x14ac:dyDescent="0.25">
      <c r="B87" s="39" t="str">
        <f>IF('VISA CARDS (LIBRI CSV)'!$B87&lt;&gt;"",'VISA CARDS (LIBRI CSV)'!B87,"")</f>
        <v/>
      </c>
      <c r="C87" s="39" t="str">
        <f>IF('VISA CARDS (LIBRI CSV)'!$B87&lt;&gt;"",'VISA CARDS (LIBRI CSV)'!C87,"")</f>
        <v/>
      </c>
      <c r="D87" s="39" t="str">
        <f>IF('VISA CARDS (LIBRI CSV)'!$B87&lt;&gt;"",'VISA CARDS (LIBRI CSV)'!D87,"")</f>
        <v/>
      </c>
      <c r="E87" s="40" t="str">
        <f>IF('VISA CARDS (LIBRI CSV)'!$H87&lt;&gt;"",'VISA CARDS (LIBRI CSV)'!H87,"")</f>
        <v/>
      </c>
    </row>
    <row r="88" spans="2:5" x14ac:dyDescent="0.25">
      <c r="B88" s="39" t="str">
        <f>IF('VISA CARDS (LIBRI CSV)'!$B88&lt;&gt;"",'VISA CARDS (LIBRI CSV)'!B88,"")</f>
        <v/>
      </c>
      <c r="C88" s="39" t="str">
        <f>IF('VISA CARDS (LIBRI CSV)'!$B88&lt;&gt;"",'VISA CARDS (LIBRI CSV)'!C88,"")</f>
        <v/>
      </c>
      <c r="D88" s="39" t="str">
        <f>IF('VISA CARDS (LIBRI CSV)'!$B88&lt;&gt;"",'VISA CARDS (LIBRI CSV)'!D88,"")</f>
        <v/>
      </c>
      <c r="E88" s="40" t="str">
        <f>IF('VISA CARDS (LIBRI CSV)'!$H88&lt;&gt;"",'VISA CARDS (LIBRI CSV)'!H88,"")</f>
        <v/>
      </c>
    </row>
    <row r="89" spans="2:5" x14ac:dyDescent="0.25">
      <c r="B89" s="39" t="str">
        <f>IF('VISA CARDS (LIBRI CSV)'!$B89&lt;&gt;"",'VISA CARDS (LIBRI CSV)'!B89,"")</f>
        <v/>
      </c>
      <c r="C89" s="39" t="str">
        <f>IF('VISA CARDS (LIBRI CSV)'!$B89&lt;&gt;"",'VISA CARDS (LIBRI CSV)'!C89,"")</f>
        <v/>
      </c>
      <c r="D89" s="39" t="str">
        <f>IF('VISA CARDS (LIBRI CSV)'!$B89&lt;&gt;"",'VISA CARDS (LIBRI CSV)'!D89,"")</f>
        <v/>
      </c>
      <c r="E89" s="40" t="str">
        <f>IF('VISA CARDS (LIBRI CSV)'!$H89&lt;&gt;"",'VISA CARDS (LIBRI CSV)'!H89,"")</f>
        <v/>
      </c>
    </row>
    <row r="90" spans="2:5" x14ac:dyDescent="0.25">
      <c r="B90" s="39" t="str">
        <f>IF('VISA CARDS (LIBRI CSV)'!$B90&lt;&gt;"",'VISA CARDS (LIBRI CSV)'!B90,"")</f>
        <v/>
      </c>
      <c r="C90" s="39" t="str">
        <f>IF('VISA CARDS (LIBRI CSV)'!$B90&lt;&gt;"",'VISA CARDS (LIBRI CSV)'!C90,"")</f>
        <v/>
      </c>
      <c r="D90" s="39" t="str">
        <f>IF('VISA CARDS (LIBRI CSV)'!$B90&lt;&gt;"",'VISA CARDS (LIBRI CSV)'!D90,"")</f>
        <v/>
      </c>
      <c r="E90" s="40" t="str">
        <f>IF('VISA CARDS (LIBRI CSV)'!$H90&lt;&gt;"",'VISA CARDS (LIBRI CSV)'!H90,"")</f>
        <v/>
      </c>
    </row>
    <row r="91" spans="2:5" x14ac:dyDescent="0.25">
      <c r="B91" s="39" t="str">
        <f>IF('VISA CARDS (LIBRI CSV)'!$B91&lt;&gt;"",'VISA CARDS (LIBRI CSV)'!B91,"")</f>
        <v/>
      </c>
      <c r="C91" s="39" t="str">
        <f>IF('VISA CARDS (LIBRI CSV)'!$B91&lt;&gt;"",'VISA CARDS (LIBRI CSV)'!C91,"")</f>
        <v/>
      </c>
      <c r="D91" s="39" t="str">
        <f>IF('VISA CARDS (LIBRI CSV)'!$B91&lt;&gt;"",'VISA CARDS (LIBRI CSV)'!D91,"")</f>
        <v/>
      </c>
      <c r="E91" s="40" t="str">
        <f>IF('VISA CARDS (LIBRI CSV)'!$H91&lt;&gt;"",'VISA CARDS (LIBRI CSV)'!H91,"")</f>
        <v/>
      </c>
    </row>
    <row r="92" spans="2:5" x14ac:dyDescent="0.25">
      <c r="B92" s="39" t="str">
        <f>IF('VISA CARDS (LIBRI CSV)'!$B92&lt;&gt;"",'VISA CARDS (LIBRI CSV)'!B92,"")</f>
        <v/>
      </c>
      <c r="C92" s="39" t="str">
        <f>IF('VISA CARDS (LIBRI CSV)'!$B92&lt;&gt;"",'VISA CARDS (LIBRI CSV)'!C92,"")</f>
        <v/>
      </c>
      <c r="D92" s="39" t="str">
        <f>IF('VISA CARDS (LIBRI CSV)'!$B92&lt;&gt;"",'VISA CARDS (LIBRI CSV)'!D92,"")</f>
        <v/>
      </c>
      <c r="E92" s="40" t="str">
        <f>IF('VISA CARDS (LIBRI CSV)'!$H92&lt;&gt;"",'VISA CARDS (LIBRI CSV)'!H92,"")</f>
        <v/>
      </c>
    </row>
    <row r="93" spans="2:5" x14ac:dyDescent="0.25">
      <c r="B93" s="39" t="str">
        <f>IF('VISA CARDS (LIBRI CSV)'!$B93&lt;&gt;"",'VISA CARDS (LIBRI CSV)'!B93,"")</f>
        <v/>
      </c>
      <c r="C93" s="39" t="str">
        <f>IF('VISA CARDS (LIBRI CSV)'!$B93&lt;&gt;"",'VISA CARDS (LIBRI CSV)'!C93,"")</f>
        <v/>
      </c>
      <c r="D93" s="39" t="str">
        <f>IF('VISA CARDS (LIBRI CSV)'!$B93&lt;&gt;"",'VISA CARDS (LIBRI CSV)'!D93,"")</f>
        <v/>
      </c>
      <c r="E93" s="40" t="str">
        <f>IF('VISA CARDS (LIBRI CSV)'!$H93&lt;&gt;"",'VISA CARDS (LIBRI CSV)'!H93,"")</f>
        <v/>
      </c>
    </row>
    <row r="94" spans="2:5" x14ac:dyDescent="0.25">
      <c r="B94" s="39" t="str">
        <f>IF('VISA CARDS (LIBRI CSV)'!$B94&lt;&gt;"",'VISA CARDS (LIBRI CSV)'!B94,"")</f>
        <v/>
      </c>
      <c r="C94" s="39" t="str">
        <f>IF('VISA CARDS (LIBRI CSV)'!$B94&lt;&gt;"",'VISA CARDS (LIBRI CSV)'!C94,"")</f>
        <v/>
      </c>
      <c r="D94" s="39" t="str">
        <f>IF('VISA CARDS (LIBRI CSV)'!$B94&lt;&gt;"",'VISA CARDS (LIBRI CSV)'!D94,"")</f>
        <v/>
      </c>
      <c r="E94" s="40" t="str">
        <f>IF('VISA CARDS (LIBRI CSV)'!$H94&lt;&gt;"",'VISA CARDS (LIBRI CSV)'!H94,"")</f>
        <v/>
      </c>
    </row>
    <row r="95" spans="2:5" x14ac:dyDescent="0.25">
      <c r="B95" s="39" t="str">
        <f>IF('VISA CARDS (LIBRI CSV)'!$B95&lt;&gt;"",'VISA CARDS (LIBRI CSV)'!B95,"")</f>
        <v/>
      </c>
      <c r="C95" s="39" t="str">
        <f>IF('VISA CARDS (LIBRI CSV)'!$B95&lt;&gt;"",'VISA CARDS (LIBRI CSV)'!C95,"")</f>
        <v/>
      </c>
      <c r="D95" s="39" t="str">
        <f>IF('VISA CARDS (LIBRI CSV)'!$B95&lt;&gt;"",'VISA CARDS (LIBRI CSV)'!D95,"")</f>
        <v/>
      </c>
      <c r="E95" s="40" t="str">
        <f>IF('VISA CARDS (LIBRI CSV)'!$H95&lt;&gt;"",'VISA CARDS (LIBRI CSV)'!H95,"")</f>
        <v/>
      </c>
    </row>
    <row r="96" spans="2:5" x14ac:dyDescent="0.25">
      <c r="B96" s="39" t="str">
        <f>IF('VISA CARDS (LIBRI CSV)'!$B96&lt;&gt;"",'VISA CARDS (LIBRI CSV)'!B96,"")</f>
        <v/>
      </c>
      <c r="C96" s="39" t="str">
        <f>IF('VISA CARDS (LIBRI CSV)'!$B96&lt;&gt;"",'VISA CARDS (LIBRI CSV)'!C96,"")</f>
        <v/>
      </c>
      <c r="D96" s="39" t="str">
        <f>IF('VISA CARDS (LIBRI CSV)'!$B96&lt;&gt;"",'VISA CARDS (LIBRI CSV)'!D96,"")</f>
        <v/>
      </c>
      <c r="E96" s="40" t="str">
        <f>IF('VISA CARDS (LIBRI CSV)'!$H96&lt;&gt;"",'VISA CARDS (LIBRI CSV)'!H96,"")</f>
        <v/>
      </c>
    </row>
    <row r="97" spans="2:5" x14ac:dyDescent="0.25">
      <c r="B97" s="39" t="str">
        <f>IF('VISA CARDS (LIBRI CSV)'!$B97&lt;&gt;"",'VISA CARDS (LIBRI CSV)'!B97,"")</f>
        <v/>
      </c>
      <c r="C97" s="39" t="str">
        <f>IF('VISA CARDS (LIBRI CSV)'!$B97&lt;&gt;"",'VISA CARDS (LIBRI CSV)'!C97,"")</f>
        <v/>
      </c>
      <c r="D97" s="39" t="str">
        <f>IF('VISA CARDS (LIBRI CSV)'!$B97&lt;&gt;"",'VISA CARDS (LIBRI CSV)'!D97,"")</f>
        <v/>
      </c>
      <c r="E97" s="40" t="str">
        <f>IF('VISA CARDS (LIBRI CSV)'!$H97&lt;&gt;"",'VISA CARDS (LIBRI CSV)'!H97,"")</f>
        <v/>
      </c>
    </row>
    <row r="98" spans="2:5" x14ac:dyDescent="0.25">
      <c r="B98" s="39" t="str">
        <f>IF('VISA CARDS (LIBRI CSV)'!$B98&lt;&gt;"",'VISA CARDS (LIBRI CSV)'!B98,"")</f>
        <v/>
      </c>
      <c r="C98" s="39" t="str">
        <f>IF('VISA CARDS (LIBRI CSV)'!$B98&lt;&gt;"",'VISA CARDS (LIBRI CSV)'!C98,"")</f>
        <v/>
      </c>
      <c r="D98" s="39" t="str">
        <f>IF('VISA CARDS (LIBRI CSV)'!$B98&lt;&gt;"",'VISA CARDS (LIBRI CSV)'!D98,"")</f>
        <v/>
      </c>
      <c r="E98" s="40" t="str">
        <f>IF('VISA CARDS (LIBRI CSV)'!$H98&lt;&gt;"",'VISA CARDS (LIBRI CSV)'!H98,"")</f>
        <v/>
      </c>
    </row>
    <row r="99" spans="2:5" x14ac:dyDescent="0.25">
      <c r="B99" s="39" t="str">
        <f>IF('VISA CARDS (LIBRI CSV)'!$B99&lt;&gt;"",'VISA CARDS (LIBRI CSV)'!B99,"")</f>
        <v/>
      </c>
      <c r="C99" s="39" t="str">
        <f>IF('VISA CARDS (LIBRI CSV)'!$B99&lt;&gt;"",'VISA CARDS (LIBRI CSV)'!C99,"")</f>
        <v/>
      </c>
      <c r="D99" s="39" t="str">
        <f>IF('VISA CARDS (LIBRI CSV)'!$B99&lt;&gt;"",'VISA CARDS (LIBRI CSV)'!D99,"")</f>
        <v/>
      </c>
      <c r="E99" s="40" t="str">
        <f>IF('VISA CARDS (LIBRI CSV)'!$H99&lt;&gt;"",'VISA CARDS (LIBRI CSV)'!H99,"")</f>
        <v/>
      </c>
    </row>
    <row r="100" spans="2:5" x14ac:dyDescent="0.25">
      <c r="B100" s="39" t="str">
        <f>IF('VISA CARDS (LIBRI CSV)'!$B100&lt;&gt;"",'VISA CARDS (LIBRI CSV)'!B100,"")</f>
        <v/>
      </c>
      <c r="C100" s="39" t="str">
        <f>IF('VISA CARDS (LIBRI CSV)'!$B100&lt;&gt;"",'VISA CARDS (LIBRI CSV)'!C100,"")</f>
        <v/>
      </c>
      <c r="D100" s="39" t="str">
        <f>IF('VISA CARDS (LIBRI CSV)'!$B100&lt;&gt;"",'VISA CARDS (LIBRI CSV)'!D100,"")</f>
        <v/>
      </c>
      <c r="E100" s="40" t="str">
        <f>IF('VISA CARDS (LIBRI CSV)'!$H100&lt;&gt;"",'VISA CARDS (LIBRI CSV)'!H100,"")</f>
        <v/>
      </c>
    </row>
    <row r="101" spans="2:5" x14ac:dyDescent="0.25">
      <c r="B101" s="39" t="str">
        <f>IF('VISA CARDS (LIBRI CSV)'!$B101&lt;&gt;"",'VISA CARDS (LIBRI CSV)'!B101,"")</f>
        <v/>
      </c>
      <c r="C101" s="39" t="str">
        <f>IF('VISA CARDS (LIBRI CSV)'!$B101&lt;&gt;"",'VISA CARDS (LIBRI CSV)'!C101,"")</f>
        <v/>
      </c>
      <c r="D101" s="39" t="str">
        <f>IF('VISA CARDS (LIBRI CSV)'!$B101&lt;&gt;"",'VISA CARDS (LIBRI CSV)'!D101,"")</f>
        <v/>
      </c>
      <c r="E101" s="40" t="str">
        <f>IF('VISA CARDS (LIBRI CSV)'!$H101&lt;&gt;"",'VISA CARDS (LIBRI CSV)'!H101,"")</f>
        <v/>
      </c>
    </row>
    <row r="102" spans="2:5" x14ac:dyDescent="0.25">
      <c r="B102" s="39" t="str">
        <f>IF('VISA CARDS (LIBRI CSV)'!$B102&lt;&gt;"",'VISA CARDS (LIBRI CSV)'!B102,"")</f>
        <v/>
      </c>
      <c r="C102" s="39" t="str">
        <f>IF('VISA CARDS (LIBRI CSV)'!$B102&lt;&gt;"",'VISA CARDS (LIBRI CSV)'!C102,"")</f>
        <v/>
      </c>
      <c r="D102" s="39" t="str">
        <f>IF('VISA CARDS (LIBRI CSV)'!$B102&lt;&gt;"",'VISA CARDS (LIBRI CSV)'!D102,"")</f>
        <v/>
      </c>
      <c r="E102" s="40" t="str">
        <f>IF('VISA CARDS (LIBRI CSV)'!$H102&lt;&gt;"",'VISA CARDS (LIBRI CSV)'!H102,"")</f>
        <v/>
      </c>
    </row>
    <row r="103" spans="2:5" x14ac:dyDescent="0.25">
      <c r="B103" s="39" t="str">
        <f>IF('VISA CARDS (LIBRI CSV)'!$B103&lt;&gt;"",'VISA CARDS (LIBRI CSV)'!B103,"")</f>
        <v/>
      </c>
      <c r="C103" s="39" t="str">
        <f>IF('VISA CARDS (LIBRI CSV)'!$B103&lt;&gt;"",'VISA CARDS (LIBRI CSV)'!C103,"")</f>
        <v/>
      </c>
      <c r="D103" s="39" t="str">
        <f>IF('VISA CARDS (LIBRI CSV)'!$B103&lt;&gt;"",'VISA CARDS (LIBRI CSV)'!D103,"")</f>
        <v/>
      </c>
      <c r="E103" s="40" t="str">
        <f>IF('VISA CARDS (LIBRI CSV)'!$H103&lt;&gt;"",'VISA CARDS (LIBRI CSV)'!H103,"")</f>
        <v/>
      </c>
    </row>
    <row r="104" spans="2:5" x14ac:dyDescent="0.25">
      <c r="B104" s="39" t="str">
        <f>IF('VISA CARDS (LIBRI CSV)'!$B104&lt;&gt;"",'VISA CARDS (LIBRI CSV)'!B104,"")</f>
        <v/>
      </c>
      <c r="C104" s="39" t="str">
        <f>IF('VISA CARDS (LIBRI CSV)'!$B104&lt;&gt;"",'VISA CARDS (LIBRI CSV)'!C104,"")</f>
        <v/>
      </c>
      <c r="D104" s="39" t="str">
        <f>IF('VISA CARDS (LIBRI CSV)'!$B104&lt;&gt;"",'VISA CARDS (LIBRI CSV)'!D104,"")</f>
        <v/>
      </c>
      <c r="E104" s="40" t="str">
        <f>IF('VISA CARDS (LIBRI CSV)'!$H104&lt;&gt;"",'VISA CARDS (LIBRI CSV)'!H104,"")</f>
        <v/>
      </c>
    </row>
    <row r="105" spans="2:5" x14ac:dyDescent="0.25">
      <c r="B105" s="39" t="str">
        <f>IF('VISA CARDS (LIBRI CSV)'!$B105&lt;&gt;"",'VISA CARDS (LIBRI CSV)'!B105,"")</f>
        <v/>
      </c>
      <c r="C105" s="39" t="str">
        <f>IF('VISA CARDS (LIBRI CSV)'!$B105&lt;&gt;"",'VISA CARDS (LIBRI CSV)'!C105,"")</f>
        <v/>
      </c>
      <c r="D105" s="39" t="str">
        <f>IF('VISA CARDS (LIBRI CSV)'!$B105&lt;&gt;"",'VISA CARDS (LIBRI CSV)'!D105,"")</f>
        <v/>
      </c>
      <c r="E105" s="40" t="str">
        <f>IF('VISA CARDS (LIBRI CSV)'!$H105&lt;&gt;"",'VISA CARDS (LIBRI CSV)'!H105,"")</f>
        <v/>
      </c>
    </row>
    <row r="106" spans="2:5" x14ac:dyDescent="0.25">
      <c r="B106" s="39" t="str">
        <f>IF('VISA CARDS (LIBRI CSV)'!$B106&lt;&gt;"",'VISA CARDS (LIBRI CSV)'!B106,"")</f>
        <v/>
      </c>
      <c r="C106" s="39" t="str">
        <f>IF('VISA CARDS (LIBRI CSV)'!$B106&lt;&gt;"",'VISA CARDS (LIBRI CSV)'!C106,"")</f>
        <v/>
      </c>
      <c r="D106" s="39" t="str">
        <f>IF('VISA CARDS (LIBRI CSV)'!$B106&lt;&gt;"",'VISA CARDS (LIBRI CSV)'!D106,"")</f>
        <v/>
      </c>
      <c r="E106" s="40" t="str">
        <f>IF('VISA CARDS (LIBRI CSV)'!$H106&lt;&gt;"",'VISA CARDS (LIBRI CSV)'!H106,"")</f>
        <v/>
      </c>
    </row>
    <row r="107" spans="2:5" x14ac:dyDescent="0.25">
      <c r="B107" s="39" t="str">
        <f>IF('VISA CARDS (LIBRI CSV)'!$B107&lt;&gt;"",'VISA CARDS (LIBRI CSV)'!B107,"")</f>
        <v/>
      </c>
      <c r="C107" s="39" t="str">
        <f>IF('VISA CARDS (LIBRI CSV)'!$B107&lt;&gt;"",'VISA CARDS (LIBRI CSV)'!C107,"")</f>
        <v/>
      </c>
      <c r="D107" s="39" t="str">
        <f>IF('VISA CARDS (LIBRI CSV)'!$B107&lt;&gt;"",'VISA CARDS (LIBRI CSV)'!D107,"")</f>
        <v/>
      </c>
      <c r="E107" s="40" t="str">
        <f>IF('VISA CARDS (LIBRI CSV)'!$H107&lt;&gt;"",'VISA CARDS (LIBRI CSV)'!H107,"")</f>
        <v/>
      </c>
    </row>
    <row r="108" spans="2:5" x14ac:dyDescent="0.25">
      <c r="B108" s="39" t="str">
        <f>IF('VISA CARDS (LIBRI CSV)'!$B108&lt;&gt;"",'VISA CARDS (LIBRI CSV)'!B108,"")</f>
        <v/>
      </c>
      <c r="C108" s="39" t="str">
        <f>IF('VISA CARDS (LIBRI CSV)'!$B108&lt;&gt;"",'VISA CARDS (LIBRI CSV)'!C108,"")</f>
        <v/>
      </c>
      <c r="D108" s="39" t="str">
        <f>IF('VISA CARDS (LIBRI CSV)'!$B108&lt;&gt;"",'VISA CARDS (LIBRI CSV)'!D108,"")</f>
        <v/>
      </c>
      <c r="E108" s="40" t="str">
        <f>IF('VISA CARDS (LIBRI CSV)'!$H108&lt;&gt;"",'VISA CARDS (LIBRI CSV)'!H108,"")</f>
        <v/>
      </c>
    </row>
    <row r="109" spans="2:5" x14ac:dyDescent="0.25">
      <c r="B109" s="39" t="str">
        <f>IF('VISA CARDS (LIBRI CSV)'!$B109&lt;&gt;"",'VISA CARDS (LIBRI CSV)'!B109,"")</f>
        <v/>
      </c>
      <c r="C109" s="39" t="str">
        <f>IF('VISA CARDS (LIBRI CSV)'!$B109&lt;&gt;"",'VISA CARDS (LIBRI CSV)'!C109,"")</f>
        <v/>
      </c>
      <c r="D109" s="39" t="str">
        <f>IF('VISA CARDS (LIBRI CSV)'!$B109&lt;&gt;"",'VISA CARDS (LIBRI CSV)'!D109,"")</f>
        <v/>
      </c>
      <c r="E109" s="40" t="str">
        <f>IF('VISA CARDS (LIBRI CSV)'!$H109&lt;&gt;"",'VISA CARDS (LIBRI CSV)'!H109,"")</f>
        <v/>
      </c>
    </row>
    <row r="110" spans="2:5" x14ac:dyDescent="0.25">
      <c r="B110" s="39" t="str">
        <f>IF('VISA CARDS (LIBRI CSV)'!$B110&lt;&gt;"",'VISA CARDS (LIBRI CSV)'!B110,"")</f>
        <v/>
      </c>
      <c r="C110" s="39" t="str">
        <f>IF('VISA CARDS (LIBRI CSV)'!$B110&lt;&gt;"",'VISA CARDS (LIBRI CSV)'!C110,"")</f>
        <v/>
      </c>
      <c r="D110" s="39" t="str">
        <f>IF('VISA CARDS (LIBRI CSV)'!$B110&lt;&gt;"",'VISA CARDS (LIBRI CSV)'!D110,"")</f>
        <v/>
      </c>
      <c r="E110" s="40" t="str">
        <f>IF('VISA CARDS (LIBRI CSV)'!$H110&lt;&gt;"",'VISA CARDS (LIBRI CSV)'!H110,"")</f>
        <v/>
      </c>
    </row>
    <row r="111" spans="2:5" x14ac:dyDescent="0.25">
      <c r="B111" s="39" t="str">
        <f>IF('VISA CARDS (LIBRI CSV)'!$B111&lt;&gt;"",'VISA CARDS (LIBRI CSV)'!B111,"")</f>
        <v/>
      </c>
      <c r="C111" s="39" t="str">
        <f>IF('VISA CARDS (LIBRI CSV)'!$B111&lt;&gt;"",'VISA CARDS (LIBRI CSV)'!C111,"")</f>
        <v/>
      </c>
      <c r="D111" s="39" t="str">
        <f>IF('VISA CARDS (LIBRI CSV)'!$B111&lt;&gt;"",'VISA CARDS (LIBRI CSV)'!D111,"")</f>
        <v/>
      </c>
      <c r="E111" s="40" t="str">
        <f>IF('VISA CARDS (LIBRI CSV)'!$H111&lt;&gt;"",'VISA CARDS (LIBRI CSV)'!H111,"")</f>
        <v/>
      </c>
    </row>
    <row r="112" spans="2:5" x14ac:dyDescent="0.25">
      <c r="B112" s="39" t="str">
        <f>IF('VISA CARDS (LIBRI CSV)'!$B112&lt;&gt;"",'VISA CARDS (LIBRI CSV)'!B112,"")</f>
        <v/>
      </c>
      <c r="C112" s="39" t="str">
        <f>IF('VISA CARDS (LIBRI CSV)'!$B112&lt;&gt;"",'VISA CARDS (LIBRI CSV)'!C112,"")</f>
        <v/>
      </c>
      <c r="D112" s="39" t="str">
        <f>IF('VISA CARDS (LIBRI CSV)'!$B112&lt;&gt;"",'VISA CARDS (LIBRI CSV)'!D112,"")</f>
        <v/>
      </c>
      <c r="E112" s="40" t="str">
        <f>IF('VISA CARDS (LIBRI CSV)'!$H112&lt;&gt;"",'VISA CARDS (LIBRI CSV)'!H112,"")</f>
        <v/>
      </c>
    </row>
    <row r="113" spans="2:5" x14ac:dyDescent="0.25">
      <c r="B113" s="39" t="str">
        <f>IF('VISA CARDS (LIBRI CSV)'!$B113&lt;&gt;"",'VISA CARDS (LIBRI CSV)'!B113,"")</f>
        <v/>
      </c>
      <c r="C113" s="39" t="str">
        <f>IF('VISA CARDS (LIBRI CSV)'!$B113&lt;&gt;"",'VISA CARDS (LIBRI CSV)'!C113,"")</f>
        <v/>
      </c>
      <c r="D113" s="39" t="str">
        <f>IF('VISA CARDS (LIBRI CSV)'!$B113&lt;&gt;"",'VISA CARDS (LIBRI CSV)'!D113,"")</f>
        <v/>
      </c>
      <c r="E113" s="40" t="str">
        <f>IF('VISA CARDS (LIBRI CSV)'!$H113&lt;&gt;"",'VISA CARDS (LIBRI CSV)'!H113,"")</f>
        <v/>
      </c>
    </row>
    <row r="114" spans="2:5" x14ac:dyDescent="0.25">
      <c r="B114" s="39" t="str">
        <f>IF('VISA CARDS (LIBRI CSV)'!$B114&lt;&gt;"",'VISA CARDS (LIBRI CSV)'!B114,"")</f>
        <v/>
      </c>
      <c r="C114" s="39" t="str">
        <f>IF('VISA CARDS (LIBRI CSV)'!$B114&lt;&gt;"",'VISA CARDS (LIBRI CSV)'!C114,"")</f>
        <v/>
      </c>
      <c r="D114" s="39" t="str">
        <f>IF('VISA CARDS (LIBRI CSV)'!$B114&lt;&gt;"",'VISA CARDS (LIBRI CSV)'!D114,"")</f>
        <v/>
      </c>
      <c r="E114" s="40" t="str">
        <f>IF('VISA CARDS (LIBRI CSV)'!$H114&lt;&gt;"",'VISA CARDS (LIBRI CSV)'!H114,"")</f>
        <v/>
      </c>
    </row>
    <row r="115" spans="2:5" x14ac:dyDescent="0.25">
      <c r="B115" s="39" t="str">
        <f>IF('VISA CARDS (LIBRI CSV)'!$B115&lt;&gt;"",'VISA CARDS (LIBRI CSV)'!B115,"")</f>
        <v/>
      </c>
      <c r="C115" s="39" t="str">
        <f>IF('VISA CARDS (LIBRI CSV)'!$B115&lt;&gt;"",'VISA CARDS (LIBRI CSV)'!C115,"")</f>
        <v/>
      </c>
      <c r="D115" s="39" t="str">
        <f>IF('VISA CARDS (LIBRI CSV)'!$B115&lt;&gt;"",'VISA CARDS (LIBRI CSV)'!D115,"")</f>
        <v/>
      </c>
      <c r="E115" s="40" t="str">
        <f>IF('VISA CARDS (LIBRI CSV)'!$H115&lt;&gt;"",'VISA CARDS (LIBRI CSV)'!H115,"")</f>
        <v/>
      </c>
    </row>
    <row r="116" spans="2:5" x14ac:dyDescent="0.25">
      <c r="B116" s="39" t="str">
        <f>IF('VISA CARDS (LIBRI CSV)'!$B116&lt;&gt;"",'VISA CARDS (LIBRI CSV)'!B116,"")</f>
        <v/>
      </c>
      <c r="C116" s="39" t="str">
        <f>IF('VISA CARDS (LIBRI CSV)'!$B116&lt;&gt;"",'VISA CARDS (LIBRI CSV)'!C116,"")</f>
        <v/>
      </c>
      <c r="D116" s="39" t="str">
        <f>IF('VISA CARDS (LIBRI CSV)'!$B116&lt;&gt;"",'VISA CARDS (LIBRI CSV)'!D116,"")</f>
        <v/>
      </c>
      <c r="E116" s="40" t="str">
        <f>IF('VISA CARDS (LIBRI CSV)'!$H116&lt;&gt;"",'VISA CARDS (LIBRI CSV)'!H116,"")</f>
        <v/>
      </c>
    </row>
    <row r="117" spans="2:5" x14ac:dyDescent="0.25">
      <c r="B117" s="39" t="str">
        <f>IF('VISA CARDS (LIBRI CSV)'!$B117&lt;&gt;"",'VISA CARDS (LIBRI CSV)'!B117,"")</f>
        <v/>
      </c>
      <c r="C117" s="39" t="str">
        <f>IF('VISA CARDS (LIBRI CSV)'!$B117&lt;&gt;"",'VISA CARDS (LIBRI CSV)'!C117,"")</f>
        <v/>
      </c>
      <c r="D117" s="39" t="str">
        <f>IF('VISA CARDS (LIBRI CSV)'!$B117&lt;&gt;"",'VISA CARDS (LIBRI CSV)'!D117,"")</f>
        <v/>
      </c>
      <c r="E117" s="40" t="str">
        <f>IF('VISA CARDS (LIBRI CSV)'!$H117&lt;&gt;"",'VISA CARDS (LIBRI CSV)'!H117,"")</f>
        <v/>
      </c>
    </row>
    <row r="118" spans="2:5" x14ac:dyDescent="0.25">
      <c r="B118" s="39" t="str">
        <f>IF('VISA CARDS (LIBRI CSV)'!$B118&lt;&gt;"",'VISA CARDS (LIBRI CSV)'!B118,"")</f>
        <v/>
      </c>
      <c r="C118" s="39" t="str">
        <f>IF('VISA CARDS (LIBRI CSV)'!$B118&lt;&gt;"",'VISA CARDS (LIBRI CSV)'!C118,"")</f>
        <v/>
      </c>
      <c r="D118" s="39" t="str">
        <f>IF('VISA CARDS (LIBRI CSV)'!$B118&lt;&gt;"",'VISA CARDS (LIBRI CSV)'!D118,"")</f>
        <v/>
      </c>
      <c r="E118" s="40" t="str">
        <f>IF('VISA CARDS (LIBRI CSV)'!$H118&lt;&gt;"",'VISA CARDS (LIBRI CSV)'!H118,"")</f>
        <v/>
      </c>
    </row>
    <row r="119" spans="2:5" x14ac:dyDescent="0.25">
      <c r="B119" s="39" t="str">
        <f>IF('VISA CARDS (LIBRI CSV)'!$B119&lt;&gt;"",'VISA CARDS (LIBRI CSV)'!B119,"")</f>
        <v/>
      </c>
      <c r="C119" s="39" t="str">
        <f>IF('VISA CARDS (LIBRI CSV)'!$B119&lt;&gt;"",'VISA CARDS (LIBRI CSV)'!C119,"")</f>
        <v/>
      </c>
      <c r="D119" s="39" t="str">
        <f>IF('VISA CARDS (LIBRI CSV)'!$B119&lt;&gt;"",'VISA CARDS (LIBRI CSV)'!D119,"")</f>
        <v/>
      </c>
      <c r="E119" s="40" t="str">
        <f>IF('VISA CARDS (LIBRI CSV)'!$H119&lt;&gt;"",'VISA CARDS (LIBRI CSV)'!H119,"")</f>
        <v/>
      </c>
    </row>
    <row r="120" spans="2:5" x14ac:dyDescent="0.25">
      <c r="B120" s="39" t="str">
        <f>IF('VISA CARDS (LIBRI CSV)'!$B120&lt;&gt;"",'VISA CARDS (LIBRI CSV)'!B120,"")</f>
        <v/>
      </c>
      <c r="C120" s="39" t="str">
        <f>IF('VISA CARDS (LIBRI CSV)'!$B120&lt;&gt;"",'VISA CARDS (LIBRI CSV)'!C120,"")</f>
        <v/>
      </c>
      <c r="D120" s="39" t="str">
        <f>IF('VISA CARDS (LIBRI CSV)'!$B120&lt;&gt;"",'VISA CARDS (LIBRI CSV)'!D120,"")</f>
        <v/>
      </c>
      <c r="E120" s="40" t="str">
        <f>IF('VISA CARDS (LIBRI CSV)'!$H120&lt;&gt;"",'VISA CARDS (LIBRI CSV)'!H120,"")</f>
        <v/>
      </c>
    </row>
    <row r="121" spans="2:5" x14ac:dyDescent="0.25">
      <c r="B121" s="39" t="str">
        <f>IF('VISA CARDS (LIBRI CSV)'!$B121&lt;&gt;"",'VISA CARDS (LIBRI CSV)'!B121,"")</f>
        <v/>
      </c>
      <c r="C121" s="39" t="str">
        <f>IF('VISA CARDS (LIBRI CSV)'!$B121&lt;&gt;"",'VISA CARDS (LIBRI CSV)'!C121,"")</f>
        <v/>
      </c>
      <c r="D121" s="39" t="str">
        <f>IF('VISA CARDS (LIBRI CSV)'!$B121&lt;&gt;"",'VISA CARDS (LIBRI CSV)'!D121,"")</f>
        <v/>
      </c>
      <c r="E121" s="40" t="str">
        <f>IF('VISA CARDS (LIBRI CSV)'!$H121&lt;&gt;"",'VISA CARDS (LIBRI CSV)'!H121,"")</f>
        <v/>
      </c>
    </row>
    <row r="122" spans="2:5" x14ac:dyDescent="0.25">
      <c r="B122" s="39" t="str">
        <f>IF('VISA CARDS (LIBRI CSV)'!$B122&lt;&gt;"",'VISA CARDS (LIBRI CSV)'!B122,"")</f>
        <v/>
      </c>
      <c r="C122" s="39" t="str">
        <f>IF('VISA CARDS (LIBRI CSV)'!$B122&lt;&gt;"",'VISA CARDS (LIBRI CSV)'!C122,"")</f>
        <v/>
      </c>
      <c r="D122" s="39" t="str">
        <f>IF('VISA CARDS (LIBRI CSV)'!$B122&lt;&gt;"",'VISA CARDS (LIBRI CSV)'!D122,"")</f>
        <v/>
      </c>
      <c r="E122" s="40" t="str">
        <f>IF('VISA CARDS (LIBRI CSV)'!$H122&lt;&gt;"",'VISA CARDS (LIBRI CSV)'!H122,"")</f>
        <v/>
      </c>
    </row>
    <row r="123" spans="2:5" x14ac:dyDescent="0.25">
      <c r="B123" s="39" t="str">
        <f>IF('VISA CARDS (LIBRI CSV)'!$B123&lt;&gt;"",'VISA CARDS (LIBRI CSV)'!B123,"")</f>
        <v/>
      </c>
      <c r="C123" s="39" t="str">
        <f>IF('VISA CARDS (LIBRI CSV)'!$B123&lt;&gt;"",'VISA CARDS (LIBRI CSV)'!C123,"")</f>
        <v/>
      </c>
      <c r="D123" s="39" t="str">
        <f>IF('VISA CARDS (LIBRI CSV)'!$B123&lt;&gt;"",'VISA CARDS (LIBRI CSV)'!D123,"")</f>
        <v/>
      </c>
      <c r="E123" s="40" t="str">
        <f>IF('VISA CARDS (LIBRI CSV)'!$H123&lt;&gt;"",'VISA CARDS (LIBRI CSV)'!H123,"")</f>
        <v/>
      </c>
    </row>
    <row r="124" spans="2:5" x14ac:dyDescent="0.25">
      <c r="B124" s="39" t="str">
        <f>IF('VISA CARDS (LIBRI CSV)'!$B124&lt;&gt;"",'VISA CARDS (LIBRI CSV)'!B124,"")</f>
        <v/>
      </c>
      <c r="C124" s="39" t="str">
        <f>IF('VISA CARDS (LIBRI CSV)'!$B124&lt;&gt;"",'VISA CARDS (LIBRI CSV)'!C124,"")</f>
        <v/>
      </c>
      <c r="D124" s="39" t="str">
        <f>IF('VISA CARDS (LIBRI CSV)'!$B124&lt;&gt;"",'VISA CARDS (LIBRI CSV)'!D124,"")</f>
        <v/>
      </c>
      <c r="E124" s="40" t="str">
        <f>IF('VISA CARDS (LIBRI CSV)'!$H124&lt;&gt;"",'VISA CARDS (LIBRI CSV)'!H124,"")</f>
        <v/>
      </c>
    </row>
    <row r="125" spans="2:5" x14ac:dyDescent="0.25">
      <c r="B125" s="39" t="str">
        <f>IF('VISA CARDS (LIBRI CSV)'!$B125&lt;&gt;"",'VISA CARDS (LIBRI CSV)'!B125,"")</f>
        <v/>
      </c>
      <c r="C125" s="39" t="str">
        <f>IF('VISA CARDS (LIBRI CSV)'!$B125&lt;&gt;"",'VISA CARDS (LIBRI CSV)'!C125,"")</f>
        <v/>
      </c>
      <c r="D125" s="39" t="str">
        <f>IF('VISA CARDS (LIBRI CSV)'!$B125&lt;&gt;"",'VISA CARDS (LIBRI CSV)'!D125,"")</f>
        <v/>
      </c>
      <c r="E125" s="40" t="str">
        <f>IF('VISA CARDS (LIBRI CSV)'!$H125&lt;&gt;"",'VISA CARDS (LIBRI CSV)'!H125,"")</f>
        <v/>
      </c>
    </row>
    <row r="126" spans="2:5" x14ac:dyDescent="0.25">
      <c r="B126" s="39" t="str">
        <f>IF('VISA CARDS (LIBRI CSV)'!$B126&lt;&gt;"",'VISA CARDS (LIBRI CSV)'!B126,"")</f>
        <v/>
      </c>
      <c r="C126" s="39" t="str">
        <f>IF('VISA CARDS (LIBRI CSV)'!$B126&lt;&gt;"",'VISA CARDS (LIBRI CSV)'!C126,"")</f>
        <v/>
      </c>
      <c r="D126" s="39" t="str">
        <f>IF('VISA CARDS (LIBRI CSV)'!$B126&lt;&gt;"",'VISA CARDS (LIBRI CSV)'!D126,"")</f>
        <v/>
      </c>
      <c r="E126" s="40" t="str">
        <f>IF('VISA CARDS (LIBRI CSV)'!$H126&lt;&gt;"",'VISA CARDS (LIBRI CSV)'!H126,"")</f>
        <v/>
      </c>
    </row>
    <row r="127" spans="2:5" x14ac:dyDescent="0.25">
      <c r="B127" s="39" t="str">
        <f>IF('VISA CARDS (LIBRI CSV)'!$B127&lt;&gt;"",'VISA CARDS (LIBRI CSV)'!B127,"")</f>
        <v/>
      </c>
      <c r="C127" s="39" t="str">
        <f>IF('VISA CARDS (LIBRI CSV)'!$B127&lt;&gt;"",'VISA CARDS (LIBRI CSV)'!C127,"")</f>
        <v/>
      </c>
      <c r="D127" s="39" t="str">
        <f>IF('VISA CARDS (LIBRI CSV)'!$B127&lt;&gt;"",'VISA CARDS (LIBRI CSV)'!D127,"")</f>
        <v/>
      </c>
      <c r="E127" s="40" t="str">
        <f>IF('VISA CARDS (LIBRI CSV)'!$H127&lt;&gt;"",'VISA CARDS (LIBRI CSV)'!H127,"")</f>
        <v/>
      </c>
    </row>
    <row r="128" spans="2:5" x14ac:dyDescent="0.25">
      <c r="B128" s="39" t="str">
        <f>IF('VISA CARDS (LIBRI CSV)'!$B128&lt;&gt;"",'VISA CARDS (LIBRI CSV)'!B128,"")</f>
        <v/>
      </c>
      <c r="C128" s="39" t="str">
        <f>IF('VISA CARDS (LIBRI CSV)'!$B128&lt;&gt;"",'VISA CARDS (LIBRI CSV)'!C128,"")</f>
        <v/>
      </c>
      <c r="D128" s="39" t="str">
        <f>IF('VISA CARDS (LIBRI CSV)'!$B128&lt;&gt;"",'VISA CARDS (LIBRI CSV)'!D128,"")</f>
        <v/>
      </c>
      <c r="E128" s="40" t="str">
        <f>IF('VISA CARDS (LIBRI CSV)'!$H128&lt;&gt;"",'VISA CARDS (LIBRI CSV)'!H128,"")</f>
        <v/>
      </c>
    </row>
    <row r="129" spans="2:5" x14ac:dyDescent="0.25">
      <c r="B129" s="39" t="str">
        <f>IF('VISA CARDS (LIBRI CSV)'!$B129&lt;&gt;"",'VISA CARDS (LIBRI CSV)'!B129,"")</f>
        <v/>
      </c>
      <c r="C129" s="39" t="str">
        <f>IF('VISA CARDS (LIBRI CSV)'!$B129&lt;&gt;"",'VISA CARDS (LIBRI CSV)'!C129,"")</f>
        <v/>
      </c>
      <c r="D129" s="39" t="str">
        <f>IF('VISA CARDS (LIBRI CSV)'!$B129&lt;&gt;"",'VISA CARDS (LIBRI CSV)'!D129,"")</f>
        <v/>
      </c>
      <c r="E129" s="40" t="str">
        <f>IF('VISA CARDS (LIBRI CSV)'!$H129&lt;&gt;"",'VISA CARDS (LIBRI CSV)'!H129,"")</f>
        <v/>
      </c>
    </row>
    <row r="130" spans="2:5" x14ac:dyDescent="0.25">
      <c r="B130" s="39" t="str">
        <f>IF('VISA CARDS (LIBRI CSV)'!$B130&lt;&gt;"",'VISA CARDS (LIBRI CSV)'!B130,"")</f>
        <v/>
      </c>
      <c r="C130" s="39" t="str">
        <f>IF('VISA CARDS (LIBRI CSV)'!$B130&lt;&gt;"",'VISA CARDS (LIBRI CSV)'!C130,"")</f>
        <v/>
      </c>
      <c r="D130" s="39" t="str">
        <f>IF('VISA CARDS (LIBRI CSV)'!$B130&lt;&gt;"",'VISA CARDS (LIBRI CSV)'!D130,"")</f>
        <v/>
      </c>
      <c r="E130" s="40" t="str">
        <f>IF('VISA CARDS (LIBRI CSV)'!$H130&lt;&gt;"",'VISA CARDS (LIBRI CSV)'!H130,"")</f>
        <v/>
      </c>
    </row>
    <row r="131" spans="2:5" x14ac:dyDescent="0.25">
      <c r="B131" s="39" t="str">
        <f>IF('VISA CARDS (LIBRI CSV)'!$B131&lt;&gt;"",'VISA CARDS (LIBRI CSV)'!B131,"")</f>
        <v/>
      </c>
      <c r="C131" s="39" t="str">
        <f>IF('VISA CARDS (LIBRI CSV)'!$B131&lt;&gt;"",'VISA CARDS (LIBRI CSV)'!C131,"")</f>
        <v/>
      </c>
      <c r="D131" s="39" t="str">
        <f>IF('VISA CARDS (LIBRI CSV)'!$B131&lt;&gt;"",'VISA CARDS (LIBRI CSV)'!D131,"")</f>
        <v/>
      </c>
      <c r="E131" s="40" t="str">
        <f>IF('VISA CARDS (LIBRI CSV)'!$H131&lt;&gt;"",'VISA CARDS (LIBRI CSV)'!H131,"")</f>
        <v/>
      </c>
    </row>
    <row r="132" spans="2:5" x14ac:dyDescent="0.25">
      <c r="B132" s="39" t="str">
        <f>IF('VISA CARDS (LIBRI CSV)'!$B132&lt;&gt;"",'VISA CARDS (LIBRI CSV)'!B132,"")</f>
        <v/>
      </c>
      <c r="C132" s="39" t="str">
        <f>IF('VISA CARDS (LIBRI CSV)'!$B132&lt;&gt;"",'VISA CARDS (LIBRI CSV)'!C132,"")</f>
        <v/>
      </c>
      <c r="D132" s="39" t="str">
        <f>IF('VISA CARDS (LIBRI CSV)'!$B132&lt;&gt;"",'VISA CARDS (LIBRI CSV)'!D132,"")</f>
        <v/>
      </c>
      <c r="E132" s="40" t="str">
        <f>IF('VISA CARDS (LIBRI CSV)'!$H132&lt;&gt;"",'VISA CARDS (LIBRI CSV)'!H132,"")</f>
        <v/>
      </c>
    </row>
    <row r="133" spans="2:5" x14ac:dyDescent="0.25">
      <c r="B133" s="39" t="str">
        <f>IF('VISA CARDS (LIBRI CSV)'!$B133&lt;&gt;"",'VISA CARDS (LIBRI CSV)'!B133,"")</f>
        <v/>
      </c>
      <c r="C133" s="39" t="str">
        <f>IF('VISA CARDS (LIBRI CSV)'!$B133&lt;&gt;"",'VISA CARDS (LIBRI CSV)'!C133,"")</f>
        <v/>
      </c>
      <c r="D133" s="39" t="str">
        <f>IF('VISA CARDS (LIBRI CSV)'!$B133&lt;&gt;"",'VISA CARDS (LIBRI CSV)'!D133,"")</f>
        <v/>
      </c>
      <c r="E133" s="40" t="str">
        <f>IF('VISA CARDS (LIBRI CSV)'!$H133&lt;&gt;"",'VISA CARDS (LIBRI CSV)'!H133,"")</f>
        <v/>
      </c>
    </row>
    <row r="134" spans="2:5" x14ac:dyDescent="0.25">
      <c r="B134" s="39" t="str">
        <f>IF('VISA CARDS (LIBRI CSV)'!$B134&lt;&gt;"",'VISA CARDS (LIBRI CSV)'!B134,"")</f>
        <v/>
      </c>
      <c r="C134" s="39" t="str">
        <f>IF('VISA CARDS (LIBRI CSV)'!$B134&lt;&gt;"",'VISA CARDS (LIBRI CSV)'!C134,"")</f>
        <v/>
      </c>
      <c r="D134" s="39" t="str">
        <f>IF('VISA CARDS (LIBRI CSV)'!$B134&lt;&gt;"",'VISA CARDS (LIBRI CSV)'!D134,"")</f>
        <v/>
      </c>
      <c r="E134" s="40" t="str">
        <f>IF('VISA CARDS (LIBRI CSV)'!$H134&lt;&gt;"",'VISA CARDS (LIBRI CSV)'!H134,"")</f>
        <v/>
      </c>
    </row>
    <row r="135" spans="2:5" x14ac:dyDescent="0.25">
      <c r="B135" s="39" t="str">
        <f>IF('VISA CARDS (LIBRI CSV)'!$B135&lt;&gt;"",'VISA CARDS (LIBRI CSV)'!B135,"")</f>
        <v/>
      </c>
      <c r="C135" s="39" t="str">
        <f>IF('VISA CARDS (LIBRI CSV)'!$B135&lt;&gt;"",'VISA CARDS (LIBRI CSV)'!C135,"")</f>
        <v/>
      </c>
      <c r="D135" s="39" t="str">
        <f>IF('VISA CARDS (LIBRI CSV)'!$B135&lt;&gt;"",'VISA CARDS (LIBRI CSV)'!D135,"")</f>
        <v/>
      </c>
      <c r="E135" s="40" t="str">
        <f>IF('VISA CARDS (LIBRI CSV)'!$H135&lt;&gt;"",'VISA CARDS (LIBRI CSV)'!H135,"")</f>
        <v/>
      </c>
    </row>
    <row r="136" spans="2:5" x14ac:dyDescent="0.25">
      <c r="B136" s="39" t="str">
        <f>IF('VISA CARDS (LIBRI CSV)'!$B136&lt;&gt;"",'VISA CARDS (LIBRI CSV)'!B136,"")</f>
        <v/>
      </c>
      <c r="C136" s="39" t="str">
        <f>IF('VISA CARDS (LIBRI CSV)'!$B136&lt;&gt;"",'VISA CARDS (LIBRI CSV)'!C136,"")</f>
        <v/>
      </c>
      <c r="D136" s="39" t="str">
        <f>IF('VISA CARDS (LIBRI CSV)'!$B136&lt;&gt;"",'VISA CARDS (LIBRI CSV)'!D136,"")</f>
        <v/>
      </c>
      <c r="E136" s="40" t="str">
        <f>IF('VISA CARDS (LIBRI CSV)'!$H136&lt;&gt;"",'VISA CARDS (LIBRI CSV)'!H136,"")</f>
        <v/>
      </c>
    </row>
    <row r="137" spans="2:5" x14ac:dyDescent="0.25">
      <c r="B137" s="39" t="str">
        <f>IF('VISA CARDS (LIBRI CSV)'!$B137&lt;&gt;"",'VISA CARDS (LIBRI CSV)'!B137,"")</f>
        <v/>
      </c>
      <c r="C137" s="39" t="str">
        <f>IF('VISA CARDS (LIBRI CSV)'!$B137&lt;&gt;"",'VISA CARDS (LIBRI CSV)'!C137,"")</f>
        <v/>
      </c>
      <c r="D137" s="39" t="str">
        <f>IF('VISA CARDS (LIBRI CSV)'!$B137&lt;&gt;"",'VISA CARDS (LIBRI CSV)'!D137,"")</f>
        <v/>
      </c>
      <c r="E137" s="40" t="str">
        <f>IF('VISA CARDS (LIBRI CSV)'!$H137&lt;&gt;"",'VISA CARDS (LIBRI CSV)'!H137,"")</f>
        <v/>
      </c>
    </row>
    <row r="138" spans="2:5" x14ac:dyDescent="0.25">
      <c r="B138" s="39" t="str">
        <f>IF('VISA CARDS (LIBRI CSV)'!$B138&lt;&gt;"",'VISA CARDS (LIBRI CSV)'!B138,"")</f>
        <v/>
      </c>
      <c r="C138" s="39" t="str">
        <f>IF('VISA CARDS (LIBRI CSV)'!$B138&lt;&gt;"",'VISA CARDS (LIBRI CSV)'!C138,"")</f>
        <v/>
      </c>
      <c r="D138" s="39" t="str">
        <f>IF('VISA CARDS (LIBRI CSV)'!$B138&lt;&gt;"",'VISA CARDS (LIBRI CSV)'!D138,"")</f>
        <v/>
      </c>
      <c r="E138" s="40" t="str">
        <f>IF('VISA CARDS (LIBRI CSV)'!$H138&lt;&gt;"",'VISA CARDS (LIBRI CSV)'!H138,"")</f>
        <v/>
      </c>
    </row>
    <row r="139" spans="2:5" x14ac:dyDescent="0.25">
      <c r="B139" s="39" t="str">
        <f>IF('VISA CARDS (LIBRI CSV)'!$B139&lt;&gt;"",'VISA CARDS (LIBRI CSV)'!B139,"")</f>
        <v/>
      </c>
      <c r="C139" s="39" t="str">
        <f>IF('VISA CARDS (LIBRI CSV)'!$B139&lt;&gt;"",'VISA CARDS (LIBRI CSV)'!C139,"")</f>
        <v/>
      </c>
      <c r="D139" s="39" t="str">
        <f>IF('VISA CARDS (LIBRI CSV)'!$B139&lt;&gt;"",'VISA CARDS (LIBRI CSV)'!D139,"")</f>
        <v/>
      </c>
      <c r="E139" s="40" t="str">
        <f>IF('VISA CARDS (LIBRI CSV)'!$H139&lt;&gt;"",'VISA CARDS (LIBRI CSV)'!H139,"")</f>
        <v/>
      </c>
    </row>
    <row r="140" spans="2:5" x14ac:dyDescent="0.25">
      <c r="B140" s="39" t="str">
        <f>IF('VISA CARDS (LIBRI CSV)'!$B140&lt;&gt;"",'VISA CARDS (LIBRI CSV)'!B140,"")</f>
        <v/>
      </c>
      <c r="C140" s="39" t="str">
        <f>IF('VISA CARDS (LIBRI CSV)'!$B140&lt;&gt;"",'VISA CARDS (LIBRI CSV)'!C140,"")</f>
        <v/>
      </c>
      <c r="D140" s="39" t="str">
        <f>IF('VISA CARDS (LIBRI CSV)'!$B140&lt;&gt;"",'VISA CARDS (LIBRI CSV)'!D140,"")</f>
        <v/>
      </c>
      <c r="E140" s="40" t="str">
        <f>IF('VISA CARDS (LIBRI CSV)'!$H140&lt;&gt;"",'VISA CARDS (LIBRI CSV)'!H140,"")</f>
        <v/>
      </c>
    </row>
    <row r="141" spans="2:5" x14ac:dyDescent="0.25">
      <c r="B141" s="39" t="str">
        <f>IF('VISA CARDS (LIBRI CSV)'!$B141&lt;&gt;"",'VISA CARDS (LIBRI CSV)'!B141,"")</f>
        <v/>
      </c>
      <c r="C141" s="39" t="str">
        <f>IF('VISA CARDS (LIBRI CSV)'!$B141&lt;&gt;"",'VISA CARDS (LIBRI CSV)'!C141,"")</f>
        <v/>
      </c>
      <c r="D141" s="39" t="str">
        <f>IF('VISA CARDS (LIBRI CSV)'!$B141&lt;&gt;"",'VISA CARDS (LIBRI CSV)'!D141,"")</f>
        <v/>
      </c>
      <c r="E141" s="40" t="str">
        <f>IF('VISA CARDS (LIBRI CSV)'!$H141&lt;&gt;"",'VISA CARDS (LIBRI CSV)'!H141,"")</f>
        <v/>
      </c>
    </row>
    <row r="142" spans="2:5" x14ac:dyDescent="0.25">
      <c r="B142" s="39" t="str">
        <f>IF('VISA CARDS (LIBRI CSV)'!$B142&lt;&gt;"",'VISA CARDS (LIBRI CSV)'!B142,"")</f>
        <v/>
      </c>
      <c r="C142" s="39" t="str">
        <f>IF('VISA CARDS (LIBRI CSV)'!$B142&lt;&gt;"",'VISA CARDS (LIBRI CSV)'!C142,"")</f>
        <v/>
      </c>
      <c r="D142" s="39" t="str">
        <f>IF('VISA CARDS (LIBRI CSV)'!$B142&lt;&gt;"",'VISA CARDS (LIBRI CSV)'!D142,"")</f>
        <v/>
      </c>
      <c r="E142" s="40" t="str">
        <f>IF('VISA CARDS (LIBRI CSV)'!$H142&lt;&gt;"",'VISA CARDS (LIBRI CSV)'!H142,"")</f>
        <v/>
      </c>
    </row>
    <row r="143" spans="2:5" x14ac:dyDescent="0.25">
      <c r="B143" s="39" t="str">
        <f>IF('VISA CARDS (LIBRI CSV)'!$B143&lt;&gt;"",'VISA CARDS (LIBRI CSV)'!B143,"")</f>
        <v/>
      </c>
      <c r="C143" s="39" t="str">
        <f>IF('VISA CARDS (LIBRI CSV)'!$B143&lt;&gt;"",'VISA CARDS (LIBRI CSV)'!C143,"")</f>
        <v/>
      </c>
      <c r="D143" s="39" t="str">
        <f>IF('VISA CARDS (LIBRI CSV)'!$B143&lt;&gt;"",'VISA CARDS (LIBRI CSV)'!D143,"")</f>
        <v/>
      </c>
      <c r="E143" s="40" t="str">
        <f>IF('VISA CARDS (LIBRI CSV)'!$H143&lt;&gt;"",'VISA CARDS (LIBRI CSV)'!H143,"")</f>
        <v/>
      </c>
    </row>
    <row r="144" spans="2:5" x14ac:dyDescent="0.25">
      <c r="B144" s="39" t="str">
        <f>IF('VISA CARDS (LIBRI CSV)'!$B144&lt;&gt;"",'VISA CARDS (LIBRI CSV)'!B144,"")</f>
        <v/>
      </c>
      <c r="C144" s="39" t="str">
        <f>IF('VISA CARDS (LIBRI CSV)'!$B144&lt;&gt;"",'VISA CARDS (LIBRI CSV)'!C144,"")</f>
        <v/>
      </c>
      <c r="D144" s="39" t="str">
        <f>IF('VISA CARDS (LIBRI CSV)'!$B144&lt;&gt;"",'VISA CARDS (LIBRI CSV)'!D144,"")</f>
        <v/>
      </c>
      <c r="E144" s="40" t="str">
        <f>IF('VISA CARDS (LIBRI CSV)'!$H144&lt;&gt;"",'VISA CARDS (LIBRI CSV)'!H144,"")</f>
        <v/>
      </c>
    </row>
    <row r="145" spans="2:5" x14ac:dyDescent="0.25">
      <c r="B145" s="39" t="str">
        <f>IF('VISA CARDS (LIBRI CSV)'!$B145&lt;&gt;"",'VISA CARDS (LIBRI CSV)'!B145,"")</f>
        <v/>
      </c>
      <c r="C145" s="39" t="str">
        <f>IF('VISA CARDS (LIBRI CSV)'!$B145&lt;&gt;"",'VISA CARDS (LIBRI CSV)'!C145,"")</f>
        <v/>
      </c>
      <c r="D145" s="39" t="str">
        <f>IF('VISA CARDS (LIBRI CSV)'!$B145&lt;&gt;"",'VISA CARDS (LIBRI CSV)'!D145,"")</f>
        <v/>
      </c>
      <c r="E145" s="40" t="str">
        <f>IF('VISA CARDS (LIBRI CSV)'!$H145&lt;&gt;"",'VISA CARDS (LIBRI CSV)'!H145,"")</f>
        <v/>
      </c>
    </row>
    <row r="146" spans="2:5" x14ac:dyDescent="0.25">
      <c r="B146" s="39" t="str">
        <f>IF('VISA CARDS (LIBRI CSV)'!$B146&lt;&gt;"",'VISA CARDS (LIBRI CSV)'!B146,"")</f>
        <v/>
      </c>
      <c r="C146" s="39" t="str">
        <f>IF('VISA CARDS (LIBRI CSV)'!$B146&lt;&gt;"",'VISA CARDS (LIBRI CSV)'!C146,"")</f>
        <v/>
      </c>
      <c r="D146" s="39" t="str">
        <f>IF('VISA CARDS (LIBRI CSV)'!$B146&lt;&gt;"",'VISA CARDS (LIBRI CSV)'!D146,"")</f>
        <v/>
      </c>
      <c r="E146" s="40" t="str">
        <f>IF('VISA CARDS (LIBRI CSV)'!$H146&lt;&gt;"",'VISA CARDS (LIBRI CSV)'!H146,"")</f>
        <v/>
      </c>
    </row>
    <row r="147" spans="2:5" x14ac:dyDescent="0.25">
      <c r="B147" s="39" t="str">
        <f>IF('VISA CARDS (LIBRI CSV)'!$B147&lt;&gt;"",'VISA CARDS (LIBRI CSV)'!B147,"")</f>
        <v/>
      </c>
      <c r="C147" s="39" t="str">
        <f>IF('VISA CARDS (LIBRI CSV)'!$B147&lt;&gt;"",'VISA CARDS (LIBRI CSV)'!C147,"")</f>
        <v/>
      </c>
      <c r="D147" s="39" t="str">
        <f>IF('VISA CARDS (LIBRI CSV)'!$B147&lt;&gt;"",'VISA CARDS (LIBRI CSV)'!D147,"")</f>
        <v/>
      </c>
      <c r="E147" s="40" t="str">
        <f>IF('VISA CARDS (LIBRI CSV)'!$H147&lt;&gt;"",'VISA CARDS (LIBRI CSV)'!H147,"")</f>
        <v/>
      </c>
    </row>
    <row r="148" spans="2:5" x14ac:dyDescent="0.25">
      <c r="B148" s="39" t="str">
        <f>IF('VISA CARDS (LIBRI CSV)'!$B148&lt;&gt;"",'VISA CARDS (LIBRI CSV)'!B148,"")</f>
        <v/>
      </c>
      <c r="C148" s="39" t="str">
        <f>IF('VISA CARDS (LIBRI CSV)'!$B148&lt;&gt;"",'VISA CARDS (LIBRI CSV)'!C148,"")</f>
        <v/>
      </c>
      <c r="D148" s="39" t="str">
        <f>IF('VISA CARDS (LIBRI CSV)'!$B148&lt;&gt;"",'VISA CARDS (LIBRI CSV)'!D148,"")</f>
        <v/>
      </c>
      <c r="E148" s="40" t="str">
        <f>IF('VISA CARDS (LIBRI CSV)'!$H148&lt;&gt;"",'VISA CARDS (LIBRI CSV)'!H148,"")</f>
        <v/>
      </c>
    </row>
    <row r="149" spans="2:5" x14ac:dyDescent="0.25">
      <c r="B149" s="39" t="str">
        <f>IF('VISA CARDS (LIBRI CSV)'!$B149&lt;&gt;"",'VISA CARDS (LIBRI CSV)'!B149,"")</f>
        <v/>
      </c>
      <c r="C149" s="39" t="str">
        <f>IF('VISA CARDS (LIBRI CSV)'!$B149&lt;&gt;"",'VISA CARDS (LIBRI CSV)'!C149,"")</f>
        <v/>
      </c>
      <c r="D149" s="39" t="str">
        <f>IF('VISA CARDS (LIBRI CSV)'!$B149&lt;&gt;"",'VISA CARDS (LIBRI CSV)'!D149,"")</f>
        <v/>
      </c>
      <c r="E149" s="40" t="str">
        <f>IF('VISA CARDS (LIBRI CSV)'!$H149&lt;&gt;"",'VISA CARDS (LIBRI CSV)'!H149,"")</f>
        <v/>
      </c>
    </row>
    <row r="150" spans="2:5" x14ac:dyDescent="0.25">
      <c r="B150" s="39" t="str">
        <f>IF('VISA CARDS (LIBRI CSV)'!$B150&lt;&gt;"",'VISA CARDS (LIBRI CSV)'!B150,"")</f>
        <v/>
      </c>
      <c r="C150" s="39" t="str">
        <f>IF('VISA CARDS (LIBRI CSV)'!$B150&lt;&gt;"",'VISA CARDS (LIBRI CSV)'!C150,"")</f>
        <v/>
      </c>
      <c r="D150" s="39" t="str">
        <f>IF('VISA CARDS (LIBRI CSV)'!$B150&lt;&gt;"",'VISA CARDS (LIBRI CSV)'!D150,"")</f>
        <v/>
      </c>
      <c r="E150" s="40" t="str">
        <f>IF('VISA CARDS (LIBRI CSV)'!$H150&lt;&gt;"",'VISA CARDS (LIBRI CSV)'!H150,"")</f>
        <v/>
      </c>
    </row>
    <row r="151" spans="2:5" x14ac:dyDescent="0.25">
      <c r="B151" s="39" t="str">
        <f>IF('VISA CARDS (LIBRI CSV)'!$B151&lt;&gt;"",'VISA CARDS (LIBRI CSV)'!B151,"")</f>
        <v/>
      </c>
      <c r="C151" s="39" t="str">
        <f>IF('VISA CARDS (LIBRI CSV)'!$B151&lt;&gt;"",'VISA CARDS (LIBRI CSV)'!C151,"")</f>
        <v/>
      </c>
      <c r="D151" s="39" t="str">
        <f>IF('VISA CARDS (LIBRI CSV)'!$B151&lt;&gt;"",'VISA CARDS (LIBRI CSV)'!D151,"")</f>
        <v/>
      </c>
      <c r="E151" s="40" t="str">
        <f>IF('VISA CARDS (LIBRI CSV)'!$H151&lt;&gt;"",'VISA CARDS (LIBRI CSV)'!H151,"")</f>
        <v/>
      </c>
    </row>
    <row r="152" spans="2:5" x14ac:dyDescent="0.25">
      <c r="B152" s="39" t="str">
        <f>IF('VISA CARDS (LIBRI CSV)'!$B152&lt;&gt;"",'VISA CARDS (LIBRI CSV)'!B152,"")</f>
        <v/>
      </c>
      <c r="C152" s="39" t="str">
        <f>IF('VISA CARDS (LIBRI CSV)'!$B152&lt;&gt;"",'VISA CARDS (LIBRI CSV)'!C152,"")</f>
        <v/>
      </c>
      <c r="D152" s="39" t="str">
        <f>IF('VISA CARDS (LIBRI CSV)'!$B152&lt;&gt;"",'VISA CARDS (LIBRI CSV)'!D152,"")</f>
        <v/>
      </c>
      <c r="E152" s="40" t="str">
        <f>IF('VISA CARDS (LIBRI CSV)'!$H152&lt;&gt;"",'VISA CARDS (LIBRI CSV)'!H152,"")</f>
        <v/>
      </c>
    </row>
    <row r="153" spans="2:5" x14ac:dyDescent="0.25">
      <c r="B153" s="39" t="str">
        <f>IF('VISA CARDS (LIBRI CSV)'!$B153&lt;&gt;"",'VISA CARDS (LIBRI CSV)'!B153,"")</f>
        <v/>
      </c>
      <c r="C153" s="39" t="str">
        <f>IF('VISA CARDS (LIBRI CSV)'!$B153&lt;&gt;"",'VISA CARDS (LIBRI CSV)'!C153,"")</f>
        <v/>
      </c>
      <c r="D153" s="39" t="str">
        <f>IF('VISA CARDS (LIBRI CSV)'!$B153&lt;&gt;"",'VISA CARDS (LIBRI CSV)'!D153,"")</f>
        <v/>
      </c>
      <c r="E153" s="40" t="str">
        <f>IF('VISA CARDS (LIBRI CSV)'!$H153&lt;&gt;"",'VISA CARDS (LIBRI CSV)'!H153,"")</f>
        <v/>
      </c>
    </row>
    <row r="154" spans="2:5" x14ac:dyDescent="0.25">
      <c r="B154" s="39" t="str">
        <f>IF('VISA CARDS (LIBRI CSV)'!$B154&lt;&gt;"",'VISA CARDS (LIBRI CSV)'!B154,"")</f>
        <v/>
      </c>
      <c r="C154" s="39" t="str">
        <f>IF('VISA CARDS (LIBRI CSV)'!$B154&lt;&gt;"",'VISA CARDS (LIBRI CSV)'!C154,"")</f>
        <v/>
      </c>
      <c r="D154" s="39" t="str">
        <f>IF('VISA CARDS (LIBRI CSV)'!$B154&lt;&gt;"",'VISA CARDS (LIBRI CSV)'!D154,"")</f>
        <v/>
      </c>
      <c r="E154" s="40" t="str">
        <f>IF('VISA CARDS (LIBRI CSV)'!$H154&lt;&gt;"",'VISA CARDS (LIBRI CSV)'!H154,"")</f>
        <v/>
      </c>
    </row>
    <row r="155" spans="2:5" x14ac:dyDescent="0.25">
      <c r="B155" s="39" t="str">
        <f>IF('VISA CARDS (LIBRI CSV)'!$B155&lt;&gt;"",'VISA CARDS (LIBRI CSV)'!B155,"")</f>
        <v/>
      </c>
      <c r="C155" s="39" t="str">
        <f>IF('VISA CARDS (LIBRI CSV)'!$B155&lt;&gt;"",'VISA CARDS (LIBRI CSV)'!C155,"")</f>
        <v/>
      </c>
      <c r="D155" s="39" t="str">
        <f>IF('VISA CARDS (LIBRI CSV)'!$B155&lt;&gt;"",'VISA CARDS (LIBRI CSV)'!D155,"")</f>
        <v/>
      </c>
      <c r="E155" s="40" t="str">
        <f>IF('VISA CARDS (LIBRI CSV)'!$H155&lt;&gt;"",'VISA CARDS (LIBRI CSV)'!H155,"")</f>
        <v/>
      </c>
    </row>
    <row r="156" spans="2:5" x14ac:dyDescent="0.25">
      <c r="B156" s="39" t="str">
        <f>IF('VISA CARDS (LIBRI CSV)'!$B156&lt;&gt;"",'VISA CARDS (LIBRI CSV)'!B156,"")</f>
        <v/>
      </c>
      <c r="C156" s="39" t="str">
        <f>IF('VISA CARDS (LIBRI CSV)'!$B156&lt;&gt;"",'VISA CARDS (LIBRI CSV)'!C156,"")</f>
        <v/>
      </c>
      <c r="D156" s="39" t="str">
        <f>IF('VISA CARDS (LIBRI CSV)'!$B156&lt;&gt;"",'VISA CARDS (LIBRI CSV)'!D156,"")</f>
        <v/>
      </c>
      <c r="E156" s="40" t="str">
        <f>IF('VISA CARDS (LIBRI CSV)'!$H156&lt;&gt;"",'VISA CARDS (LIBRI CSV)'!H156,"")</f>
        <v/>
      </c>
    </row>
    <row r="157" spans="2:5" x14ac:dyDescent="0.25">
      <c r="B157" s="39" t="str">
        <f>IF('VISA CARDS (LIBRI CSV)'!$B157&lt;&gt;"",'VISA CARDS (LIBRI CSV)'!B157,"")</f>
        <v/>
      </c>
      <c r="C157" s="39" t="str">
        <f>IF('VISA CARDS (LIBRI CSV)'!$B157&lt;&gt;"",'VISA CARDS (LIBRI CSV)'!C157,"")</f>
        <v/>
      </c>
      <c r="D157" s="39" t="str">
        <f>IF('VISA CARDS (LIBRI CSV)'!$B157&lt;&gt;"",'VISA CARDS (LIBRI CSV)'!D157,"")</f>
        <v/>
      </c>
      <c r="E157" s="40" t="str">
        <f>IF('VISA CARDS (LIBRI CSV)'!$H157&lt;&gt;"",'VISA CARDS (LIBRI CSV)'!H157,"")</f>
        <v/>
      </c>
    </row>
    <row r="158" spans="2:5" x14ac:dyDescent="0.25">
      <c r="B158" s="39" t="str">
        <f>IF('VISA CARDS (LIBRI CSV)'!$B158&lt;&gt;"",'VISA CARDS (LIBRI CSV)'!B158,"")</f>
        <v/>
      </c>
      <c r="C158" s="39" t="str">
        <f>IF('VISA CARDS (LIBRI CSV)'!$B158&lt;&gt;"",'VISA CARDS (LIBRI CSV)'!C158,"")</f>
        <v/>
      </c>
      <c r="D158" s="39" t="str">
        <f>IF('VISA CARDS (LIBRI CSV)'!$B158&lt;&gt;"",'VISA CARDS (LIBRI CSV)'!D158,"")</f>
        <v/>
      </c>
      <c r="E158" s="40" t="str">
        <f>IF('VISA CARDS (LIBRI CSV)'!$H158&lt;&gt;"",'VISA CARDS (LIBRI CSV)'!H158,"")</f>
        <v/>
      </c>
    </row>
    <row r="159" spans="2:5" x14ac:dyDescent="0.25">
      <c r="B159" s="39" t="str">
        <f>IF('VISA CARDS (LIBRI CSV)'!$B159&lt;&gt;"",'VISA CARDS (LIBRI CSV)'!B159,"")</f>
        <v/>
      </c>
      <c r="C159" s="39" t="str">
        <f>IF('VISA CARDS (LIBRI CSV)'!$B159&lt;&gt;"",'VISA CARDS (LIBRI CSV)'!C159,"")</f>
        <v/>
      </c>
      <c r="D159" s="39" t="str">
        <f>IF('VISA CARDS (LIBRI CSV)'!$B159&lt;&gt;"",'VISA CARDS (LIBRI CSV)'!D159,"")</f>
        <v/>
      </c>
      <c r="E159" s="40" t="str">
        <f>IF('VISA CARDS (LIBRI CSV)'!$H159&lt;&gt;"",'VISA CARDS (LIBRI CSV)'!H159,"")</f>
        <v/>
      </c>
    </row>
    <row r="160" spans="2:5" x14ac:dyDescent="0.25">
      <c r="B160" s="39" t="str">
        <f>IF('VISA CARDS (LIBRI CSV)'!$B160&lt;&gt;"",'VISA CARDS (LIBRI CSV)'!B160,"")</f>
        <v/>
      </c>
      <c r="C160" s="39" t="str">
        <f>IF('VISA CARDS (LIBRI CSV)'!$B160&lt;&gt;"",'VISA CARDS (LIBRI CSV)'!C160,"")</f>
        <v/>
      </c>
      <c r="D160" s="39" t="str">
        <f>IF('VISA CARDS (LIBRI CSV)'!$B160&lt;&gt;"",'VISA CARDS (LIBRI CSV)'!D160,"")</f>
        <v/>
      </c>
      <c r="E160" s="40" t="str">
        <f>IF('VISA CARDS (LIBRI CSV)'!$H160&lt;&gt;"",'VISA CARDS (LIBRI CSV)'!H160,"")</f>
        <v/>
      </c>
    </row>
    <row r="161" spans="2:5" x14ac:dyDescent="0.25">
      <c r="B161" s="39" t="str">
        <f>IF('VISA CARDS (LIBRI CSV)'!$B161&lt;&gt;"",'VISA CARDS (LIBRI CSV)'!B161,"")</f>
        <v/>
      </c>
      <c r="C161" s="39" t="str">
        <f>IF('VISA CARDS (LIBRI CSV)'!$B161&lt;&gt;"",'VISA CARDS (LIBRI CSV)'!C161,"")</f>
        <v/>
      </c>
      <c r="D161" s="39" t="str">
        <f>IF('VISA CARDS (LIBRI CSV)'!$B161&lt;&gt;"",'VISA CARDS (LIBRI CSV)'!D161,"")</f>
        <v/>
      </c>
      <c r="E161" s="40" t="str">
        <f>IF('VISA CARDS (LIBRI CSV)'!$H161&lt;&gt;"",'VISA CARDS (LIBRI CSV)'!H161,"")</f>
        <v/>
      </c>
    </row>
    <row r="162" spans="2:5" x14ac:dyDescent="0.25">
      <c r="B162" s="39" t="str">
        <f>IF('VISA CARDS (LIBRI CSV)'!$B162&lt;&gt;"",'VISA CARDS (LIBRI CSV)'!B162,"")</f>
        <v/>
      </c>
      <c r="C162" s="39" t="str">
        <f>IF('VISA CARDS (LIBRI CSV)'!$B162&lt;&gt;"",'VISA CARDS (LIBRI CSV)'!C162,"")</f>
        <v/>
      </c>
      <c r="D162" s="39" t="str">
        <f>IF('VISA CARDS (LIBRI CSV)'!$B162&lt;&gt;"",'VISA CARDS (LIBRI CSV)'!D162,"")</f>
        <v/>
      </c>
      <c r="E162" s="40" t="str">
        <f>IF('VISA CARDS (LIBRI CSV)'!$H162&lt;&gt;"",'VISA CARDS (LIBRI CSV)'!H162,"")</f>
        <v/>
      </c>
    </row>
    <row r="163" spans="2:5" x14ac:dyDescent="0.25">
      <c r="B163" s="39" t="str">
        <f>IF('VISA CARDS (LIBRI CSV)'!$B163&lt;&gt;"",'VISA CARDS (LIBRI CSV)'!B163,"")</f>
        <v/>
      </c>
      <c r="C163" s="39" t="str">
        <f>IF('VISA CARDS (LIBRI CSV)'!$B163&lt;&gt;"",'VISA CARDS (LIBRI CSV)'!C163,"")</f>
        <v/>
      </c>
      <c r="D163" s="39" t="str">
        <f>IF('VISA CARDS (LIBRI CSV)'!$B163&lt;&gt;"",'VISA CARDS (LIBRI CSV)'!D163,"")</f>
        <v/>
      </c>
      <c r="E163" s="40" t="str">
        <f>IF('VISA CARDS (LIBRI CSV)'!$H163&lt;&gt;"",'VISA CARDS (LIBRI CSV)'!H163,"")</f>
        <v/>
      </c>
    </row>
    <row r="164" spans="2:5" x14ac:dyDescent="0.25">
      <c r="B164" s="39" t="str">
        <f>IF('VISA CARDS (LIBRI CSV)'!$B164&lt;&gt;"",'VISA CARDS (LIBRI CSV)'!B164,"")</f>
        <v/>
      </c>
      <c r="C164" s="39" t="str">
        <f>IF('VISA CARDS (LIBRI CSV)'!$B164&lt;&gt;"",'VISA CARDS (LIBRI CSV)'!C164,"")</f>
        <v/>
      </c>
      <c r="D164" s="39" t="str">
        <f>IF('VISA CARDS (LIBRI CSV)'!$B164&lt;&gt;"",'VISA CARDS (LIBRI CSV)'!D164,"")</f>
        <v/>
      </c>
      <c r="E164" s="40" t="str">
        <f>IF('VISA CARDS (LIBRI CSV)'!$H164&lt;&gt;"",'VISA CARDS (LIBRI CSV)'!H164,"")</f>
        <v/>
      </c>
    </row>
    <row r="165" spans="2:5" x14ac:dyDescent="0.25">
      <c r="B165" s="39" t="str">
        <f>IF('VISA CARDS (LIBRI CSV)'!$B165&lt;&gt;"",'VISA CARDS (LIBRI CSV)'!B165,"")</f>
        <v/>
      </c>
      <c r="C165" s="39" t="str">
        <f>IF('VISA CARDS (LIBRI CSV)'!$B165&lt;&gt;"",'VISA CARDS (LIBRI CSV)'!C165,"")</f>
        <v/>
      </c>
      <c r="D165" s="39" t="str">
        <f>IF('VISA CARDS (LIBRI CSV)'!$B165&lt;&gt;"",'VISA CARDS (LIBRI CSV)'!D165,"")</f>
        <v/>
      </c>
      <c r="E165" s="40" t="str">
        <f>IF('VISA CARDS (LIBRI CSV)'!$H165&lt;&gt;"",'VISA CARDS (LIBRI CSV)'!H165,"")</f>
        <v/>
      </c>
    </row>
    <row r="166" spans="2:5" x14ac:dyDescent="0.25">
      <c r="B166" s="39" t="str">
        <f>IF('VISA CARDS (LIBRI CSV)'!$B166&lt;&gt;"",'VISA CARDS (LIBRI CSV)'!B166,"")</f>
        <v/>
      </c>
      <c r="C166" s="39" t="str">
        <f>IF('VISA CARDS (LIBRI CSV)'!$B166&lt;&gt;"",'VISA CARDS (LIBRI CSV)'!C166,"")</f>
        <v/>
      </c>
      <c r="D166" s="39" t="str">
        <f>IF('VISA CARDS (LIBRI CSV)'!$B166&lt;&gt;"",'VISA CARDS (LIBRI CSV)'!D166,"")</f>
        <v/>
      </c>
      <c r="E166" s="40" t="str">
        <f>IF('VISA CARDS (LIBRI CSV)'!$H166&lt;&gt;"",'VISA CARDS (LIBRI CSV)'!H166,"")</f>
        <v/>
      </c>
    </row>
    <row r="167" spans="2:5" x14ac:dyDescent="0.25">
      <c r="B167" s="39" t="str">
        <f>IF('VISA CARDS (LIBRI CSV)'!$B167&lt;&gt;"",'VISA CARDS (LIBRI CSV)'!B167,"")</f>
        <v/>
      </c>
      <c r="C167" s="39" t="str">
        <f>IF('VISA CARDS (LIBRI CSV)'!$B167&lt;&gt;"",'VISA CARDS (LIBRI CSV)'!C167,"")</f>
        <v/>
      </c>
      <c r="D167" s="39" t="str">
        <f>IF('VISA CARDS (LIBRI CSV)'!$B167&lt;&gt;"",'VISA CARDS (LIBRI CSV)'!D167,"")</f>
        <v/>
      </c>
      <c r="E167" s="40" t="str">
        <f>IF('VISA CARDS (LIBRI CSV)'!$H167&lt;&gt;"",'VISA CARDS (LIBRI CSV)'!H167,"")</f>
        <v/>
      </c>
    </row>
    <row r="168" spans="2:5" x14ac:dyDescent="0.25">
      <c r="B168" s="39" t="str">
        <f>IF('VISA CARDS (LIBRI CSV)'!$B168&lt;&gt;"",'VISA CARDS (LIBRI CSV)'!B168,"")</f>
        <v/>
      </c>
      <c r="C168" s="39" t="str">
        <f>IF('VISA CARDS (LIBRI CSV)'!$B168&lt;&gt;"",'VISA CARDS (LIBRI CSV)'!C168,"")</f>
        <v/>
      </c>
      <c r="D168" s="39" t="str">
        <f>IF('VISA CARDS (LIBRI CSV)'!$B168&lt;&gt;"",'VISA CARDS (LIBRI CSV)'!D168,"")</f>
        <v/>
      </c>
      <c r="E168" s="40" t="str">
        <f>IF('VISA CARDS (LIBRI CSV)'!$H168&lt;&gt;"",'VISA CARDS (LIBRI CSV)'!H168,"")</f>
        <v/>
      </c>
    </row>
    <row r="169" spans="2:5" x14ac:dyDescent="0.25">
      <c r="B169" s="39" t="str">
        <f>IF('VISA CARDS (LIBRI CSV)'!$B169&lt;&gt;"",'VISA CARDS (LIBRI CSV)'!B169,"")</f>
        <v/>
      </c>
      <c r="C169" s="39" t="str">
        <f>IF('VISA CARDS (LIBRI CSV)'!$B169&lt;&gt;"",'VISA CARDS (LIBRI CSV)'!C169,"")</f>
        <v/>
      </c>
      <c r="D169" s="39" t="str">
        <f>IF('VISA CARDS (LIBRI CSV)'!$B169&lt;&gt;"",'VISA CARDS (LIBRI CSV)'!D169,"")</f>
        <v/>
      </c>
      <c r="E169" s="40" t="str">
        <f>IF('VISA CARDS (LIBRI CSV)'!$H169&lt;&gt;"",'VISA CARDS (LIBRI CSV)'!H169,"")</f>
        <v/>
      </c>
    </row>
    <row r="170" spans="2:5" x14ac:dyDescent="0.25">
      <c r="B170" s="39" t="str">
        <f>IF('VISA CARDS (LIBRI CSV)'!$B170&lt;&gt;"",'VISA CARDS (LIBRI CSV)'!B170,"")</f>
        <v/>
      </c>
      <c r="C170" s="39" t="str">
        <f>IF('VISA CARDS (LIBRI CSV)'!$B170&lt;&gt;"",'VISA CARDS (LIBRI CSV)'!C170,"")</f>
        <v/>
      </c>
      <c r="D170" s="39" t="str">
        <f>IF('VISA CARDS (LIBRI CSV)'!$B170&lt;&gt;"",'VISA CARDS (LIBRI CSV)'!D170,"")</f>
        <v/>
      </c>
      <c r="E170" s="40" t="str">
        <f>IF('VISA CARDS (LIBRI CSV)'!$H170&lt;&gt;"",'VISA CARDS (LIBRI CSV)'!H170,"")</f>
        <v/>
      </c>
    </row>
    <row r="171" spans="2:5" x14ac:dyDescent="0.25">
      <c r="B171" s="39" t="str">
        <f>IF('VISA CARDS (LIBRI CSV)'!$B171&lt;&gt;"",'VISA CARDS (LIBRI CSV)'!B171,"")</f>
        <v/>
      </c>
      <c r="C171" s="39" t="str">
        <f>IF('VISA CARDS (LIBRI CSV)'!$B171&lt;&gt;"",'VISA CARDS (LIBRI CSV)'!C171,"")</f>
        <v/>
      </c>
      <c r="D171" s="39" t="str">
        <f>IF('VISA CARDS (LIBRI CSV)'!$B171&lt;&gt;"",'VISA CARDS (LIBRI CSV)'!D171,"")</f>
        <v/>
      </c>
      <c r="E171" s="40" t="str">
        <f>IF('VISA CARDS (LIBRI CSV)'!$H171&lt;&gt;"",'VISA CARDS (LIBRI CSV)'!H171,"")</f>
        <v/>
      </c>
    </row>
    <row r="172" spans="2:5" x14ac:dyDescent="0.25">
      <c r="B172" s="39" t="str">
        <f>IF('VISA CARDS (LIBRI CSV)'!$B172&lt;&gt;"",'VISA CARDS (LIBRI CSV)'!B172,"")</f>
        <v/>
      </c>
      <c r="C172" s="39" t="str">
        <f>IF('VISA CARDS (LIBRI CSV)'!$B172&lt;&gt;"",'VISA CARDS (LIBRI CSV)'!C172,"")</f>
        <v/>
      </c>
      <c r="D172" s="39" t="str">
        <f>IF('VISA CARDS (LIBRI CSV)'!$B172&lt;&gt;"",'VISA CARDS (LIBRI CSV)'!D172,"")</f>
        <v/>
      </c>
      <c r="E172" s="40" t="str">
        <f>IF('VISA CARDS (LIBRI CSV)'!$H172&lt;&gt;"",'VISA CARDS (LIBRI CSV)'!H172,"")</f>
        <v/>
      </c>
    </row>
    <row r="173" spans="2:5" x14ac:dyDescent="0.25">
      <c r="B173" s="39" t="str">
        <f>IF('VISA CARDS (LIBRI CSV)'!$B173&lt;&gt;"",'VISA CARDS (LIBRI CSV)'!B173,"")</f>
        <v/>
      </c>
      <c r="C173" s="39" t="str">
        <f>IF('VISA CARDS (LIBRI CSV)'!$B173&lt;&gt;"",'VISA CARDS (LIBRI CSV)'!C173,"")</f>
        <v/>
      </c>
      <c r="D173" s="39" t="str">
        <f>IF('VISA CARDS (LIBRI CSV)'!$B173&lt;&gt;"",'VISA CARDS (LIBRI CSV)'!D173,"")</f>
        <v/>
      </c>
      <c r="E173" s="40" t="str">
        <f>IF('VISA CARDS (LIBRI CSV)'!$H173&lt;&gt;"",'VISA CARDS (LIBRI CSV)'!H173,"")</f>
        <v/>
      </c>
    </row>
    <row r="174" spans="2:5" x14ac:dyDescent="0.25">
      <c r="B174" s="39" t="str">
        <f>IF('VISA CARDS (LIBRI CSV)'!$B174&lt;&gt;"",'VISA CARDS (LIBRI CSV)'!B174,"")</f>
        <v/>
      </c>
      <c r="C174" s="39" t="str">
        <f>IF('VISA CARDS (LIBRI CSV)'!$B174&lt;&gt;"",'VISA CARDS (LIBRI CSV)'!C174,"")</f>
        <v/>
      </c>
      <c r="D174" s="39" t="str">
        <f>IF('VISA CARDS (LIBRI CSV)'!$B174&lt;&gt;"",'VISA CARDS (LIBRI CSV)'!D174,"")</f>
        <v/>
      </c>
      <c r="E174" s="40" t="str">
        <f>IF('VISA CARDS (LIBRI CSV)'!$H174&lt;&gt;"",'VISA CARDS (LIBRI CSV)'!H174,"")</f>
        <v/>
      </c>
    </row>
    <row r="175" spans="2:5" x14ac:dyDescent="0.25">
      <c r="B175" s="39" t="str">
        <f>IF('VISA CARDS (LIBRI CSV)'!$B175&lt;&gt;"",'VISA CARDS (LIBRI CSV)'!B175,"")</f>
        <v/>
      </c>
      <c r="C175" s="39" t="str">
        <f>IF('VISA CARDS (LIBRI CSV)'!$B175&lt;&gt;"",'VISA CARDS (LIBRI CSV)'!C175,"")</f>
        <v/>
      </c>
      <c r="D175" s="39" t="str">
        <f>IF('VISA CARDS (LIBRI CSV)'!$B175&lt;&gt;"",'VISA CARDS (LIBRI CSV)'!D175,"")</f>
        <v/>
      </c>
      <c r="E175" s="40" t="str">
        <f>IF('VISA CARDS (LIBRI CSV)'!$H175&lt;&gt;"",'VISA CARDS (LIBRI CSV)'!H175,"")</f>
        <v/>
      </c>
    </row>
    <row r="176" spans="2:5" x14ac:dyDescent="0.25">
      <c r="B176" s="39" t="str">
        <f>IF('VISA CARDS (LIBRI CSV)'!$B176&lt;&gt;"",'VISA CARDS (LIBRI CSV)'!B176,"")</f>
        <v/>
      </c>
      <c r="C176" s="39" t="str">
        <f>IF('VISA CARDS (LIBRI CSV)'!$B176&lt;&gt;"",'VISA CARDS (LIBRI CSV)'!C176,"")</f>
        <v/>
      </c>
      <c r="D176" s="39" t="str">
        <f>IF('VISA CARDS (LIBRI CSV)'!$B176&lt;&gt;"",'VISA CARDS (LIBRI CSV)'!D176,"")</f>
        <v/>
      </c>
      <c r="E176" s="40" t="str">
        <f>IF('VISA CARDS (LIBRI CSV)'!$H176&lt;&gt;"",'VISA CARDS (LIBRI CSV)'!H176,"")</f>
        <v/>
      </c>
    </row>
    <row r="177" spans="2:5" x14ac:dyDescent="0.25">
      <c r="B177" s="39" t="str">
        <f>IF('VISA CARDS (LIBRI CSV)'!$B177&lt;&gt;"",'VISA CARDS (LIBRI CSV)'!B177,"")</f>
        <v/>
      </c>
      <c r="C177" s="39" t="str">
        <f>IF('VISA CARDS (LIBRI CSV)'!$B177&lt;&gt;"",'VISA CARDS (LIBRI CSV)'!C177,"")</f>
        <v/>
      </c>
      <c r="D177" s="39" t="str">
        <f>IF('VISA CARDS (LIBRI CSV)'!$B177&lt;&gt;"",'VISA CARDS (LIBRI CSV)'!D177,"")</f>
        <v/>
      </c>
      <c r="E177" s="40" t="str">
        <f>IF('VISA CARDS (LIBRI CSV)'!$H177&lt;&gt;"",'VISA CARDS (LIBRI CSV)'!H177,"")</f>
        <v/>
      </c>
    </row>
    <row r="178" spans="2:5" x14ac:dyDescent="0.25">
      <c r="B178" s="39" t="str">
        <f>IF('VISA CARDS (LIBRI CSV)'!$B178&lt;&gt;"",'VISA CARDS (LIBRI CSV)'!B178,"")</f>
        <v/>
      </c>
      <c r="C178" s="39" t="str">
        <f>IF('VISA CARDS (LIBRI CSV)'!$B178&lt;&gt;"",'VISA CARDS (LIBRI CSV)'!C178,"")</f>
        <v/>
      </c>
      <c r="D178" s="39" t="str">
        <f>IF('VISA CARDS (LIBRI CSV)'!$B178&lt;&gt;"",'VISA CARDS (LIBRI CSV)'!D178,"")</f>
        <v/>
      </c>
      <c r="E178" s="40" t="str">
        <f>IF('VISA CARDS (LIBRI CSV)'!$H178&lt;&gt;"",'VISA CARDS (LIBRI CSV)'!H178,"")</f>
        <v/>
      </c>
    </row>
    <row r="179" spans="2:5" x14ac:dyDescent="0.25">
      <c r="B179" s="39" t="str">
        <f>IF('VISA CARDS (LIBRI CSV)'!$B179&lt;&gt;"",'VISA CARDS (LIBRI CSV)'!B179,"")</f>
        <v/>
      </c>
      <c r="C179" s="39" t="str">
        <f>IF('VISA CARDS (LIBRI CSV)'!$B179&lt;&gt;"",'VISA CARDS (LIBRI CSV)'!C179,"")</f>
        <v/>
      </c>
      <c r="D179" s="39" t="str">
        <f>IF('VISA CARDS (LIBRI CSV)'!$B179&lt;&gt;"",'VISA CARDS (LIBRI CSV)'!D179,"")</f>
        <v/>
      </c>
      <c r="E179" s="40" t="str">
        <f>IF('VISA CARDS (LIBRI CSV)'!$H179&lt;&gt;"",'VISA CARDS (LIBRI CSV)'!H179,"")</f>
        <v/>
      </c>
    </row>
    <row r="180" spans="2:5" x14ac:dyDescent="0.25">
      <c r="B180" s="39" t="str">
        <f>IF('VISA CARDS (LIBRI CSV)'!$B180&lt;&gt;"",'VISA CARDS (LIBRI CSV)'!B180,"")</f>
        <v/>
      </c>
      <c r="C180" s="39" t="str">
        <f>IF('VISA CARDS (LIBRI CSV)'!$B180&lt;&gt;"",'VISA CARDS (LIBRI CSV)'!C180,"")</f>
        <v/>
      </c>
      <c r="D180" s="39" t="str">
        <f>IF('VISA CARDS (LIBRI CSV)'!$B180&lt;&gt;"",'VISA CARDS (LIBRI CSV)'!D180,"")</f>
        <v/>
      </c>
      <c r="E180" s="40" t="str">
        <f>IF('VISA CARDS (LIBRI CSV)'!$H180&lt;&gt;"",'VISA CARDS (LIBRI CSV)'!H180,"")</f>
        <v/>
      </c>
    </row>
    <row r="181" spans="2:5" x14ac:dyDescent="0.25">
      <c r="B181" s="39" t="str">
        <f>IF('VISA CARDS (LIBRI CSV)'!$B181&lt;&gt;"",'VISA CARDS (LIBRI CSV)'!B181,"")</f>
        <v/>
      </c>
      <c r="C181" s="39" t="str">
        <f>IF('VISA CARDS (LIBRI CSV)'!$B181&lt;&gt;"",'VISA CARDS (LIBRI CSV)'!C181,"")</f>
        <v/>
      </c>
      <c r="D181" s="39" t="str">
        <f>IF('VISA CARDS (LIBRI CSV)'!$B181&lt;&gt;"",'VISA CARDS (LIBRI CSV)'!D181,"")</f>
        <v/>
      </c>
      <c r="E181" s="40" t="str">
        <f>IF('VISA CARDS (LIBRI CSV)'!$H181&lt;&gt;"",'VISA CARDS (LIBRI CSV)'!H181,"")</f>
        <v/>
      </c>
    </row>
    <row r="182" spans="2:5" x14ac:dyDescent="0.25">
      <c r="B182" s="39" t="str">
        <f>IF('VISA CARDS (LIBRI CSV)'!$B182&lt;&gt;"",'VISA CARDS (LIBRI CSV)'!B182,"")</f>
        <v/>
      </c>
      <c r="C182" s="39" t="str">
        <f>IF('VISA CARDS (LIBRI CSV)'!$B182&lt;&gt;"",'VISA CARDS (LIBRI CSV)'!C182,"")</f>
        <v/>
      </c>
      <c r="D182" s="39" t="str">
        <f>IF('VISA CARDS (LIBRI CSV)'!$B182&lt;&gt;"",'VISA CARDS (LIBRI CSV)'!D182,"")</f>
        <v/>
      </c>
      <c r="E182" s="40" t="str">
        <f>IF('VISA CARDS (LIBRI CSV)'!$H182&lt;&gt;"",'VISA CARDS (LIBRI CSV)'!H182,"")</f>
        <v/>
      </c>
    </row>
    <row r="183" spans="2:5" x14ac:dyDescent="0.25">
      <c r="B183" s="39" t="str">
        <f>IF('VISA CARDS (LIBRI CSV)'!$B183&lt;&gt;"",'VISA CARDS (LIBRI CSV)'!B183,"")</f>
        <v/>
      </c>
      <c r="C183" s="39" t="str">
        <f>IF('VISA CARDS (LIBRI CSV)'!$B183&lt;&gt;"",'VISA CARDS (LIBRI CSV)'!C183,"")</f>
        <v/>
      </c>
      <c r="D183" s="39" t="str">
        <f>IF('VISA CARDS (LIBRI CSV)'!$B183&lt;&gt;"",'VISA CARDS (LIBRI CSV)'!D183,"")</f>
        <v/>
      </c>
      <c r="E183" s="40" t="str">
        <f>IF('VISA CARDS (LIBRI CSV)'!$H183&lt;&gt;"",'VISA CARDS (LIBRI CSV)'!H183,"")</f>
        <v/>
      </c>
    </row>
    <row r="184" spans="2:5" x14ac:dyDescent="0.25">
      <c r="B184" s="39" t="str">
        <f>IF('VISA CARDS (LIBRI CSV)'!$B184&lt;&gt;"",'VISA CARDS (LIBRI CSV)'!B184,"")</f>
        <v/>
      </c>
      <c r="C184" s="39" t="str">
        <f>IF('VISA CARDS (LIBRI CSV)'!$B184&lt;&gt;"",'VISA CARDS (LIBRI CSV)'!C184,"")</f>
        <v/>
      </c>
      <c r="D184" s="39" t="str">
        <f>IF('VISA CARDS (LIBRI CSV)'!$B184&lt;&gt;"",'VISA CARDS (LIBRI CSV)'!D184,"")</f>
        <v/>
      </c>
      <c r="E184" s="40" t="str">
        <f>IF('VISA CARDS (LIBRI CSV)'!$H184&lt;&gt;"",'VISA CARDS (LIBRI CSV)'!H184,"")</f>
        <v/>
      </c>
    </row>
    <row r="185" spans="2:5" x14ac:dyDescent="0.25">
      <c r="B185" s="39" t="str">
        <f>IF('VISA CARDS (LIBRI CSV)'!$B185&lt;&gt;"",'VISA CARDS (LIBRI CSV)'!B185,"")</f>
        <v/>
      </c>
      <c r="C185" s="39" t="str">
        <f>IF('VISA CARDS (LIBRI CSV)'!$B185&lt;&gt;"",'VISA CARDS (LIBRI CSV)'!C185,"")</f>
        <v/>
      </c>
      <c r="D185" s="39" t="str">
        <f>IF('VISA CARDS (LIBRI CSV)'!$B185&lt;&gt;"",'VISA CARDS (LIBRI CSV)'!D185,"")</f>
        <v/>
      </c>
      <c r="E185" s="40" t="str">
        <f>IF('VISA CARDS (LIBRI CSV)'!$H185&lt;&gt;"",'VISA CARDS (LIBRI CSV)'!H185,"")</f>
        <v/>
      </c>
    </row>
    <row r="186" spans="2:5" x14ac:dyDescent="0.25">
      <c r="B186" s="39" t="str">
        <f>IF('VISA CARDS (LIBRI CSV)'!$B186&lt;&gt;"",'VISA CARDS (LIBRI CSV)'!B186,"")</f>
        <v/>
      </c>
      <c r="C186" s="39" t="str">
        <f>IF('VISA CARDS (LIBRI CSV)'!$B186&lt;&gt;"",'VISA CARDS (LIBRI CSV)'!C186,"")</f>
        <v/>
      </c>
      <c r="D186" s="39" t="str">
        <f>IF('VISA CARDS (LIBRI CSV)'!$B186&lt;&gt;"",'VISA CARDS (LIBRI CSV)'!D186,"")</f>
        <v/>
      </c>
      <c r="E186" s="40" t="str">
        <f>IF('VISA CARDS (LIBRI CSV)'!$H186&lt;&gt;"",'VISA CARDS (LIBRI CSV)'!H186,"")</f>
        <v/>
      </c>
    </row>
    <row r="187" spans="2:5" x14ac:dyDescent="0.25">
      <c r="B187" s="39" t="str">
        <f>IF('VISA CARDS (LIBRI CSV)'!$B187&lt;&gt;"",'VISA CARDS (LIBRI CSV)'!B187,"")</f>
        <v/>
      </c>
      <c r="C187" s="39" t="str">
        <f>IF('VISA CARDS (LIBRI CSV)'!$B187&lt;&gt;"",'VISA CARDS (LIBRI CSV)'!C187,"")</f>
        <v/>
      </c>
      <c r="D187" s="39" t="str">
        <f>IF('VISA CARDS (LIBRI CSV)'!$B187&lt;&gt;"",'VISA CARDS (LIBRI CSV)'!D187,"")</f>
        <v/>
      </c>
      <c r="E187" s="40" t="str">
        <f>IF('VISA CARDS (LIBRI CSV)'!$H187&lt;&gt;"",'VISA CARDS (LIBRI CSV)'!H187,"")</f>
        <v/>
      </c>
    </row>
    <row r="188" spans="2:5" x14ac:dyDescent="0.25">
      <c r="B188" s="39" t="str">
        <f>IF('VISA CARDS (LIBRI CSV)'!$B188&lt;&gt;"",'VISA CARDS (LIBRI CSV)'!B188,"")</f>
        <v/>
      </c>
      <c r="C188" s="39" t="str">
        <f>IF('VISA CARDS (LIBRI CSV)'!$B188&lt;&gt;"",'VISA CARDS (LIBRI CSV)'!C188,"")</f>
        <v/>
      </c>
      <c r="D188" s="39" t="str">
        <f>IF('VISA CARDS (LIBRI CSV)'!$B188&lt;&gt;"",'VISA CARDS (LIBRI CSV)'!D188,"")</f>
        <v/>
      </c>
      <c r="E188" s="40" t="str">
        <f>IF('VISA CARDS (LIBRI CSV)'!$H188&lt;&gt;"",'VISA CARDS (LIBRI CSV)'!H188,"")</f>
        <v/>
      </c>
    </row>
    <row r="189" spans="2:5" x14ac:dyDescent="0.25">
      <c r="B189" s="39" t="str">
        <f>IF('VISA CARDS (LIBRI CSV)'!$B189&lt;&gt;"",'VISA CARDS (LIBRI CSV)'!B189,"")</f>
        <v/>
      </c>
      <c r="C189" s="39" t="str">
        <f>IF('VISA CARDS (LIBRI CSV)'!$B189&lt;&gt;"",'VISA CARDS (LIBRI CSV)'!C189,"")</f>
        <v/>
      </c>
      <c r="D189" s="39" t="str">
        <f>IF('VISA CARDS (LIBRI CSV)'!$B189&lt;&gt;"",'VISA CARDS (LIBRI CSV)'!D189,"")</f>
        <v/>
      </c>
      <c r="E189" s="40" t="str">
        <f>IF('VISA CARDS (LIBRI CSV)'!$H189&lt;&gt;"",'VISA CARDS (LIBRI CSV)'!H189,"")</f>
        <v/>
      </c>
    </row>
    <row r="190" spans="2:5" x14ac:dyDescent="0.25">
      <c r="B190" s="39" t="str">
        <f>IF('VISA CARDS (LIBRI CSV)'!$B190&lt;&gt;"",'VISA CARDS (LIBRI CSV)'!B190,"")</f>
        <v/>
      </c>
      <c r="C190" s="39" t="str">
        <f>IF('VISA CARDS (LIBRI CSV)'!$B190&lt;&gt;"",'VISA CARDS (LIBRI CSV)'!C190,"")</f>
        <v/>
      </c>
      <c r="D190" s="39" t="str">
        <f>IF('VISA CARDS (LIBRI CSV)'!$B190&lt;&gt;"",'VISA CARDS (LIBRI CSV)'!D190,"")</f>
        <v/>
      </c>
      <c r="E190" s="40" t="str">
        <f>IF('VISA CARDS (LIBRI CSV)'!$H190&lt;&gt;"",'VISA CARDS (LIBRI CSV)'!H190,"")</f>
        <v/>
      </c>
    </row>
    <row r="191" spans="2:5" x14ac:dyDescent="0.25">
      <c r="B191" s="39" t="str">
        <f>IF('VISA CARDS (LIBRI CSV)'!$B191&lt;&gt;"",'VISA CARDS (LIBRI CSV)'!B191,"")</f>
        <v/>
      </c>
      <c r="C191" s="39" t="str">
        <f>IF('VISA CARDS (LIBRI CSV)'!$B191&lt;&gt;"",'VISA CARDS (LIBRI CSV)'!C191,"")</f>
        <v/>
      </c>
      <c r="D191" s="39" t="str">
        <f>IF('VISA CARDS (LIBRI CSV)'!$B191&lt;&gt;"",'VISA CARDS (LIBRI CSV)'!D191,"")</f>
        <v/>
      </c>
      <c r="E191" s="40" t="str">
        <f>IF('VISA CARDS (LIBRI CSV)'!$H191&lt;&gt;"",'VISA CARDS (LIBRI CSV)'!H191,"")</f>
        <v/>
      </c>
    </row>
    <row r="192" spans="2:5" x14ac:dyDescent="0.25">
      <c r="B192" s="39" t="str">
        <f>IF('VISA CARDS (LIBRI CSV)'!$B192&lt;&gt;"",'VISA CARDS (LIBRI CSV)'!B192,"")</f>
        <v/>
      </c>
      <c r="C192" s="39" t="str">
        <f>IF('VISA CARDS (LIBRI CSV)'!$B192&lt;&gt;"",'VISA CARDS (LIBRI CSV)'!C192,"")</f>
        <v/>
      </c>
      <c r="D192" s="39" t="str">
        <f>IF('VISA CARDS (LIBRI CSV)'!$B192&lt;&gt;"",'VISA CARDS (LIBRI CSV)'!D192,"")</f>
        <v/>
      </c>
      <c r="E192" s="40" t="str">
        <f>IF('VISA CARDS (LIBRI CSV)'!$H192&lt;&gt;"",'VISA CARDS (LIBRI CSV)'!H192,"")</f>
        <v/>
      </c>
    </row>
    <row r="193" spans="2:5" x14ac:dyDescent="0.25">
      <c r="B193" s="39" t="str">
        <f>IF('VISA CARDS (LIBRI CSV)'!$B193&lt;&gt;"",'VISA CARDS (LIBRI CSV)'!B193,"")</f>
        <v/>
      </c>
      <c r="C193" s="39" t="str">
        <f>IF('VISA CARDS (LIBRI CSV)'!$B193&lt;&gt;"",'VISA CARDS (LIBRI CSV)'!C193,"")</f>
        <v/>
      </c>
      <c r="D193" s="39" t="str">
        <f>IF('VISA CARDS (LIBRI CSV)'!$B193&lt;&gt;"",'VISA CARDS (LIBRI CSV)'!D193,"")</f>
        <v/>
      </c>
      <c r="E193" s="40" t="str">
        <f>IF('VISA CARDS (LIBRI CSV)'!$H193&lt;&gt;"",'VISA CARDS (LIBRI CSV)'!H193,"")</f>
        <v/>
      </c>
    </row>
    <row r="194" spans="2:5" x14ac:dyDescent="0.25">
      <c r="B194" s="39" t="str">
        <f>IF('VISA CARDS (LIBRI CSV)'!$B194&lt;&gt;"",'VISA CARDS (LIBRI CSV)'!B194,"")</f>
        <v/>
      </c>
      <c r="C194" s="39" t="str">
        <f>IF('VISA CARDS (LIBRI CSV)'!$B194&lt;&gt;"",'VISA CARDS (LIBRI CSV)'!C194,"")</f>
        <v/>
      </c>
      <c r="D194" s="39" t="str">
        <f>IF('VISA CARDS (LIBRI CSV)'!$B194&lt;&gt;"",'VISA CARDS (LIBRI CSV)'!D194,"")</f>
        <v/>
      </c>
      <c r="E194" s="40" t="str">
        <f>IF('VISA CARDS (LIBRI CSV)'!$H194&lt;&gt;"",'VISA CARDS (LIBRI CSV)'!H194,"")</f>
        <v/>
      </c>
    </row>
    <row r="195" spans="2:5" x14ac:dyDescent="0.25">
      <c r="B195" s="39" t="str">
        <f>IF('VISA CARDS (LIBRI CSV)'!$B195&lt;&gt;"",'VISA CARDS (LIBRI CSV)'!B195,"")</f>
        <v/>
      </c>
      <c r="C195" s="39" t="str">
        <f>IF('VISA CARDS (LIBRI CSV)'!$B195&lt;&gt;"",'VISA CARDS (LIBRI CSV)'!C195,"")</f>
        <v/>
      </c>
      <c r="D195" s="39" t="str">
        <f>IF('VISA CARDS (LIBRI CSV)'!$B195&lt;&gt;"",'VISA CARDS (LIBRI CSV)'!D195,"")</f>
        <v/>
      </c>
      <c r="E195" s="40" t="str">
        <f>IF('VISA CARDS (LIBRI CSV)'!$H195&lt;&gt;"",'VISA CARDS (LIBRI CSV)'!H195,"")</f>
        <v/>
      </c>
    </row>
    <row r="196" spans="2:5" x14ac:dyDescent="0.25">
      <c r="B196" s="39" t="str">
        <f>IF('VISA CARDS (LIBRI CSV)'!$B196&lt;&gt;"",'VISA CARDS (LIBRI CSV)'!B196,"")</f>
        <v/>
      </c>
      <c r="C196" s="39" t="str">
        <f>IF('VISA CARDS (LIBRI CSV)'!$B196&lt;&gt;"",'VISA CARDS (LIBRI CSV)'!C196,"")</f>
        <v/>
      </c>
      <c r="D196" s="39" t="str">
        <f>IF('VISA CARDS (LIBRI CSV)'!$B196&lt;&gt;"",'VISA CARDS (LIBRI CSV)'!D196,"")</f>
        <v/>
      </c>
      <c r="E196" s="40" t="str">
        <f>IF('VISA CARDS (LIBRI CSV)'!$H196&lt;&gt;"",'VISA CARDS (LIBRI CSV)'!H196,"")</f>
        <v/>
      </c>
    </row>
    <row r="197" spans="2:5" x14ac:dyDescent="0.25">
      <c r="B197" s="39" t="str">
        <f>IF('VISA CARDS (LIBRI CSV)'!$B197&lt;&gt;"",'VISA CARDS (LIBRI CSV)'!B197,"")</f>
        <v/>
      </c>
      <c r="C197" s="39" t="str">
        <f>IF('VISA CARDS (LIBRI CSV)'!$B197&lt;&gt;"",'VISA CARDS (LIBRI CSV)'!C197,"")</f>
        <v/>
      </c>
      <c r="D197" s="39" t="str">
        <f>IF('VISA CARDS (LIBRI CSV)'!$B197&lt;&gt;"",'VISA CARDS (LIBRI CSV)'!D197,"")</f>
        <v/>
      </c>
      <c r="E197" s="40" t="str">
        <f>IF('VISA CARDS (LIBRI CSV)'!$H197&lt;&gt;"",'VISA CARDS (LIBRI CSV)'!H197,"")</f>
        <v/>
      </c>
    </row>
    <row r="198" spans="2:5" x14ac:dyDescent="0.25">
      <c r="B198" s="39" t="str">
        <f>IF('VISA CARDS (LIBRI CSV)'!$B198&lt;&gt;"",'VISA CARDS (LIBRI CSV)'!B198,"")</f>
        <v/>
      </c>
      <c r="C198" s="39" t="str">
        <f>IF('VISA CARDS (LIBRI CSV)'!$B198&lt;&gt;"",'VISA CARDS (LIBRI CSV)'!C198,"")</f>
        <v/>
      </c>
      <c r="D198" s="39" t="str">
        <f>IF('VISA CARDS (LIBRI CSV)'!$B198&lt;&gt;"",'VISA CARDS (LIBRI CSV)'!D198,"")</f>
        <v/>
      </c>
      <c r="E198" s="40" t="str">
        <f>IF('VISA CARDS (LIBRI CSV)'!$H198&lt;&gt;"",'VISA CARDS (LIBRI CSV)'!H198,"")</f>
        <v/>
      </c>
    </row>
    <row r="199" spans="2:5" x14ac:dyDescent="0.25">
      <c r="B199" s="39" t="str">
        <f>IF('VISA CARDS (LIBRI CSV)'!$B199&lt;&gt;"",'VISA CARDS (LIBRI CSV)'!B199,"")</f>
        <v/>
      </c>
      <c r="C199" s="39" t="str">
        <f>IF('VISA CARDS (LIBRI CSV)'!$B199&lt;&gt;"",'VISA CARDS (LIBRI CSV)'!C199,"")</f>
        <v/>
      </c>
      <c r="D199" s="39" t="str">
        <f>IF('VISA CARDS (LIBRI CSV)'!$B199&lt;&gt;"",'VISA CARDS (LIBRI CSV)'!D199,"")</f>
        <v/>
      </c>
      <c r="E199" s="40" t="str">
        <f>IF('VISA CARDS (LIBRI CSV)'!$H199&lt;&gt;"",'VISA CARDS (LIBRI CSV)'!H199,"")</f>
        <v/>
      </c>
    </row>
    <row r="200" spans="2:5" x14ac:dyDescent="0.25">
      <c r="B200" s="39" t="str">
        <f>IF('VISA CARDS (LIBRI CSV)'!$B200&lt;&gt;"",'VISA CARDS (LIBRI CSV)'!B200,"")</f>
        <v/>
      </c>
      <c r="C200" s="39" t="str">
        <f>IF('VISA CARDS (LIBRI CSV)'!$B200&lt;&gt;"",'VISA CARDS (LIBRI CSV)'!C200,"")</f>
        <v/>
      </c>
      <c r="D200" s="39" t="str">
        <f>IF('VISA CARDS (LIBRI CSV)'!$B200&lt;&gt;"",'VISA CARDS (LIBRI CSV)'!D200,"")</f>
        <v/>
      </c>
      <c r="E200" s="40" t="str">
        <f>IF('VISA CARDS (LIBRI CSV)'!$H200&lt;&gt;"",'VISA CARDS (LIBRI CSV)'!H200,"")</f>
        <v/>
      </c>
    </row>
    <row r="201" spans="2:5" x14ac:dyDescent="0.25">
      <c r="B201" s="39" t="str">
        <f>IF('VISA CARDS (LIBRI CSV)'!$B201&lt;&gt;"",'VISA CARDS (LIBRI CSV)'!B201,"")</f>
        <v/>
      </c>
      <c r="C201" s="39" t="str">
        <f>IF('VISA CARDS (LIBRI CSV)'!$B201&lt;&gt;"",'VISA CARDS (LIBRI CSV)'!C201,"")</f>
        <v/>
      </c>
      <c r="D201" s="39" t="str">
        <f>IF('VISA CARDS (LIBRI CSV)'!$B201&lt;&gt;"",'VISA CARDS (LIBRI CSV)'!D201,"")</f>
        <v/>
      </c>
      <c r="E201" s="40" t="str">
        <f>IF('VISA CARDS (LIBRI CSV)'!$H201&lt;&gt;"",'VISA CARDS (LIBRI CSV)'!H201,"")</f>
        <v/>
      </c>
    </row>
    <row r="202" spans="2:5" x14ac:dyDescent="0.25">
      <c r="B202" s="39" t="str">
        <f>IF('VISA CARDS (LIBRI CSV)'!$B202&lt;&gt;"",'VISA CARDS (LIBRI CSV)'!B202,"")</f>
        <v/>
      </c>
      <c r="C202" s="39" t="str">
        <f>IF('VISA CARDS (LIBRI CSV)'!$B202&lt;&gt;"",'VISA CARDS (LIBRI CSV)'!C202,"")</f>
        <v/>
      </c>
      <c r="D202" s="39" t="str">
        <f>IF('VISA CARDS (LIBRI CSV)'!$B202&lt;&gt;"",'VISA CARDS (LIBRI CSV)'!D202,"")</f>
        <v/>
      </c>
      <c r="E202" s="40" t="str">
        <f>IF('VISA CARDS (LIBRI CSV)'!$H202&lt;&gt;"",'VISA CARDS (LIBRI CSV)'!H202,"")</f>
        <v/>
      </c>
    </row>
    <row r="203" spans="2:5" x14ac:dyDescent="0.25">
      <c r="B203" s="39" t="str">
        <f>IF('VISA CARDS (LIBRI CSV)'!$B203&lt;&gt;"",'VISA CARDS (LIBRI CSV)'!B203,"")</f>
        <v/>
      </c>
      <c r="C203" s="39" t="str">
        <f>IF('VISA CARDS (LIBRI CSV)'!$B203&lt;&gt;"",'VISA CARDS (LIBRI CSV)'!C203,"")</f>
        <v/>
      </c>
      <c r="D203" s="39" t="str">
        <f>IF('VISA CARDS (LIBRI CSV)'!$B203&lt;&gt;"",'VISA CARDS (LIBRI CSV)'!D203,"")</f>
        <v/>
      </c>
      <c r="E203" s="40" t="str">
        <f>IF('VISA CARDS (LIBRI CSV)'!$H203&lt;&gt;"",'VISA CARDS (LIBRI CSV)'!H203,"")</f>
        <v/>
      </c>
    </row>
    <row r="204" spans="2:5" x14ac:dyDescent="0.25">
      <c r="B204" s="39" t="str">
        <f>IF('VISA CARDS (LIBRI CSV)'!$B204&lt;&gt;"",'VISA CARDS (LIBRI CSV)'!B204,"")</f>
        <v/>
      </c>
      <c r="C204" s="39" t="str">
        <f>IF('VISA CARDS (LIBRI CSV)'!$B204&lt;&gt;"",'VISA CARDS (LIBRI CSV)'!C204,"")</f>
        <v/>
      </c>
      <c r="D204" s="39" t="str">
        <f>IF('VISA CARDS (LIBRI CSV)'!$B204&lt;&gt;"",'VISA CARDS (LIBRI CSV)'!D204,"")</f>
        <v/>
      </c>
      <c r="E204" s="40" t="str">
        <f>IF('VISA CARDS (LIBRI CSV)'!$H204&lt;&gt;"",'VISA CARDS (LIBRI CSV)'!H204,"")</f>
        <v/>
      </c>
    </row>
    <row r="205" spans="2:5" x14ac:dyDescent="0.25">
      <c r="B205" s="39" t="str">
        <f>IF('VISA CARDS (LIBRI CSV)'!$B205&lt;&gt;"",'VISA CARDS (LIBRI CSV)'!B205,"")</f>
        <v/>
      </c>
      <c r="C205" s="39" t="str">
        <f>IF('VISA CARDS (LIBRI CSV)'!$B205&lt;&gt;"",'VISA CARDS (LIBRI CSV)'!C205,"")</f>
        <v/>
      </c>
      <c r="D205" s="39" t="str">
        <f>IF('VISA CARDS (LIBRI CSV)'!$B205&lt;&gt;"",'VISA CARDS (LIBRI CSV)'!D205,"")</f>
        <v/>
      </c>
      <c r="E205" s="40" t="str">
        <f>IF('VISA CARDS (LIBRI CSV)'!$H205&lt;&gt;"",'VISA CARDS (LIBRI CSV)'!H205,"")</f>
        <v/>
      </c>
    </row>
    <row r="206" spans="2:5" x14ac:dyDescent="0.25">
      <c r="B206" s="39" t="str">
        <f>IF('VISA CARDS (LIBRI CSV)'!$B206&lt;&gt;"",'VISA CARDS (LIBRI CSV)'!B206,"")</f>
        <v/>
      </c>
      <c r="C206" s="39" t="str">
        <f>IF('VISA CARDS (LIBRI CSV)'!$B206&lt;&gt;"",'VISA CARDS (LIBRI CSV)'!C206,"")</f>
        <v/>
      </c>
      <c r="D206" s="39" t="str">
        <f>IF('VISA CARDS (LIBRI CSV)'!$B206&lt;&gt;"",'VISA CARDS (LIBRI CSV)'!D206,"")</f>
        <v/>
      </c>
      <c r="E206" s="40" t="str">
        <f>IF('VISA CARDS (LIBRI CSV)'!$H206&lt;&gt;"",'VISA CARDS (LIBRI CSV)'!H206,"")</f>
        <v/>
      </c>
    </row>
    <row r="207" spans="2:5" x14ac:dyDescent="0.25">
      <c r="B207" s="39" t="str">
        <f>IF('VISA CARDS (LIBRI CSV)'!$B207&lt;&gt;"",'VISA CARDS (LIBRI CSV)'!B207,"")</f>
        <v/>
      </c>
      <c r="C207" s="39" t="str">
        <f>IF('VISA CARDS (LIBRI CSV)'!$B207&lt;&gt;"",'VISA CARDS (LIBRI CSV)'!C207,"")</f>
        <v/>
      </c>
      <c r="D207" s="39" t="str">
        <f>IF('VISA CARDS (LIBRI CSV)'!$B207&lt;&gt;"",'VISA CARDS (LIBRI CSV)'!D207,"")</f>
        <v/>
      </c>
      <c r="E207" s="40" t="str">
        <f>IF('VISA CARDS (LIBRI CSV)'!$H207&lt;&gt;"",'VISA CARDS (LIBRI CSV)'!H207,"")</f>
        <v/>
      </c>
    </row>
    <row r="208" spans="2:5" x14ac:dyDescent="0.25">
      <c r="B208" s="39" t="str">
        <f>IF('VISA CARDS (LIBRI CSV)'!$B208&lt;&gt;"",'VISA CARDS (LIBRI CSV)'!B208,"")</f>
        <v/>
      </c>
      <c r="C208" s="39" t="str">
        <f>IF('VISA CARDS (LIBRI CSV)'!$B208&lt;&gt;"",'VISA CARDS (LIBRI CSV)'!C208,"")</f>
        <v/>
      </c>
      <c r="D208" s="39" t="str">
        <f>IF('VISA CARDS (LIBRI CSV)'!$B208&lt;&gt;"",'VISA CARDS (LIBRI CSV)'!D208,"")</f>
        <v/>
      </c>
      <c r="E208" s="40" t="str">
        <f>IF('VISA CARDS (LIBRI CSV)'!$H208&lt;&gt;"",'VISA CARDS (LIBRI CSV)'!H208,"")</f>
        <v/>
      </c>
    </row>
    <row r="209" spans="2:5" x14ac:dyDescent="0.25">
      <c r="B209" s="39" t="str">
        <f>IF('VISA CARDS (LIBRI CSV)'!$B209&lt;&gt;"",'VISA CARDS (LIBRI CSV)'!B209,"")</f>
        <v/>
      </c>
      <c r="C209" s="39" t="str">
        <f>IF('VISA CARDS (LIBRI CSV)'!$B209&lt;&gt;"",'VISA CARDS (LIBRI CSV)'!C209,"")</f>
        <v/>
      </c>
      <c r="D209" s="39" t="str">
        <f>IF('VISA CARDS (LIBRI CSV)'!$B209&lt;&gt;"",'VISA CARDS (LIBRI CSV)'!D209,"")</f>
        <v/>
      </c>
      <c r="E209" s="40" t="str">
        <f>IF('VISA CARDS (LIBRI CSV)'!$H209&lt;&gt;"",'VISA CARDS (LIBRI CSV)'!H209,"")</f>
        <v/>
      </c>
    </row>
    <row r="210" spans="2:5" x14ac:dyDescent="0.25">
      <c r="B210" s="39" t="str">
        <f>IF('VISA CARDS (LIBRI CSV)'!$B210&lt;&gt;"",'VISA CARDS (LIBRI CSV)'!B210,"")</f>
        <v/>
      </c>
      <c r="C210" s="39" t="str">
        <f>IF('VISA CARDS (LIBRI CSV)'!$B210&lt;&gt;"",'VISA CARDS (LIBRI CSV)'!C210,"")</f>
        <v/>
      </c>
      <c r="D210" s="39" t="str">
        <f>IF('VISA CARDS (LIBRI CSV)'!$B210&lt;&gt;"",'VISA CARDS (LIBRI CSV)'!D210,"")</f>
        <v/>
      </c>
      <c r="E210" s="40" t="str">
        <f>IF('VISA CARDS (LIBRI CSV)'!$H210&lt;&gt;"",'VISA CARDS (LIBRI CSV)'!H210,"")</f>
        <v/>
      </c>
    </row>
    <row r="211" spans="2:5" x14ac:dyDescent="0.25">
      <c r="B211" s="39" t="str">
        <f>IF('VISA CARDS (LIBRI CSV)'!$B211&lt;&gt;"",'VISA CARDS (LIBRI CSV)'!B211,"")</f>
        <v/>
      </c>
      <c r="C211" s="39" t="str">
        <f>IF('VISA CARDS (LIBRI CSV)'!$B211&lt;&gt;"",'VISA CARDS (LIBRI CSV)'!C211,"")</f>
        <v/>
      </c>
      <c r="D211" s="39" t="str">
        <f>IF('VISA CARDS (LIBRI CSV)'!$B211&lt;&gt;"",'VISA CARDS (LIBRI CSV)'!D211,"")</f>
        <v/>
      </c>
      <c r="E211" s="40" t="str">
        <f>IF('VISA CARDS (LIBRI CSV)'!$H211&lt;&gt;"",'VISA CARDS (LIBRI CSV)'!H211,"")</f>
        <v/>
      </c>
    </row>
    <row r="212" spans="2:5" x14ac:dyDescent="0.25">
      <c r="B212" s="39" t="str">
        <f>IF('VISA CARDS (LIBRI CSV)'!$B212&lt;&gt;"",'VISA CARDS (LIBRI CSV)'!B212,"")</f>
        <v/>
      </c>
      <c r="C212" s="39" t="str">
        <f>IF('VISA CARDS (LIBRI CSV)'!$B212&lt;&gt;"",'VISA CARDS (LIBRI CSV)'!C212,"")</f>
        <v/>
      </c>
      <c r="D212" s="39" t="str">
        <f>IF('VISA CARDS (LIBRI CSV)'!$B212&lt;&gt;"",'VISA CARDS (LIBRI CSV)'!D212,"")</f>
        <v/>
      </c>
      <c r="E212" s="40" t="str">
        <f>IF('VISA CARDS (LIBRI CSV)'!$H212&lt;&gt;"",'VISA CARDS (LIBRI CSV)'!H212,"")</f>
        <v/>
      </c>
    </row>
    <row r="213" spans="2:5" x14ac:dyDescent="0.25">
      <c r="B213" s="39" t="str">
        <f>IF('VISA CARDS (LIBRI CSV)'!$B213&lt;&gt;"",'VISA CARDS (LIBRI CSV)'!B213,"")</f>
        <v/>
      </c>
      <c r="C213" s="39" t="str">
        <f>IF('VISA CARDS (LIBRI CSV)'!$B213&lt;&gt;"",'VISA CARDS (LIBRI CSV)'!C213,"")</f>
        <v/>
      </c>
      <c r="D213" s="39" t="str">
        <f>IF('VISA CARDS (LIBRI CSV)'!$B213&lt;&gt;"",'VISA CARDS (LIBRI CSV)'!D213,"")</f>
        <v/>
      </c>
      <c r="E213" s="40" t="str">
        <f>IF('VISA CARDS (LIBRI CSV)'!$H213&lt;&gt;"",'VISA CARDS (LIBRI CSV)'!H213,"")</f>
        <v/>
      </c>
    </row>
    <row r="214" spans="2:5" x14ac:dyDescent="0.25">
      <c r="B214" s="39" t="str">
        <f>IF('VISA CARDS (LIBRI CSV)'!$B214&lt;&gt;"",'VISA CARDS (LIBRI CSV)'!B214,"")</f>
        <v/>
      </c>
      <c r="C214" s="39" t="str">
        <f>IF('VISA CARDS (LIBRI CSV)'!$B214&lt;&gt;"",'VISA CARDS (LIBRI CSV)'!C214,"")</f>
        <v/>
      </c>
      <c r="D214" s="39" t="str">
        <f>IF('VISA CARDS (LIBRI CSV)'!$B214&lt;&gt;"",'VISA CARDS (LIBRI CSV)'!D214,"")</f>
        <v/>
      </c>
      <c r="E214" s="40" t="str">
        <f>IF('VISA CARDS (LIBRI CSV)'!$H214&lt;&gt;"",'VISA CARDS (LIBRI CSV)'!H214,"")</f>
        <v/>
      </c>
    </row>
    <row r="215" spans="2:5" x14ac:dyDescent="0.25">
      <c r="B215" s="39" t="str">
        <f>IF('VISA CARDS (LIBRI CSV)'!$B215&lt;&gt;"",'VISA CARDS (LIBRI CSV)'!B215,"")</f>
        <v/>
      </c>
      <c r="C215" s="39" t="str">
        <f>IF('VISA CARDS (LIBRI CSV)'!$B215&lt;&gt;"",'VISA CARDS (LIBRI CSV)'!C215,"")</f>
        <v/>
      </c>
      <c r="D215" s="39" t="str">
        <f>IF('VISA CARDS (LIBRI CSV)'!$B215&lt;&gt;"",'VISA CARDS (LIBRI CSV)'!D215,"")</f>
        <v/>
      </c>
      <c r="E215" s="40" t="str">
        <f>IF('VISA CARDS (LIBRI CSV)'!$H215&lt;&gt;"",'VISA CARDS (LIBRI CSV)'!H215,"")</f>
        <v/>
      </c>
    </row>
    <row r="216" spans="2:5" x14ac:dyDescent="0.25">
      <c r="B216" s="39" t="str">
        <f>IF('VISA CARDS (LIBRI CSV)'!$B216&lt;&gt;"",'VISA CARDS (LIBRI CSV)'!B216,"")</f>
        <v/>
      </c>
      <c r="C216" s="39" t="str">
        <f>IF('VISA CARDS (LIBRI CSV)'!$B216&lt;&gt;"",'VISA CARDS (LIBRI CSV)'!C216,"")</f>
        <v/>
      </c>
      <c r="D216" s="39" t="str">
        <f>IF('VISA CARDS (LIBRI CSV)'!$B216&lt;&gt;"",'VISA CARDS (LIBRI CSV)'!D216,"")</f>
        <v/>
      </c>
      <c r="E216" s="40" t="str">
        <f>IF('VISA CARDS (LIBRI CSV)'!$H216&lt;&gt;"",'VISA CARDS (LIBRI CSV)'!H216,"")</f>
        <v/>
      </c>
    </row>
    <row r="217" spans="2:5" x14ac:dyDescent="0.25">
      <c r="B217" s="39" t="str">
        <f>IF('VISA CARDS (LIBRI CSV)'!$B217&lt;&gt;"",'VISA CARDS (LIBRI CSV)'!B217,"")</f>
        <v/>
      </c>
      <c r="C217" s="39" t="str">
        <f>IF('VISA CARDS (LIBRI CSV)'!$B217&lt;&gt;"",'VISA CARDS (LIBRI CSV)'!C217,"")</f>
        <v/>
      </c>
      <c r="D217" s="39" t="str">
        <f>IF('VISA CARDS (LIBRI CSV)'!$B217&lt;&gt;"",'VISA CARDS (LIBRI CSV)'!D217,"")</f>
        <v/>
      </c>
      <c r="E217" s="40" t="str">
        <f>IF('VISA CARDS (LIBRI CSV)'!$H217&lt;&gt;"",'VISA CARDS (LIBRI CSV)'!H217,"")</f>
        <v/>
      </c>
    </row>
    <row r="218" spans="2:5" x14ac:dyDescent="0.25">
      <c r="B218" s="39" t="str">
        <f>IF('VISA CARDS (LIBRI CSV)'!$B218&lt;&gt;"",'VISA CARDS (LIBRI CSV)'!B218,"")</f>
        <v/>
      </c>
      <c r="C218" s="39" t="str">
        <f>IF('VISA CARDS (LIBRI CSV)'!$B218&lt;&gt;"",'VISA CARDS (LIBRI CSV)'!C218,"")</f>
        <v/>
      </c>
      <c r="D218" s="39" t="str">
        <f>IF('VISA CARDS (LIBRI CSV)'!$B218&lt;&gt;"",'VISA CARDS (LIBRI CSV)'!D218,"")</f>
        <v/>
      </c>
      <c r="E218" s="40" t="str">
        <f>IF('VISA CARDS (LIBRI CSV)'!$H218&lt;&gt;"",'VISA CARDS (LIBRI CSV)'!H218,"")</f>
        <v/>
      </c>
    </row>
    <row r="219" spans="2:5" x14ac:dyDescent="0.25">
      <c r="B219" s="39" t="str">
        <f>IF('VISA CARDS (LIBRI CSV)'!$B219&lt;&gt;"",'VISA CARDS (LIBRI CSV)'!B219,"")</f>
        <v/>
      </c>
      <c r="C219" s="39" t="str">
        <f>IF('VISA CARDS (LIBRI CSV)'!$B219&lt;&gt;"",'VISA CARDS (LIBRI CSV)'!C219,"")</f>
        <v/>
      </c>
      <c r="D219" s="39" t="str">
        <f>IF('VISA CARDS (LIBRI CSV)'!$B219&lt;&gt;"",'VISA CARDS (LIBRI CSV)'!D219,"")</f>
        <v/>
      </c>
      <c r="E219" s="40" t="str">
        <f>IF('VISA CARDS (LIBRI CSV)'!$H219&lt;&gt;"",'VISA CARDS (LIBRI CSV)'!H219,"")</f>
        <v/>
      </c>
    </row>
    <row r="220" spans="2:5" x14ac:dyDescent="0.25">
      <c r="B220" s="39" t="str">
        <f>IF('VISA CARDS (LIBRI CSV)'!$B220&lt;&gt;"",'VISA CARDS (LIBRI CSV)'!B220,"")</f>
        <v/>
      </c>
      <c r="C220" s="39" t="str">
        <f>IF('VISA CARDS (LIBRI CSV)'!$B220&lt;&gt;"",'VISA CARDS (LIBRI CSV)'!C220,"")</f>
        <v/>
      </c>
      <c r="D220" s="39" t="str">
        <f>IF('VISA CARDS (LIBRI CSV)'!$B220&lt;&gt;"",'VISA CARDS (LIBRI CSV)'!D220,"")</f>
        <v/>
      </c>
      <c r="E220" s="40" t="str">
        <f>IF('VISA CARDS (LIBRI CSV)'!$H220&lt;&gt;"",'VISA CARDS (LIBRI CSV)'!H220,"")</f>
        <v/>
      </c>
    </row>
    <row r="221" spans="2:5" x14ac:dyDescent="0.25">
      <c r="B221" s="39" t="str">
        <f>IF('VISA CARDS (LIBRI CSV)'!$B221&lt;&gt;"",'VISA CARDS (LIBRI CSV)'!B221,"")</f>
        <v/>
      </c>
      <c r="C221" s="39" t="str">
        <f>IF('VISA CARDS (LIBRI CSV)'!$B221&lt;&gt;"",'VISA CARDS (LIBRI CSV)'!C221,"")</f>
        <v/>
      </c>
      <c r="D221" s="39" t="str">
        <f>IF('VISA CARDS (LIBRI CSV)'!$B221&lt;&gt;"",'VISA CARDS (LIBRI CSV)'!D221,"")</f>
        <v/>
      </c>
      <c r="E221" s="40" t="str">
        <f>IF('VISA CARDS (LIBRI CSV)'!$H221&lt;&gt;"",'VISA CARDS (LIBRI CSV)'!H221,"")</f>
        <v/>
      </c>
    </row>
    <row r="222" spans="2:5" x14ac:dyDescent="0.25">
      <c r="B222" s="39" t="str">
        <f>IF('VISA CARDS (LIBRI CSV)'!$B222&lt;&gt;"",'VISA CARDS (LIBRI CSV)'!B222,"")</f>
        <v/>
      </c>
      <c r="C222" s="39" t="str">
        <f>IF('VISA CARDS (LIBRI CSV)'!$B222&lt;&gt;"",'VISA CARDS (LIBRI CSV)'!C222,"")</f>
        <v/>
      </c>
      <c r="D222" s="39" t="str">
        <f>IF('VISA CARDS (LIBRI CSV)'!$B222&lt;&gt;"",'VISA CARDS (LIBRI CSV)'!D222,"")</f>
        <v/>
      </c>
      <c r="E222" s="40" t="str">
        <f>IF('VISA CARDS (LIBRI CSV)'!$H222&lt;&gt;"",'VISA CARDS (LIBRI CSV)'!H222,"")</f>
        <v/>
      </c>
    </row>
    <row r="223" spans="2:5" x14ac:dyDescent="0.25">
      <c r="B223" s="39" t="str">
        <f>IF('VISA CARDS (LIBRI CSV)'!$B223&lt;&gt;"",'VISA CARDS (LIBRI CSV)'!B223,"")</f>
        <v/>
      </c>
      <c r="C223" s="39" t="str">
        <f>IF('VISA CARDS (LIBRI CSV)'!$B223&lt;&gt;"",'VISA CARDS (LIBRI CSV)'!C223,"")</f>
        <v/>
      </c>
      <c r="D223" s="39" t="str">
        <f>IF('VISA CARDS (LIBRI CSV)'!$B223&lt;&gt;"",'VISA CARDS (LIBRI CSV)'!D223,"")</f>
        <v/>
      </c>
      <c r="E223" s="40" t="str">
        <f>IF('VISA CARDS (LIBRI CSV)'!$H223&lt;&gt;"",'VISA CARDS (LIBRI CSV)'!H223,"")</f>
        <v/>
      </c>
    </row>
    <row r="224" spans="2:5" x14ac:dyDescent="0.25">
      <c r="B224" s="39" t="str">
        <f>IF('VISA CARDS (LIBRI CSV)'!$B224&lt;&gt;"",'VISA CARDS (LIBRI CSV)'!B224,"")</f>
        <v/>
      </c>
      <c r="C224" s="39" t="str">
        <f>IF('VISA CARDS (LIBRI CSV)'!$B224&lt;&gt;"",'VISA CARDS (LIBRI CSV)'!C224,"")</f>
        <v/>
      </c>
      <c r="D224" s="39" t="str">
        <f>IF('VISA CARDS (LIBRI CSV)'!$B224&lt;&gt;"",'VISA CARDS (LIBRI CSV)'!D224,"")</f>
        <v/>
      </c>
      <c r="E224" s="40" t="str">
        <f>IF('VISA CARDS (LIBRI CSV)'!$H224&lt;&gt;"",'VISA CARDS (LIBRI CSV)'!H224,"")</f>
        <v/>
      </c>
    </row>
    <row r="225" spans="2:5" x14ac:dyDescent="0.25">
      <c r="B225" s="39" t="str">
        <f>IF('VISA CARDS (LIBRI CSV)'!$B225&lt;&gt;"",'VISA CARDS (LIBRI CSV)'!B225,"")</f>
        <v/>
      </c>
      <c r="C225" s="39" t="str">
        <f>IF('VISA CARDS (LIBRI CSV)'!$B225&lt;&gt;"",'VISA CARDS (LIBRI CSV)'!C225,"")</f>
        <v/>
      </c>
      <c r="D225" s="39" t="str">
        <f>IF('VISA CARDS (LIBRI CSV)'!$B225&lt;&gt;"",'VISA CARDS (LIBRI CSV)'!D225,"")</f>
        <v/>
      </c>
      <c r="E225" s="40" t="str">
        <f>IF('VISA CARDS (LIBRI CSV)'!$H225&lt;&gt;"",'VISA CARDS (LIBRI CSV)'!H225,"")</f>
        <v/>
      </c>
    </row>
    <row r="226" spans="2:5" x14ac:dyDescent="0.25">
      <c r="B226" s="39" t="str">
        <f>IF('VISA CARDS (LIBRI CSV)'!$B226&lt;&gt;"",'VISA CARDS (LIBRI CSV)'!B226,"")</f>
        <v/>
      </c>
      <c r="C226" s="39" t="str">
        <f>IF('VISA CARDS (LIBRI CSV)'!$B226&lt;&gt;"",'VISA CARDS (LIBRI CSV)'!C226,"")</f>
        <v/>
      </c>
      <c r="D226" s="39" t="str">
        <f>IF('VISA CARDS (LIBRI CSV)'!$B226&lt;&gt;"",'VISA CARDS (LIBRI CSV)'!D226,"")</f>
        <v/>
      </c>
      <c r="E226" s="40" t="str">
        <f>IF('VISA CARDS (LIBRI CSV)'!$H226&lt;&gt;"",'VISA CARDS (LIBRI CSV)'!H226,"")</f>
        <v/>
      </c>
    </row>
    <row r="227" spans="2:5" x14ac:dyDescent="0.25">
      <c r="B227" s="39" t="str">
        <f>IF('VISA CARDS (LIBRI CSV)'!$B227&lt;&gt;"",'VISA CARDS (LIBRI CSV)'!B227,"")</f>
        <v/>
      </c>
      <c r="C227" s="39" t="str">
        <f>IF('VISA CARDS (LIBRI CSV)'!$B227&lt;&gt;"",'VISA CARDS (LIBRI CSV)'!C227,"")</f>
        <v/>
      </c>
      <c r="D227" s="39" t="str">
        <f>IF('VISA CARDS (LIBRI CSV)'!$B227&lt;&gt;"",'VISA CARDS (LIBRI CSV)'!D227,"")</f>
        <v/>
      </c>
      <c r="E227" s="40" t="str">
        <f>IF('VISA CARDS (LIBRI CSV)'!$H227&lt;&gt;"",'VISA CARDS (LIBRI CSV)'!H227,"")</f>
        <v/>
      </c>
    </row>
    <row r="228" spans="2:5" x14ac:dyDescent="0.25">
      <c r="B228" s="39" t="str">
        <f>IF('VISA CARDS (LIBRI CSV)'!$B228&lt;&gt;"",'VISA CARDS (LIBRI CSV)'!B228,"")</f>
        <v/>
      </c>
      <c r="C228" s="39" t="str">
        <f>IF('VISA CARDS (LIBRI CSV)'!$B228&lt;&gt;"",'VISA CARDS (LIBRI CSV)'!C228,"")</f>
        <v/>
      </c>
      <c r="D228" s="39" t="str">
        <f>IF('VISA CARDS (LIBRI CSV)'!$B228&lt;&gt;"",'VISA CARDS (LIBRI CSV)'!D228,"")</f>
        <v/>
      </c>
      <c r="E228" s="40" t="str">
        <f>IF('VISA CARDS (LIBRI CSV)'!$H228&lt;&gt;"",'VISA CARDS (LIBRI CSV)'!H228,"")</f>
        <v/>
      </c>
    </row>
    <row r="229" spans="2:5" x14ac:dyDescent="0.25">
      <c r="B229" s="39" t="str">
        <f>IF('VISA CARDS (LIBRI CSV)'!$B229&lt;&gt;"",'VISA CARDS (LIBRI CSV)'!B229,"")</f>
        <v/>
      </c>
      <c r="C229" s="39" t="str">
        <f>IF('VISA CARDS (LIBRI CSV)'!$B229&lt;&gt;"",'VISA CARDS (LIBRI CSV)'!C229,"")</f>
        <v/>
      </c>
      <c r="D229" s="39" t="str">
        <f>IF('VISA CARDS (LIBRI CSV)'!$B229&lt;&gt;"",'VISA CARDS (LIBRI CSV)'!D229,"")</f>
        <v/>
      </c>
      <c r="E229" s="40" t="str">
        <f>IF('VISA CARDS (LIBRI CSV)'!$H229&lt;&gt;"",'VISA CARDS (LIBRI CSV)'!H229,"")</f>
        <v/>
      </c>
    </row>
    <row r="230" spans="2:5" x14ac:dyDescent="0.25">
      <c r="B230" s="39" t="str">
        <f>IF('VISA CARDS (LIBRI CSV)'!$B230&lt;&gt;"",'VISA CARDS (LIBRI CSV)'!B230,"")</f>
        <v/>
      </c>
      <c r="C230" s="39" t="str">
        <f>IF('VISA CARDS (LIBRI CSV)'!$B230&lt;&gt;"",'VISA CARDS (LIBRI CSV)'!C230,"")</f>
        <v/>
      </c>
      <c r="D230" s="39" t="str">
        <f>IF('VISA CARDS (LIBRI CSV)'!$B230&lt;&gt;"",'VISA CARDS (LIBRI CSV)'!D230,"")</f>
        <v/>
      </c>
      <c r="E230" s="40" t="str">
        <f>IF('VISA CARDS (LIBRI CSV)'!$H230&lt;&gt;"",'VISA CARDS (LIBRI CSV)'!H230,"")</f>
        <v/>
      </c>
    </row>
    <row r="231" spans="2:5" x14ac:dyDescent="0.25">
      <c r="B231" s="39" t="str">
        <f>IF('VISA CARDS (LIBRI CSV)'!$B231&lt;&gt;"",'VISA CARDS (LIBRI CSV)'!B231,"")</f>
        <v/>
      </c>
      <c r="C231" s="39" t="str">
        <f>IF('VISA CARDS (LIBRI CSV)'!$B231&lt;&gt;"",'VISA CARDS (LIBRI CSV)'!C231,"")</f>
        <v/>
      </c>
      <c r="D231" s="39" t="str">
        <f>IF('VISA CARDS (LIBRI CSV)'!$B231&lt;&gt;"",'VISA CARDS (LIBRI CSV)'!D231,"")</f>
        <v/>
      </c>
      <c r="E231" s="40" t="str">
        <f>IF('VISA CARDS (LIBRI CSV)'!$H231&lt;&gt;"",'VISA CARDS (LIBRI CSV)'!H231,"")</f>
        <v/>
      </c>
    </row>
    <row r="232" spans="2:5" x14ac:dyDescent="0.25">
      <c r="B232" s="39" t="str">
        <f>IF('VISA CARDS (LIBRI CSV)'!$B232&lt;&gt;"",'VISA CARDS (LIBRI CSV)'!B232,"")</f>
        <v/>
      </c>
      <c r="C232" s="39" t="str">
        <f>IF('VISA CARDS (LIBRI CSV)'!$B232&lt;&gt;"",'VISA CARDS (LIBRI CSV)'!C232,"")</f>
        <v/>
      </c>
      <c r="D232" s="39" t="str">
        <f>IF('VISA CARDS (LIBRI CSV)'!$B232&lt;&gt;"",'VISA CARDS (LIBRI CSV)'!D232,"")</f>
        <v/>
      </c>
      <c r="E232" s="40" t="str">
        <f>IF('VISA CARDS (LIBRI CSV)'!$H232&lt;&gt;"",'VISA CARDS (LIBRI CSV)'!H232,"")</f>
        <v/>
      </c>
    </row>
    <row r="233" spans="2:5" x14ac:dyDescent="0.25">
      <c r="B233" s="39" t="str">
        <f>IF('VISA CARDS (LIBRI CSV)'!$B233&lt;&gt;"",'VISA CARDS (LIBRI CSV)'!B233,"")</f>
        <v/>
      </c>
      <c r="C233" s="39" t="str">
        <f>IF('VISA CARDS (LIBRI CSV)'!$B233&lt;&gt;"",'VISA CARDS (LIBRI CSV)'!C233,"")</f>
        <v/>
      </c>
      <c r="D233" s="39" t="str">
        <f>IF('VISA CARDS (LIBRI CSV)'!$B233&lt;&gt;"",'VISA CARDS (LIBRI CSV)'!D233,"")</f>
        <v/>
      </c>
      <c r="E233" s="40" t="str">
        <f>IF('VISA CARDS (LIBRI CSV)'!$H233&lt;&gt;"",'VISA CARDS (LIBRI CSV)'!H233,"")</f>
        <v/>
      </c>
    </row>
    <row r="234" spans="2:5" x14ac:dyDescent="0.25">
      <c r="B234" s="39" t="str">
        <f>IF('VISA CARDS (LIBRI CSV)'!$B234&lt;&gt;"",'VISA CARDS (LIBRI CSV)'!B234,"")</f>
        <v/>
      </c>
      <c r="C234" s="39" t="str">
        <f>IF('VISA CARDS (LIBRI CSV)'!$B234&lt;&gt;"",'VISA CARDS (LIBRI CSV)'!C234,"")</f>
        <v/>
      </c>
      <c r="D234" s="39" t="str">
        <f>IF('VISA CARDS (LIBRI CSV)'!$B234&lt;&gt;"",'VISA CARDS (LIBRI CSV)'!D234,"")</f>
        <v/>
      </c>
      <c r="E234" s="40" t="str">
        <f>IF('VISA CARDS (LIBRI CSV)'!$H234&lt;&gt;"",'VISA CARDS (LIBRI CSV)'!H234,"")</f>
        <v/>
      </c>
    </row>
    <row r="235" spans="2:5" x14ac:dyDescent="0.25">
      <c r="B235" s="39" t="str">
        <f>IF('VISA CARDS (LIBRI CSV)'!$B235&lt;&gt;"",'VISA CARDS (LIBRI CSV)'!B235,"")</f>
        <v/>
      </c>
      <c r="C235" s="39" t="str">
        <f>IF('VISA CARDS (LIBRI CSV)'!$B235&lt;&gt;"",'VISA CARDS (LIBRI CSV)'!C235,"")</f>
        <v/>
      </c>
      <c r="D235" s="39" t="str">
        <f>IF('VISA CARDS (LIBRI CSV)'!$B235&lt;&gt;"",'VISA CARDS (LIBRI CSV)'!D235,"")</f>
        <v/>
      </c>
      <c r="E235" s="40" t="str">
        <f>IF('VISA CARDS (LIBRI CSV)'!$H235&lt;&gt;"",'VISA CARDS (LIBRI CSV)'!H235,"")</f>
        <v/>
      </c>
    </row>
    <row r="236" spans="2:5" x14ac:dyDescent="0.25">
      <c r="B236" s="39" t="str">
        <f>IF('VISA CARDS (LIBRI CSV)'!$B236&lt;&gt;"",'VISA CARDS (LIBRI CSV)'!B236,"")</f>
        <v/>
      </c>
      <c r="C236" s="39" t="str">
        <f>IF('VISA CARDS (LIBRI CSV)'!$B236&lt;&gt;"",'VISA CARDS (LIBRI CSV)'!C236,"")</f>
        <v/>
      </c>
      <c r="D236" s="39" t="str">
        <f>IF('VISA CARDS (LIBRI CSV)'!$B236&lt;&gt;"",'VISA CARDS (LIBRI CSV)'!D236,"")</f>
        <v/>
      </c>
      <c r="E236" s="40" t="str">
        <f>IF('VISA CARDS (LIBRI CSV)'!$H236&lt;&gt;"",'VISA CARDS (LIBRI CSV)'!H236,"")</f>
        <v/>
      </c>
    </row>
    <row r="237" spans="2:5" x14ac:dyDescent="0.25">
      <c r="B237" s="39" t="str">
        <f>IF('VISA CARDS (LIBRI CSV)'!$B237&lt;&gt;"",'VISA CARDS (LIBRI CSV)'!B237,"")</f>
        <v/>
      </c>
      <c r="C237" s="39" t="str">
        <f>IF('VISA CARDS (LIBRI CSV)'!$B237&lt;&gt;"",'VISA CARDS (LIBRI CSV)'!C237,"")</f>
        <v/>
      </c>
      <c r="D237" s="39" t="str">
        <f>IF('VISA CARDS (LIBRI CSV)'!$B237&lt;&gt;"",'VISA CARDS (LIBRI CSV)'!D237,"")</f>
        <v/>
      </c>
      <c r="E237" s="40" t="str">
        <f>IF('VISA CARDS (LIBRI CSV)'!$H237&lt;&gt;"",'VISA CARDS (LIBRI CSV)'!H237,"")</f>
        <v/>
      </c>
    </row>
    <row r="238" spans="2:5" x14ac:dyDescent="0.25">
      <c r="B238" s="39" t="str">
        <f>IF('VISA CARDS (LIBRI CSV)'!$B238&lt;&gt;"",'VISA CARDS (LIBRI CSV)'!B238,"")</f>
        <v/>
      </c>
      <c r="C238" s="39" t="str">
        <f>IF('VISA CARDS (LIBRI CSV)'!$B238&lt;&gt;"",'VISA CARDS (LIBRI CSV)'!C238,"")</f>
        <v/>
      </c>
      <c r="D238" s="39" t="str">
        <f>IF('VISA CARDS (LIBRI CSV)'!$B238&lt;&gt;"",'VISA CARDS (LIBRI CSV)'!D238,"")</f>
        <v/>
      </c>
      <c r="E238" s="40" t="str">
        <f>IF('VISA CARDS (LIBRI CSV)'!$H238&lt;&gt;"",'VISA CARDS (LIBRI CSV)'!H238,"")</f>
        <v/>
      </c>
    </row>
    <row r="239" spans="2:5" x14ac:dyDescent="0.25">
      <c r="B239" s="39" t="str">
        <f>IF('VISA CARDS (LIBRI CSV)'!$B239&lt;&gt;"",'VISA CARDS (LIBRI CSV)'!B239,"")</f>
        <v/>
      </c>
      <c r="C239" s="39" t="str">
        <f>IF('VISA CARDS (LIBRI CSV)'!$B239&lt;&gt;"",'VISA CARDS (LIBRI CSV)'!C239,"")</f>
        <v/>
      </c>
      <c r="D239" s="39" t="str">
        <f>IF('VISA CARDS (LIBRI CSV)'!$B239&lt;&gt;"",'VISA CARDS (LIBRI CSV)'!D239,"")</f>
        <v/>
      </c>
      <c r="E239" s="40" t="str">
        <f>IF('VISA CARDS (LIBRI CSV)'!$H239&lt;&gt;"",'VISA CARDS (LIBRI CSV)'!H239,"")</f>
        <v/>
      </c>
    </row>
    <row r="240" spans="2:5" x14ac:dyDescent="0.25">
      <c r="B240" s="39" t="str">
        <f>IF('VISA CARDS (LIBRI CSV)'!$B240&lt;&gt;"",'VISA CARDS (LIBRI CSV)'!B240,"")</f>
        <v/>
      </c>
      <c r="C240" s="39" t="str">
        <f>IF('VISA CARDS (LIBRI CSV)'!$B240&lt;&gt;"",'VISA CARDS (LIBRI CSV)'!C240,"")</f>
        <v/>
      </c>
      <c r="D240" s="39" t="str">
        <f>IF('VISA CARDS (LIBRI CSV)'!$B240&lt;&gt;"",'VISA CARDS (LIBRI CSV)'!D240,"")</f>
        <v/>
      </c>
      <c r="E240" s="40" t="str">
        <f>IF('VISA CARDS (LIBRI CSV)'!$H240&lt;&gt;"",'VISA CARDS (LIBRI CSV)'!H240,"")</f>
        <v/>
      </c>
    </row>
    <row r="241" spans="2:5" x14ac:dyDescent="0.25">
      <c r="B241" s="39" t="str">
        <f>IF('VISA CARDS (LIBRI CSV)'!$B241&lt;&gt;"",'VISA CARDS (LIBRI CSV)'!B241,"")</f>
        <v/>
      </c>
      <c r="C241" s="39" t="str">
        <f>IF('VISA CARDS (LIBRI CSV)'!$B241&lt;&gt;"",'VISA CARDS (LIBRI CSV)'!C241,"")</f>
        <v/>
      </c>
      <c r="D241" s="39" t="str">
        <f>IF('VISA CARDS (LIBRI CSV)'!$B241&lt;&gt;"",'VISA CARDS (LIBRI CSV)'!D241,"")</f>
        <v/>
      </c>
      <c r="E241" s="40" t="str">
        <f>IF('VISA CARDS (LIBRI CSV)'!$H241&lt;&gt;"",'VISA CARDS (LIBRI CSV)'!H241,"")</f>
        <v/>
      </c>
    </row>
    <row r="242" spans="2:5" x14ac:dyDescent="0.25">
      <c r="B242" s="39" t="str">
        <f>IF('VISA CARDS (LIBRI CSV)'!$B242&lt;&gt;"",'VISA CARDS (LIBRI CSV)'!B242,"")</f>
        <v/>
      </c>
      <c r="C242" s="39" t="str">
        <f>IF('VISA CARDS (LIBRI CSV)'!$B242&lt;&gt;"",'VISA CARDS (LIBRI CSV)'!C242,"")</f>
        <v/>
      </c>
      <c r="D242" s="39" t="str">
        <f>IF('VISA CARDS (LIBRI CSV)'!$B242&lt;&gt;"",'VISA CARDS (LIBRI CSV)'!D242,"")</f>
        <v/>
      </c>
      <c r="E242" s="40" t="str">
        <f>IF('VISA CARDS (LIBRI CSV)'!$H242&lt;&gt;"",'VISA CARDS (LIBRI CSV)'!H242,"")</f>
        <v/>
      </c>
    </row>
    <row r="243" spans="2:5" x14ac:dyDescent="0.25">
      <c r="B243" s="39" t="str">
        <f>IF('VISA CARDS (LIBRI CSV)'!$B243&lt;&gt;"",'VISA CARDS (LIBRI CSV)'!B243,"")</f>
        <v/>
      </c>
      <c r="C243" s="39" t="str">
        <f>IF('VISA CARDS (LIBRI CSV)'!$B243&lt;&gt;"",'VISA CARDS (LIBRI CSV)'!C243,"")</f>
        <v/>
      </c>
      <c r="D243" s="39" t="str">
        <f>IF('VISA CARDS (LIBRI CSV)'!$B243&lt;&gt;"",'VISA CARDS (LIBRI CSV)'!D243,"")</f>
        <v/>
      </c>
      <c r="E243" s="40" t="str">
        <f>IF('VISA CARDS (LIBRI CSV)'!$H243&lt;&gt;"",'VISA CARDS (LIBRI CSV)'!H243,"")</f>
        <v/>
      </c>
    </row>
    <row r="244" spans="2:5" x14ac:dyDescent="0.25">
      <c r="B244" s="39" t="str">
        <f>IF('VISA CARDS (LIBRI CSV)'!$B244&lt;&gt;"",'VISA CARDS (LIBRI CSV)'!B244,"")</f>
        <v/>
      </c>
      <c r="C244" s="39" t="str">
        <f>IF('VISA CARDS (LIBRI CSV)'!$B244&lt;&gt;"",'VISA CARDS (LIBRI CSV)'!C244,"")</f>
        <v/>
      </c>
      <c r="D244" s="39" t="str">
        <f>IF('VISA CARDS (LIBRI CSV)'!$B244&lt;&gt;"",'VISA CARDS (LIBRI CSV)'!D244,"")</f>
        <v/>
      </c>
      <c r="E244" s="40" t="str">
        <f>IF('VISA CARDS (LIBRI CSV)'!$H244&lt;&gt;"",'VISA CARDS (LIBRI CSV)'!H244,"")</f>
        <v/>
      </c>
    </row>
    <row r="245" spans="2:5" x14ac:dyDescent="0.25">
      <c r="B245" s="39" t="str">
        <f>IF('VISA CARDS (LIBRI CSV)'!$B245&lt;&gt;"",'VISA CARDS (LIBRI CSV)'!B245,"")</f>
        <v/>
      </c>
      <c r="C245" s="39" t="str">
        <f>IF('VISA CARDS (LIBRI CSV)'!$B245&lt;&gt;"",'VISA CARDS (LIBRI CSV)'!C245,"")</f>
        <v/>
      </c>
      <c r="D245" s="39" t="str">
        <f>IF('VISA CARDS (LIBRI CSV)'!$B245&lt;&gt;"",'VISA CARDS (LIBRI CSV)'!D245,"")</f>
        <v/>
      </c>
      <c r="E245" s="40" t="str">
        <f>IF('VISA CARDS (LIBRI CSV)'!$H245&lt;&gt;"",'VISA CARDS (LIBRI CSV)'!H245,"")</f>
        <v/>
      </c>
    </row>
    <row r="246" spans="2:5" x14ac:dyDescent="0.25">
      <c r="B246" s="39" t="str">
        <f>IF('VISA CARDS (LIBRI CSV)'!$B246&lt;&gt;"",'VISA CARDS (LIBRI CSV)'!B246,"")</f>
        <v/>
      </c>
      <c r="C246" s="39" t="str">
        <f>IF('VISA CARDS (LIBRI CSV)'!$B246&lt;&gt;"",'VISA CARDS (LIBRI CSV)'!C246,"")</f>
        <v/>
      </c>
      <c r="D246" s="39" t="str">
        <f>IF('VISA CARDS (LIBRI CSV)'!$B246&lt;&gt;"",'VISA CARDS (LIBRI CSV)'!D246,"")</f>
        <v/>
      </c>
      <c r="E246" s="40" t="str">
        <f>IF('VISA CARDS (LIBRI CSV)'!$H246&lt;&gt;"",'VISA CARDS (LIBRI CSV)'!H246,"")</f>
        <v/>
      </c>
    </row>
    <row r="247" spans="2:5" x14ac:dyDescent="0.25">
      <c r="B247" s="39" t="str">
        <f>IF('VISA CARDS (LIBRI CSV)'!$B247&lt;&gt;"",'VISA CARDS (LIBRI CSV)'!B247,"")</f>
        <v/>
      </c>
      <c r="C247" s="39" t="str">
        <f>IF('VISA CARDS (LIBRI CSV)'!$B247&lt;&gt;"",'VISA CARDS (LIBRI CSV)'!C247,"")</f>
        <v/>
      </c>
      <c r="D247" s="39" t="str">
        <f>IF('VISA CARDS (LIBRI CSV)'!$B247&lt;&gt;"",'VISA CARDS (LIBRI CSV)'!D247,"")</f>
        <v/>
      </c>
      <c r="E247" s="40" t="str">
        <f>IF('VISA CARDS (LIBRI CSV)'!$H247&lt;&gt;"",'VISA CARDS (LIBRI CSV)'!H247,"")</f>
        <v/>
      </c>
    </row>
    <row r="248" spans="2:5" x14ac:dyDescent="0.25">
      <c r="B248" s="39" t="str">
        <f>IF('VISA CARDS (LIBRI CSV)'!$B248&lt;&gt;"",'VISA CARDS (LIBRI CSV)'!B248,"")</f>
        <v/>
      </c>
      <c r="C248" s="39" t="str">
        <f>IF('VISA CARDS (LIBRI CSV)'!$B248&lt;&gt;"",'VISA CARDS (LIBRI CSV)'!C248,"")</f>
        <v/>
      </c>
      <c r="D248" s="39" t="str">
        <f>IF('VISA CARDS (LIBRI CSV)'!$B248&lt;&gt;"",'VISA CARDS (LIBRI CSV)'!D248,"")</f>
        <v/>
      </c>
      <c r="E248" s="40" t="str">
        <f>IF('VISA CARDS (LIBRI CSV)'!$H248&lt;&gt;"",'VISA CARDS (LIBRI CSV)'!H248,"")</f>
        <v/>
      </c>
    </row>
    <row r="249" spans="2:5" x14ac:dyDescent="0.25">
      <c r="B249" s="39" t="str">
        <f>IF('VISA CARDS (LIBRI CSV)'!$B249&lt;&gt;"",'VISA CARDS (LIBRI CSV)'!B249,"")</f>
        <v/>
      </c>
      <c r="C249" s="39" t="str">
        <f>IF('VISA CARDS (LIBRI CSV)'!$B249&lt;&gt;"",'VISA CARDS (LIBRI CSV)'!C249,"")</f>
        <v/>
      </c>
      <c r="D249" s="39" t="str">
        <f>IF('VISA CARDS (LIBRI CSV)'!$B249&lt;&gt;"",'VISA CARDS (LIBRI CSV)'!D249,"")</f>
        <v/>
      </c>
      <c r="E249" s="40" t="str">
        <f>IF('VISA CARDS (LIBRI CSV)'!$H249&lt;&gt;"",'VISA CARDS (LIBRI CSV)'!H249,"")</f>
        <v/>
      </c>
    </row>
    <row r="250" spans="2:5" x14ac:dyDescent="0.25">
      <c r="B250" s="39" t="str">
        <f>IF('VISA CARDS (LIBRI CSV)'!$B250&lt;&gt;"",'VISA CARDS (LIBRI CSV)'!B250,"")</f>
        <v/>
      </c>
      <c r="C250" s="39" t="str">
        <f>IF('VISA CARDS (LIBRI CSV)'!$B250&lt;&gt;"",'VISA CARDS (LIBRI CSV)'!C250,"")</f>
        <v/>
      </c>
      <c r="D250" s="39" t="str">
        <f>IF('VISA CARDS (LIBRI CSV)'!$B250&lt;&gt;"",'VISA CARDS (LIBRI CSV)'!D250,"")</f>
        <v/>
      </c>
      <c r="E250" s="40" t="str">
        <f>IF('VISA CARDS (LIBRI CSV)'!$H250&lt;&gt;"",'VISA CARDS (LIBRI CSV)'!H250,"")</f>
        <v/>
      </c>
    </row>
    <row r="251" spans="2:5" x14ac:dyDescent="0.25">
      <c r="B251" s="39" t="str">
        <f>IF('VISA CARDS (LIBRI CSV)'!$B251&lt;&gt;"",'VISA CARDS (LIBRI CSV)'!B251,"")</f>
        <v/>
      </c>
      <c r="C251" s="39" t="str">
        <f>IF('VISA CARDS (LIBRI CSV)'!$B251&lt;&gt;"",'VISA CARDS (LIBRI CSV)'!C251,"")</f>
        <v/>
      </c>
      <c r="D251" s="39" t="str">
        <f>IF('VISA CARDS (LIBRI CSV)'!$B251&lt;&gt;"",'VISA CARDS (LIBRI CSV)'!D251,"")</f>
        <v/>
      </c>
      <c r="E251" s="40" t="str">
        <f>IF('VISA CARDS (LIBRI CSV)'!$H251&lt;&gt;"",'VISA CARDS (LIBRI CSV)'!H251,"")</f>
        <v/>
      </c>
    </row>
    <row r="252" spans="2:5" x14ac:dyDescent="0.25">
      <c r="B252" s="39" t="str">
        <f>IF('VISA CARDS (LIBRI CSV)'!$B252&lt;&gt;"",'VISA CARDS (LIBRI CSV)'!B252,"")</f>
        <v/>
      </c>
      <c r="C252" s="39" t="str">
        <f>IF('VISA CARDS (LIBRI CSV)'!$B252&lt;&gt;"",'VISA CARDS (LIBRI CSV)'!C252,"")</f>
        <v/>
      </c>
      <c r="D252" s="39" t="str">
        <f>IF('VISA CARDS (LIBRI CSV)'!$B252&lt;&gt;"",'VISA CARDS (LIBRI CSV)'!D252,"")</f>
        <v/>
      </c>
      <c r="E252" s="40" t="str">
        <f>IF('VISA CARDS (LIBRI CSV)'!$H252&lt;&gt;"",'VISA CARDS (LIBRI CSV)'!H252,"")</f>
        <v/>
      </c>
    </row>
    <row r="253" spans="2:5" x14ac:dyDescent="0.25">
      <c r="B253" s="39" t="str">
        <f>IF('VISA CARDS (LIBRI CSV)'!$B253&lt;&gt;"",'VISA CARDS (LIBRI CSV)'!B253,"")</f>
        <v/>
      </c>
      <c r="C253" s="39" t="str">
        <f>IF('VISA CARDS (LIBRI CSV)'!$B253&lt;&gt;"",'VISA CARDS (LIBRI CSV)'!C253,"")</f>
        <v/>
      </c>
      <c r="D253" s="39" t="str">
        <f>IF('VISA CARDS (LIBRI CSV)'!$B253&lt;&gt;"",'VISA CARDS (LIBRI CSV)'!D253,"")</f>
        <v/>
      </c>
      <c r="E253" s="40" t="str">
        <f>IF('VISA CARDS (LIBRI CSV)'!$H253&lt;&gt;"",'VISA CARDS (LIBRI CSV)'!H253,"")</f>
        <v/>
      </c>
    </row>
    <row r="254" spans="2:5" x14ac:dyDescent="0.25">
      <c r="B254" s="39" t="str">
        <f>IF('VISA CARDS (LIBRI CSV)'!$B254&lt;&gt;"",'VISA CARDS (LIBRI CSV)'!B254,"")</f>
        <v/>
      </c>
      <c r="C254" s="39" t="str">
        <f>IF('VISA CARDS (LIBRI CSV)'!$B254&lt;&gt;"",'VISA CARDS (LIBRI CSV)'!C254,"")</f>
        <v/>
      </c>
      <c r="D254" s="39" t="str">
        <f>IF('VISA CARDS (LIBRI CSV)'!$B254&lt;&gt;"",'VISA CARDS (LIBRI CSV)'!D254,"")</f>
        <v/>
      </c>
      <c r="E254" s="40" t="str">
        <f>IF('VISA CARDS (LIBRI CSV)'!$H254&lt;&gt;"",'VISA CARDS (LIBRI CSV)'!H254,"")</f>
        <v/>
      </c>
    </row>
    <row r="255" spans="2:5" x14ac:dyDescent="0.25">
      <c r="B255" s="39" t="str">
        <f>IF('VISA CARDS (LIBRI CSV)'!$B255&lt;&gt;"",'VISA CARDS (LIBRI CSV)'!B255,"")</f>
        <v/>
      </c>
      <c r="C255" s="39" t="str">
        <f>IF('VISA CARDS (LIBRI CSV)'!$B255&lt;&gt;"",'VISA CARDS (LIBRI CSV)'!C255,"")</f>
        <v/>
      </c>
      <c r="D255" s="39" t="str">
        <f>IF('VISA CARDS (LIBRI CSV)'!$B255&lt;&gt;"",'VISA CARDS (LIBRI CSV)'!D255,"")</f>
        <v/>
      </c>
      <c r="E255" s="40" t="str">
        <f>IF('VISA CARDS (LIBRI CSV)'!$H255&lt;&gt;"",'VISA CARDS (LIBRI CSV)'!H255,"")</f>
        <v/>
      </c>
    </row>
    <row r="256" spans="2:5" x14ac:dyDescent="0.25">
      <c r="B256" s="39" t="str">
        <f>IF('VISA CARDS (LIBRI CSV)'!$B256&lt;&gt;"",'VISA CARDS (LIBRI CSV)'!B256,"")</f>
        <v/>
      </c>
      <c r="C256" s="39" t="str">
        <f>IF('VISA CARDS (LIBRI CSV)'!$B256&lt;&gt;"",'VISA CARDS (LIBRI CSV)'!C256,"")</f>
        <v/>
      </c>
      <c r="D256" s="39" t="str">
        <f>IF('VISA CARDS (LIBRI CSV)'!$B256&lt;&gt;"",'VISA CARDS (LIBRI CSV)'!D256,"")</f>
        <v/>
      </c>
      <c r="E256" s="40" t="str">
        <f>IF('VISA CARDS (LIBRI CSV)'!$H256&lt;&gt;"",'VISA CARDS (LIBRI CSV)'!H256,"")</f>
        <v/>
      </c>
    </row>
    <row r="257" spans="2:5" x14ac:dyDescent="0.25">
      <c r="B257" s="39" t="str">
        <f>IF('VISA CARDS (LIBRI CSV)'!$B257&lt;&gt;"",'VISA CARDS (LIBRI CSV)'!B257,"")</f>
        <v/>
      </c>
      <c r="C257" s="39" t="str">
        <f>IF('VISA CARDS (LIBRI CSV)'!$B257&lt;&gt;"",'VISA CARDS (LIBRI CSV)'!C257,"")</f>
        <v/>
      </c>
      <c r="D257" s="39" t="str">
        <f>IF('VISA CARDS (LIBRI CSV)'!$B257&lt;&gt;"",'VISA CARDS (LIBRI CSV)'!D257,"")</f>
        <v/>
      </c>
      <c r="E257" s="40" t="str">
        <f>IF('VISA CARDS (LIBRI CSV)'!$H257&lt;&gt;"",'VISA CARDS (LIBRI CSV)'!H257,"")</f>
        <v/>
      </c>
    </row>
    <row r="258" spans="2:5" x14ac:dyDescent="0.25">
      <c r="B258" s="39" t="str">
        <f>IF('VISA CARDS (LIBRI CSV)'!$B258&lt;&gt;"",'VISA CARDS (LIBRI CSV)'!B258,"")</f>
        <v/>
      </c>
      <c r="C258" s="39" t="str">
        <f>IF('VISA CARDS (LIBRI CSV)'!$B258&lt;&gt;"",'VISA CARDS (LIBRI CSV)'!C258,"")</f>
        <v/>
      </c>
      <c r="D258" s="39" t="str">
        <f>IF('VISA CARDS (LIBRI CSV)'!$B258&lt;&gt;"",'VISA CARDS (LIBRI CSV)'!D258,"")</f>
        <v/>
      </c>
      <c r="E258" s="40" t="str">
        <f>IF('VISA CARDS (LIBRI CSV)'!$H258&lt;&gt;"",'VISA CARDS (LIBRI CSV)'!H258,"")</f>
        <v/>
      </c>
    </row>
    <row r="259" spans="2:5" x14ac:dyDescent="0.25">
      <c r="B259" s="39" t="str">
        <f>IF('VISA CARDS (LIBRI CSV)'!$B259&lt;&gt;"",'VISA CARDS (LIBRI CSV)'!B259,"")</f>
        <v/>
      </c>
      <c r="C259" s="39" t="str">
        <f>IF('VISA CARDS (LIBRI CSV)'!$B259&lt;&gt;"",'VISA CARDS (LIBRI CSV)'!C259,"")</f>
        <v/>
      </c>
      <c r="D259" s="39" t="str">
        <f>IF('VISA CARDS (LIBRI CSV)'!$B259&lt;&gt;"",'VISA CARDS (LIBRI CSV)'!D259,"")</f>
        <v/>
      </c>
      <c r="E259" s="40" t="str">
        <f>IF('VISA CARDS (LIBRI CSV)'!$H259&lt;&gt;"",'VISA CARDS (LIBRI CSV)'!H259,"")</f>
        <v/>
      </c>
    </row>
    <row r="260" spans="2:5" x14ac:dyDescent="0.25">
      <c r="B260" s="39" t="str">
        <f>IF('VISA CARDS (LIBRI CSV)'!$B260&lt;&gt;"",'VISA CARDS (LIBRI CSV)'!B260,"")</f>
        <v/>
      </c>
      <c r="C260" s="39" t="str">
        <f>IF('VISA CARDS (LIBRI CSV)'!$B260&lt;&gt;"",'VISA CARDS (LIBRI CSV)'!C260,"")</f>
        <v/>
      </c>
      <c r="D260" s="39" t="str">
        <f>IF('VISA CARDS (LIBRI CSV)'!$B260&lt;&gt;"",'VISA CARDS (LIBRI CSV)'!D260,"")</f>
        <v/>
      </c>
      <c r="E260" s="40" t="str">
        <f>IF('VISA CARDS (LIBRI CSV)'!$H260&lt;&gt;"",'VISA CARDS (LIBRI CSV)'!H260,"")</f>
        <v/>
      </c>
    </row>
    <row r="261" spans="2:5" x14ac:dyDescent="0.25">
      <c r="B261" s="39" t="str">
        <f>IF('VISA CARDS (LIBRI CSV)'!$B261&lt;&gt;"",'VISA CARDS (LIBRI CSV)'!B261,"")</f>
        <v/>
      </c>
      <c r="C261" s="39" t="str">
        <f>IF('VISA CARDS (LIBRI CSV)'!$B261&lt;&gt;"",'VISA CARDS (LIBRI CSV)'!C261,"")</f>
        <v/>
      </c>
      <c r="D261" s="39" t="str">
        <f>IF('VISA CARDS (LIBRI CSV)'!$B261&lt;&gt;"",'VISA CARDS (LIBRI CSV)'!D261,"")</f>
        <v/>
      </c>
      <c r="E261" s="40" t="str">
        <f>IF('VISA CARDS (LIBRI CSV)'!$H261&lt;&gt;"",'VISA CARDS (LIBRI CSV)'!H261,"")</f>
        <v/>
      </c>
    </row>
    <row r="262" spans="2:5" x14ac:dyDescent="0.25">
      <c r="B262" s="39" t="str">
        <f>IF('VISA CARDS (LIBRI CSV)'!$B262&lt;&gt;"",'VISA CARDS (LIBRI CSV)'!B262,"")</f>
        <v/>
      </c>
      <c r="C262" s="39" t="str">
        <f>IF('VISA CARDS (LIBRI CSV)'!$B262&lt;&gt;"",'VISA CARDS (LIBRI CSV)'!C262,"")</f>
        <v/>
      </c>
      <c r="D262" s="39" t="str">
        <f>IF('VISA CARDS (LIBRI CSV)'!$B262&lt;&gt;"",'VISA CARDS (LIBRI CSV)'!D262,"")</f>
        <v/>
      </c>
      <c r="E262" s="40" t="str">
        <f>IF('VISA CARDS (LIBRI CSV)'!$H262&lt;&gt;"",'VISA CARDS (LIBRI CSV)'!H262,"")</f>
        <v/>
      </c>
    </row>
    <row r="263" spans="2:5" x14ac:dyDescent="0.25">
      <c r="B263" s="39" t="str">
        <f>IF('VISA CARDS (LIBRI CSV)'!$B263&lt;&gt;"",'VISA CARDS (LIBRI CSV)'!B263,"")</f>
        <v/>
      </c>
      <c r="C263" s="39" t="str">
        <f>IF('VISA CARDS (LIBRI CSV)'!$B263&lt;&gt;"",'VISA CARDS (LIBRI CSV)'!C263,"")</f>
        <v/>
      </c>
      <c r="D263" s="39" t="str">
        <f>IF('VISA CARDS (LIBRI CSV)'!$B263&lt;&gt;"",'VISA CARDS (LIBRI CSV)'!D263,"")</f>
        <v/>
      </c>
      <c r="E263" s="40" t="str">
        <f>IF('VISA CARDS (LIBRI CSV)'!$H263&lt;&gt;"",'VISA CARDS (LIBRI CSV)'!H263,"")</f>
        <v/>
      </c>
    </row>
    <row r="264" spans="2:5" x14ac:dyDescent="0.25">
      <c r="B264" s="39" t="str">
        <f>IF('VISA CARDS (LIBRI CSV)'!$B264&lt;&gt;"",'VISA CARDS (LIBRI CSV)'!B264,"")</f>
        <v/>
      </c>
      <c r="C264" s="39" t="str">
        <f>IF('VISA CARDS (LIBRI CSV)'!$B264&lt;&gt;"",'VISA CARDS (LIBRI CSV)'!C264,"")</f>
        <v/>
      </c>
      <c r="D264" s="39" t="str">
        <f>IF('VISA CARDS (LIBRI CSV)'!$B264&lt;&gt;"",'VISA CARDS (LIBRI CSV)'!D264,"")</f>
        <v/>
      </c>
      <c r="E264" s="40" t="str">
        <f>IF('VISA CARDS (LIBRI CSV)'!$H264&lt;&gt;"",'VISA CARDS (LIBRI CSV)'!H264,"")</f>
        <v/>
      </c>
    </row>
    <row r="265" spans="2:5" x14ac:dyDescent="0.25">
      <c r="B265" s="39" t="str">
        <f>IF('VISA CARDS (LIBRI CSV)'!$B265&lt;&gt;"",'VISA CARDS (LIBRI CSV)'!B265,"")</f>
        <v/>
      </c>
      <c r="C265" s="39" t="str">
        <f>IF('VISA CARDS (LIBRI CSV)'!$B265&lt;&gt;"",'VISA CARDS (LIBRI CSV)'!C265,"")</f>
        <v/>
      </c>
      <c r="D265" s="39" t="str">
        <f>IF('VISA CARDS (LIBRI CSV)'!$B265&lt;&gt;"",'VISA CARDS (LIBRI CSV)'!D265,"")</f>
        <v/>
      </c>
      <c r="E265" s="40" t="str">
        <f>IF('VISA CARDS (LIBRI CSV)'!$H265&lt;&gt;"",'VISA CARDS (LIBRI CSV)'!H265,"")</f>
        <v/>
      </c>
    </row>
    <row r="266" spans="2:5" x14ac:dyDescent="0.25">
      <c r="B266" s="39" t="str">
        <f>IF('VISA CARDS (LIBRI CSV)'!$B266&lt;&gt;"",'VISA CARDS (LIBRI CSV)'!B266,"")</f>
        <v/>
      </c>
      <c r="C266" s="39" t="str">
        <f>IF('VISA CARDS (LIBRI CSV)'!$B266&lt;&gt;"",'VISA CARDS (LIBRI CSV)'!C266,"")</f>
        <v/>
      </c>
      <c r="D266" s="39" t="str">
        <f>IF('VISA CARDS (LIBRI CSV)'!$B266&lt;&gt;"",'VISA CARDS (LIBRI CSV)'!D266,"")</f>
        <v/>
      </c>
      <c r="E266" s="40" t="str">
        <f>IF('VISA CARDS (LIBRI CSV)'!$H266&lt;&gt;"",'VISA CARDS (LIBRI CSV)'!H266,"")</f>
        <v/>
      </c>
    </row>
    <row r="267" spans="2:5" x14ac:dyDescent="0.25">
      <c r="B267" s="39" t="str">
        <f>IF('VISA CARDS (LIBRI CSV)'!$B267&lt;&gt;"",'VISA CARDS (LIBRI CSV)'!B267,"")</f>
        <v/>
      </c>
      <c r="C267" s="39" t="str">
        <f>IF('VISA CARDS (LIBRI CSV)'!$B267&lt;&gt;"",'VISA CARDS (LIBRI CSV)'!C267,"")</f>
        <v/>
      </c>
      <c r="D267" s="39" t="str">
        <f>IF('VISA CARDS (LIBRI CSV)'!$B267&lt;&gt;"",'VISA CARDS (LIBRI CSV)'!D267,"")</f>
        <v/>
      </c>
      <c r="E267" s="40" t="str">
        <f>IF('VISA CARDS (LIBRI CSV)'!$H267&lt;&gt;"",'VISA CARDS (LIBRI CSV)'!H267,"")</f>
        <v/>
      </c>
    </row>
    <row r="268" spans="2:5" x14ac:dyDescent="0.25">
      <c r="B268" s="39" t="str">
        <f>IF('VISA CARDS (LIBRI CSV)'!$B268&lt;&gt;"",'VISA CARDS (LIBRI CSV)'!B268,"")</f>
        <v/>
      </c>
      <c r="C268" s="39" t="str">
        <f>IF('VISA CARDS (LIBRI CSV)'!$B268&lt;&gt;"",'VISA CARDS (LIBRI CSV)'!C268,"")</f>
        <v/>
      </c>
      <c r="D268" s="39" t="str">
        <f>IF('VISA CARDS (LIBRI CSV)'!$B268&lt;&gt;"",'VISA CARDS (LIBRI CSV)'!D268,"")</f>
        <v/>
      </c>
      <c r="E268" s="40" t="str">
        <f>IF('VISA CARDS (LIBRI CSV)'!$H268&lt;&gt;"",'VISA CARDS (LIBRI CSV)'!H268,"")</f>
        <v/>
      </c>
    </row>
    <row r="269" spans="2:5" x14ac:dyDescent="0.25">
      <c r="B269" s="39" t="str">
        <f>IF('VISA CARDS (LIBRI CSV)'!$B269&lt;&gt;"",'VISA CARDS (LIBRI CSV)'!B269,"")</f>
        <v/>
      </c>
      <c r="C269" s="39" t="str">
        <f>IF('VISA CARDS (LIBRI CSV)'!$B269&lt;&gt;"",'VISA CARDS (LIBRI CSV)'!C269,"")</f>
        <v/>
      </c>
      <c r="D269" s="39" t="str">
        <f>IF('VISA CARDS (LIBRI CSV)'!$B269&lt;&gt;"",'VISA CARDS (LIBRI CSV)'!D269,"")</f>
        <v/>
      </c>
      <c r="E269" s="40" t="str">
        <f>IF('VISA CARDS (LIBRI CSV)'!$H269&lt;&gt;"",'VISA CARDS (LIBRI CSV)'!H269,"")</f>
        <v/>
      </c>
    </row>
    <row r="270" spans="2:5" x14ac:dyDescent="0.25">
      <c r="B270" s="39" t="str">
        <f>IF('VISA CARDS (LIBRI CSV)'!$B270&lt;&gt;"",'VISA CARDS (LIBRI CSV)'!B270,"")</f>
        <v/>
      </c>
      <c r="C270" s="39" t="str">
        <f>IF('VISA CARDS (LIBRI CSV)'!$B270&lt;&gt;"",'VISA CARDS (LIBRI CSV)'!C270,"")</f>
        <v/>
      </c>
      <c r="D270" s="39" t="str">
        <f>IF('VISA CARDS (LIBRI CSV)'!$B270&lt;&gt;"",'VISA CARDS (LIBRI CSV)'!D270,"")</f>
        <v/>
      </c>
      <c r="E270" s="40" t="str">
        <f>IF('VISA CARDS (LIBRI CSV)'!$H270&lt;&gt;"",'VISA CARDS (LIBRI CSV)'!H270,"")</f>
        <v/>
      </c>
    </row>
    <row r="271" spans="2:5" x14ac:dyDescent="0.25">
      <c r="B271" s="39" t="str">
        <f>IF('VISA CARDS (LIBRI CSV)'!$B271&lt;&gt;"",'VISA CARDS (LIBRI CSV)'!B271,"")</f>
        <v/>
      </c>
      <c r="C271" s="39" t="str">
        <f>IF('VISA CARDS (LIBRI CSV)'!$B271&lt;&gt;"",'VISA CARDS (LIBRI CSV)'!C271,"")</f>
        <v/>
      </c>
      <c r="D271" s="39" t="str">
        <f>IF('VISA CARDS (LIBRI CSV)'!$B271&lt;&gt;"",'VISA CARDS (LIBRI CSV)'!D271,"")</f>
        <v/>
      </c>
      <c r="E271" s="40" t="str">
        <f>IF('VISA CARDS (LIBRI CSV)'!$H271&lt;&gt;"",'VISA CARDS (LIBRI CSV)'!H271,"")</f>
        <v/>
      </c>
    </row>
    <row r="272" spans="2:5" x14ac:dyDescent="0.25">
      <c r="B272" s="39" t="str">
        <f>IF('VISA CARDS (LIBRI CSV)'!$B272&lt;&gt;"",'VISA CARDS (LIBRI CSV)'!B272,"")</f>
        <v/>
      </c>
      <c r="C272" s="39" t="str">
        <f>IF('VISA CARDS (LIBRI CSV)'!$B272&lt;&gt;"",'VISA CARDS (LIBRI CSV)'!C272,"")</f>
        <v/>
      </c>
      <c r="D272" s="39" t="str">
        <f>IF('VISA CARDS (LIBRI CSV)'!$B272&lt;&gt;"",'VISA CARDS (LIBRI CSV)'!D272,"")</f>
        <v/>
      </c>
      <c r="E272" s="40" t="str">
        <f>IF('VISA CARDS (LIBRI CSV)'!$H272&lt;&gt;"",'VISA CARDS (LIBRI CSV)'!H272,"")</f>
        <v/>
      </c>
    </row>
    <row r="273" spans="2:5" x14ac:dyDescent="0.25">
      <c r="B273" s="39" t="str">
        <f>IF('VISA CARDS (LIBRI CSV)'!$B273&lt;&gt;"",'VISA CARDS (LIBRI CSV)'!B273,"")</f>
        <v/>
      </c>
      <c r="C273" s="39" t="str">
        <f>IF('VISA CARDS (LIBRI CSV)'!$B273&lt;&gt;"",'VISA CARDS (LIBRI CSV)'!C273,"")</f>
        <v/>
      </c>
      <c r="D273" s="39" t="str">
        <f>IF('VISA CARDS (LIBRI CSV)'!$B273&lt;&gt;"",'VISA CARDS (LIBRI CSV)'!D273,"")</f>
        <v/>
      </c>
      <c r="E273" s="40" t="str">
        <f>IF('VISA CARDS (LIBRI CSV)'!$H273&lt;&gt;"",'VISA CARDS (LIBRI CSV)'!H273,"")</f>
        <v/>
      </c>
    </row>
    <row r="274" spans="2:5" x14ac:dyDescent="0.25">
      <c r="B274" s="39" t="str">
        <f>IF('VISA CARDS (LIBRI CSV)'!$B274&lt;&gt;"",'VISA CARDS (LIBRI CSV)'!B274,"")</f>
        <v/>
      </c>
      <c r="C274" s="39" t="str">
        <f>IF('VISA CARDS (LIBRI CSV)'!$B274&lt;&gt;"",'VISA CARDS (LIBRI CSV)'!C274,"")</f>
        <v/>
      </c>
      <c r="D274" s="39" t="str">
        <f>IF('VISA CARDS (LIBRI CSV)'!$B274&lt;&gt;"",'VISA CARDS (LIBRI CSV)'!D274,"")</f>
        <v/>
      </c>
      <c r="E274" s="40" t="str">
        <f>IF('VISA CARDS (LIBRI CSV)'!$H274&lt;&gt;"",'VISA CARDS (LIBRI CSV)'!H274,"")</f>
        <v/>
      </c>
    </row>
    <row r="275" spans="2:5" x14ac:dyDescent="0.25">
      <c r="B275" s="39" t="str">
        <f>IF('VISA CARDS (LIBRI CSV)'!$B275&lt;&gt;"",'VISA CARDS (LIBRI CSV)'!B275,"")</f>
        <v/>
      </c>
      <c r="C275" s="39" t="str">
        <f>IF('VISA CARDS (LIBRI CSV)'!$B275&lt;&gt;"",'VISA CARDS (LIBRI CSV)'!C275,"")</f>
        <v/>
      </c>
      <c r="D275" s="39" t="str">
        <f>IF('VISA CARDS (LIBRI CSV)'!$B275&lt;&gt;"",'VISA CARDS (LIBRI CSV)'!D275,"")</f>
        <v/>
      </c>
      <c r="E275" s="40" t="str">
        <f>IF('VISA CARDS (LIBRI CSV)'!$H275&lt;&gt;"",'VISA CARDS (LIBRI CSV)'!H275,"")</f>
        <v/>
      </c>
    </row>
    <row r="276" spans="2:5" x14ac:dyDescent="0.25">
      <c r="B276" s="39" t="str">
        <f>IF('VISA CARDS (LIBRI CSV)'!$B276&lt;&gt;"",'VISA CARDS (LIBRI CSV)'!B276,"")</f>
        <v/>
      </c>
      <c r="C276" s="39" t="str">
        <f>IF('VISA CARDS (LIBRI CSV)'!$B276&lt;&gt;"",'VISA CARDS (LIBRI CSV)'!C276,"")</f>
        <v/>
      </c>
      <c r="D276" s="39" t="str">
        <f>IF('VISA CARDS (LIBRI CSV)'!$B276&lt;&gt;"",'VISA CARDS (LIBRI CSV)'!D276,"")</f>
        <v/>
      </c>
      <c r="E276" s="40" t="str">
        <f>IF('VISA CARDS (LIBRI CSV)'!$H276&lt;&gt;"",'VISA CARDS (LIBRI CSV)'!H276,"")</f>
        <v/>
      </c>
    </row>
    <row r="277" spans="2:5" x14ac:dyDescent="0.25">
      <c r="B277" s="39" t="str">
        <f>IF('VISA CARDS (LIBRI CSV)'!$B277&lt;&gt;"",'VISA CARDS (LIBRI CSV)'!B277,"")</f>
        <v/>
      </c>
      <c r="C277" s="39" t="str">
        <f>IF('VISA CARDS (LIBRI CSV)'!$B277&lt;&gt;"",'VISA CARDS (LIBRI CSV)'!C277,"")</f>
        <v/>
      </c>
      <c r="D277" s="39" t="str">
        <f>IF('VISA CARDS (LIBRI CSV)'!$B277&lt;&gt;"",'VISA CARDS (LIBRI CSV)'!D277,"")</f>
        <v/>
      </c>
      <c r="E277" s="40" t="str">
        <f>IF('VISA CARDS (LIBRI CSV)'!$H277&lt;&gt;"",'VISA CARDS (LIBRI CSV)'!H277,"")</f>
        <v/>
      </c>
    </row>
    <row r="278" spans="2:5" x14ac:dyDescent="0.25">
      <c r="B278" s="39" t="str">
        <f>IF('VISA CARDS (LIBRI CSV)'!$B278&lt;&gt;"",'VISA CARDS (LIBRI CSV)'!B278,"")</f>
        <v/>
      </c>
      <c r="C278" s="39" t="str">
        <f>IF('VISA CARDS (LIBRI CSV)'!$B278&lt;&gt;"",'VISA CARDS (LIBRI CSV)'!C278,"")</f>
        <v/>
      </c>
      <c r="D278" s="39" t="str">
        <f>IF('VISA CARDS (LIBRI CSV)'!$B278&lt;&gt;"",'VISA CARDS (LIBRI CSV)'!D278,"")</f>
        <v/>
      </c>
      <c r="E278" s="40" t="str">
        <f>IF('VISA CARDS (LIBRI CSV)'!$H278&lt;&gt;"",'VISA CARDS (LIBRI CSV)'!H278,"")</f>
        <v/>
      </c>
    </row>
    <row r="279" spans="2:5" x14ac:dyDescent="0.25">
      <c r="B279" s="39" t="str">
        <f>IF('VISA CARDS (LIBRI CSV)'!$B279&lt;&gt;"",'VISA CARDS (LIBRI CSV)'!B279,"")</f>
        <v/>
      </c>
      <c r="C279" s="39" t="str">
        <f>IF('VISA CARDS (LIBRI CSV)'!$B279&lt;&gt;"",'VISA CARDS (LIBRI CSV)'!C279,"")</f>
        <v/>
      </c>
      <c r="D279" s="39" t="str">
        <f>IF('VISA CARDS (LIBRI CSV)'!$B279&lt;&gt;"",'VISA CARDS (LIBRI CSV)'!D279,"")</f>
        <v/>
      </c>
      <c r="E279" s="40" t="str">
        <f>IF('VISA CARDS (LIBRI CSV)'!$H279&lt;&gt;"",'VISA CARDS (LIBRI CSV)'!H279,"")</f>
        <v/>
      </c>
    </row>
    <row r="280" spans="2:5" x14ac:dyDescent="0.25">
      <c r="B280" s="39" t="str">
        <f>IF('VISA CARDS (LIBRI CSV)'!$B280&lt;&gt;"",'VISA CARDS (LIBRI CSV)'!B280,"")</f>
        <v/>
      </c>
      <c r="C280" s="39" t="str">
        <f>IF('VISA CARDS (LIBRI CSV)'!$B280&lt;&gt;"",'VISA CARDS (LIBRI CSV)'!C280,"")</f>
        <v/>
      </c>
      <c r="D280" s="39" t="str">
        <f>IF('VISA CARDS (LIBRI CSV)'!$B280&lt;&gt;"",'VISA CARDS (LIBRI CSV)'!D280,"")</f>
        <v/>
      </c>
      <c r="E280" s="40" t="str">
        <f>IF('VISA CARDS (LIBRI CSV)'!$H280&lt;&gt;"",'VISA CARDS (LIBRI CSV)'!H280,"")</f>
        <v/>
      </c>
    </row>
    <row r="281" spans="2:5" x14ac:dyDescent="0.25">
      <c r="B281" s="39" t="str">
        <f>IF('VISA CARDS (LIBRI CSV)'!$B281&lt;&gt;"",'VISA CARDS (LIBRI CSV)'!B281,"")</f>
        <v/>
      </c>
      <c r="C281" s="39" t="str">
        <f>IF('VISA CARDS (LIBRI CSV)'!$B281&lt;&gt;"",'VISA CARDS (LIBRI CSV)'!C281,"")</f>
        <v/>
      </c>
      <c r="D281" s="39" t="str">
        <f>IF('VISA CARDS (LIBRI CSV)'!$B281&lt;&gt;"",'VISA CARDS (LIBRI CSV)'!D281,"")</f>
        <v/>
      </c>
      <c r="E281" s="40" t="str">
        <f>IF('VISA CARDS (LIBRI CSV)'!$H281&lt;&gt;"",'VISA CARDS (LIBRI CSV)'!H281,"")</f>
        <v/>
      </c>
    </row>
    <row r="282" spans="2:5" x14ac:dyDescent="0.25">
      <c r="B282" s="39" t="str">
        <f>IF('VISA CARDS (LIBRI CSV)'!$B282&lt;&gt;"",'VISA CARDS (LIBRI CSV)'!B282,"")</f>
        <v/>
      </c>
      <c r="C282" s="39" t="str">
        <f>IF('VISA CARDS (LIBRI CSV)'!$B282&lt;&gt;"",'VISA CARDS (LIBRI CSV)'!C282,"")</f>
        <v/>
      </c>
      <c r="D282" s="39" t="str">
        <f>IF('VISA CARDS (LIBRI CSV)'!$B282&lt;&gt;"",'VISA CARDS (LIBRI CSV)'!D282,"")</f>
        <v/>
      </c>
      <c r="E282" s="40" t="str">
        <f>IF('VISA CARDS (LIBRI CSV)'!$H282&lt;&gt;"",'VISA CARDS (LIBRI CSV)'!H282,"")</f>
        <v/>
      </c>
    </row>
    <row r="283" spans="2:5" x14ac:dyDescent="0.25">
      <c r="B283" s="39" t="str">
        <f>IF('VISA CARDS (LIBRI CSV)'!$B283&lt;&gt;"",'VISA CARDS (LIBRI CSV)'!B283,"")</f>
        <v/>
      </c>
      <c r="C283" s="39" t="str">
        <f>IF('VISA CARDS (LIBRI CSV)'!$B283&lt;&gt;"",'VISA CARDS (LIBRI CSV)'!C283,"")</f>
        <v/>
      </c>
      <c r="D283" s="39" t="str">
        <f>IF('VISA CARDS (LIBRI CSV)'!$B283&lt;&gt;"",'VISA CARDS (LIBRI CSV)'!D283,"")</f>
        <v/>
      </c>
      <c r="E283" s="40" t="str">
        <f>IF('VISA CARDS (LIBRI CSV)'!$H283&lt;&gt;"",'VISA CARDS (LIBRI CSV)'!H283,"")</f>
        <v/>
      </c>
    </row>
    <row r="284" spans="2:5" x14ac:dyDescent="0.25">
      <c r="B284" s="39" t="str">
        <f>IF('VISA CARDS (LIBRI CSV)'!$B284&lt;&gt;"",'VISA CARDS (LIBRI CSV)'!B284,"")</f>
        <v/>
      </c>
      <c r="C284" s="39" t="str">
        <f>IF('VISA CARDS (LIBRI CSV)'!$B284&lt;&gt;"",'VISA CARDS (LIBRI CSV)'!C284,"")</f>
        <v/>
      </c>
      <c r="D284" s="39" t="str">
        <f>IF('VISA CARDS (LIBRI CSV)'!$B284&lt;&gt;"",'VISA CARDS (LIBRI CSV)'!D284,"")</f>
        <v/>
      </c>
      <c r="E284" s="40" t="str">
        <f>IF('VISA CARDS (LIBRI CSV)'!$H284&lt;&gt;"",'VISA CARDS (LIBRI CSV)'!H284,"")</f>
        <v/>
      </c>
    </row>
    <row r="285" spans="2:5" x14ac:dyDescent="0.25">
      <c r="B285" s="39" t="str">
        <f>IF('VISA CARDS (LIBRI CSV)'!$B285&lt;&gt;"",'VISA CARDS (LIBRI CSV)'!B285,"")</f>
        <v/>
      </c>
      <c r="C285" s="39" t="str">
        <f>IF('VISA CARDS (LIBRI CSV)'!$B285&lt;&gt;"",'VISA CARDS (LIBRI CSV)'!C285,"")</f>
        <v/>
      </c>
      <c r="D285" s="39" t="str">
        <f>IF('VISA CARDS (LIBRI CSV)'!$B285&lt;&gt;"",'VISA CARDS (LIBRI CSV)'!D285,"")</f>
        <v/>
      </c>
      <c r="E285" s="40" t="str">
        <f>IF('VISA CARDS (LIBRI CSV)'!$H285&lt;&gt;"",'VISA CARDS (LIBRI CSV)'!H285,"")</f>
        <v/>
      </c>
    </row>
    <row r="286" spans="2:5" x14ac:dyDescent="0.25">
      <c r="B286" s="39" t="str">
        <f>IF('VISA CARDS (LIBRI CSV)'!$B286&lt;&gt;"",'VISA CARDS (LIBRI CSV)'!B286,"")</f>
        <v/>
      </c>
      <c r="C286" s="39" t="str">
        <f>IF('VISA CARDS (LIBRI CSV)'!$B286&lt;&gt;"",'VISA CARDS (LIBRI CSV)'!C286,"")</f>
        <v/>
      </c>
      <c r="D286" s="39" t="str">
        <f>IF('VISA CARDS (LIBRI CSV)'!$B286&lt;&gt;"",'VISA CARDS (LIBRI CSV)'!D286,"")</f>
        <v/>
      </c>
      <c r="E286" s="40" t="str">
        <f>IF('VISA CARDS (LIBRI CSV)'!$H286&lt;&gt;"",'VISA CARDS (LIBRI CSV)'!H286,"")</f>
        <v/>
      </c>
    </row>
    <row r="287" spans="2:5" x14ac:dyDescent="0.25">
      <c r="B287" s="39" t="str">
        <f>IF('VISA CARDS (LIBRI CSV)'!$B287&lt;&gt;"",'VISA CARDS (LIBRI CSV)'!B287,"")</f>
        <v/>
      </c>
      <c r="C287" s="39" t="str">
        <f>IF('VISA CARDS (LIBRI CSV)'!$B287&lt;&gt;"",'VISA CARDS (LIBRI CSV)'!C287,"")</f>
        <v/>
      </c>
      <c r="D287" s="39" t="str">
        <f>IF('VISA CARDS (LIBRI CSV)'!$B287&lt;&gt;"",'VISA CARDS (LIBRI CSV)'!D287,"")</f>
        <v/>
      </c>
      <c r="E287" s="40" t="str">
        <f>IF('VISA CARDS (LIBRI CSV)'!$H287&lt;&gt;"",'VISA CARDS (LIBRI CSV)'!H287,"")</f>
        <v/>
      </c>
    </row>
    <row r="288" spans="2:5" x14ac:dyDescent="0.25">
      <c r="B288" s="39" t="str">
        <f>IF('VISA CARDS (LIBRI CSV)'!$B288&lt;&gt;"",'VISA CARDS (LIBRI CSV)'!B288,"")</f>
        <v/>
      </c>
      <c r="C288" s="39" t="str">
        <f>IF('VISA CARDS (LIBRI CSV)'!$B288&lt;&gt;"",'VISA CARDS (LIBRI CSV)'!C288,"")</f>
        <v/>
      </c>
      <c r="D288" s="39" t="str">
        <f>IF('VISA CARDS (LIBRI CSV)'!$B288&lt;&gt;"",'VISA CARDS (LIBRI CSV)'!D288,"")</f>
        <v/>
      </c>
      <c r="E288" s="40" t="str">
        <f>IF('VISA CARDS (LIBRI CSV)'!$H288&lt;&gt;"",'VISA CARDS (LIBRI CSV)'!H288,"")</f>
        <v/>
      </c>
    </row>
    <row r="289" spans="2:5" x14ac:dyDescent="0.25">
      <c r="B289" s="39" t="str">
        <f>IF('VISA CARDS (LIBRI CSV)'!$B289&lt;&gt;"",'VISA CARDS (LIBRI CSV)'!B289,"")</f>
        <v/>
      </c>
      <c r="C289" s="39" t="str">
        <f>IF('VISA CARDS (LIBRI CSV)'!$B289&lt;&gt;"",'VISA CARDS (LIBRI CSV)'!C289,"")</f>
        <v/>
      </c>
      <c r="D289" s="39" t="str">
        <f>IF('VISA CARDS (LIBRI CSV)'!$B289&lt;&gt;"",'VISA CARDS (LIBRI CSV)'!D289,"")</f>
        <v/>
      </c>
      <c r="E289" s="40" t="str">
        <f>IF('VISA CARDS (LIBRI CSV)'!$H289&lt;&gt;"",'VISA CARDS (LIBRI CSV)'!H289,"")</f>
        <v/>
      </c>
    </row>
    <row r="290" spans="2:5" x14ac:dyDescent="0.25">
      <c r="B290" s="39" t="str">
        <f>IF('VISA CARDS (LIBRI CSV)'!$B290&lt;&gt;"",'VISA CARDS (LIBRI CSV)'!B290,"")</f>
        <v/>
      </c>
      <c r="C290" s="39" t="str">
        <f>IF('VISA CARDS (LIBRI CSV)'!$B290&lt;&gt;"",'VISA CARDS (LIBRI CSV)'!C290,"")</f>
        <v/>
      </c>
      <c r="D290" s="39" t="str">
        <f>IF('VISA CARDS (LIBRI CSV)'!$B290&lt;&gt;"",'VISA CARDS (LIBRI CSV)'!D290,"")</f>
        <v/>
      </c>
      <c r="E290" s="40" t="str">
        <f>IF('VISA CARDS (LIBRI CSV)'!$H290&lt;&gt;"",'VISA CARDS (LIBRI CSV)'!H290,"")</f>
        <v/>
      </c>
    </row>
    <row r="291" spans="2:5" x14ac:dyDescent="0.25">
      <c r="B291" s="39" t="str">
        <f>IF('VISA CARDS (LIBRI CSV)'!$B291&lt;&gt;"",'VISA CARDS (LIBRI CSV)'!B291,"")</f>
        <v/>
      </c>
      <c r="C291" s="39" t="str">
        <f>IF('VISA CARDS (LIBRI CSV)'!$B291&lt;&gt;"",'VISA CARDS (LIBRI CSV)'!C291,"")</f>
        <v/>
      </c>
      <c r="D291" s="39" t="str">
        <f>IF('VISA CARDS (LIBRI CSV)'!$B291&lt;&gt;"",'VISA CARDS (LIBRI CSV)'!D291,"")</f>
        <v/>
      </c>
      <c r="E291" s="40" t="str">
        <f>IF('VISA CARDS (LIBRI CSV)'!$H291&lt;&gt;"",'VISA CARDS (LIBRI CSV)'!H291,"")</f>
        <v/>
      </c>
    </row>
    <row r="292" spans="2:5" x14ac:dyDescent="0.25">
      <c r="B292" s="39" t="str">
        <f>IF('VISA CARDS (LIBRI CSV)'!$B292&lt;&gt;"",'VISA CARDS (LIBRI CSV)'!B292,"")</f>
        <v/>
      </c>
      <c r="C292" s="39" t="str">
        <f>IF('VISA CARDS (LIBRI CSV)'!$B292&lt;&gt;"",'VISA CARDS (LIBRI CSV)'!C292,"")</f>
        <v/>
      </c>
      <c r="D292" s="39" t="str">
        <f>IF('VISA CARDS (LIBRI CSV)'!$B292&lt;&gt;"",'VISA CARDS (LIBRI CSV)'!D292,"")</f>
        <v/>
      </c>
      <c r="E292" s="40" t="str">
        <f>IF('VISA CARDS (LIBRI CSV)'!$H292&lt;&gt;"",'VISA CARDS (LIBRI CSV)'!H292,"")</f>
        <v/>
      </c>
    </row>
    <row r="293" spans="2:5" x14ac:dyDescent="0.25">
      <c r="B293" s="39" t="str">
        <f>IF('VISA CARDS (LIBRI CSV)'!$B293&lt;&gt;"",'VISA CARDS (LIBRI CSV)'!B293,"")</f>
        <v/>
      </c>
      <c r="C293" s="39" t="str">
        <f>IF('VISA CARDS (LIBRI CSV)'!$B293&lt;&gt;"",'VISA CARDS (LIBRI CSV)'!C293,"")</f>
        <v/>
      </c>
      <c r="D293" s="39" t="str">
        <f>IF('VISA CARDS (LIBRI CSV)'!$B293&lt;&gt;"",'VISA CARDS (LIBRI CSV)'!D293,"")</f>
        <v/>
      </c>
      <c r="E293" s="40" t="str">
        <f>IF('VISA CARDS (LIBRI CSV)'!$H293&lt;&gt;"",'VISA CARDS (LIBRI CSV)'!H293,"")</f>
        <v/>
      </c>
    </row>
    <row r="294" spans="2:5" x14ac:dyDescent="0.25">
      <c r="B294" s="39" t="str">
        <f>IF('VISA CARDS (LIBRI CSV)'!$B294&lt;&gt;"",'VISA CARDS (LIBRI CSV)'!B294,"")</f>
        <v/>
      </c>
      <c r="C294" s="39" t="str">
        <f>IF('VISA CARDS (LIBRI CSV)'!$B294&lt;&gt;"",'VISA CARDS (LIBRI CSV)'!C294,"")</f>
        <v/>
      </c>
      <c r="D294" s="39" t="str">
        <f>IF('VISA CARDS (LIBRI CSV)'!$B294&lt;&gt;"",'VISA CARDS (LIBRI CSV)'!D294,"")</f>
        <v/>
      </c>
      <c r="E294" s="40" t="str">
        <f>IF('VISA CARDS (LIBRI CSV)'!$H294&lt;&gt;"",'VISA CARDS (LIBRI CSV)'!H294,"")</f>
        <v/>
      </c>
    </row>
    <row r="295" spans="2:5" x14ac:dyDescent="0.25">
      <c r="B295" s="39" t="str">
        <f>IF('VISA CARDS (LIBRI CSV)'!$B295&lt;&gt;"",'VISA CARDS (LIBRI CSV)'!B295,"")</f>
        <v/>
      </c>
      <c r="C295" s="39" t="str">
        <f>IF('VISA CARDS (LIBRI CSV)'!$B295&lt;&gt;"",'VISA CARDS (LIBRI CSV)'!C295,"")</f>
        <v/>
      </c>
      <c r="D295" s="39" t="str">
        <f>IF('VISA CARDS (LIBRI CSV)'!$B295&lt;&gt;"",'VISA CARDS (LIBRI CSV)'!D295,"")</f>
        <v/>
      </c>
      <c r="E295" s="40" t="str">
        <f>IF('VISA CARDS (LIBRI CSV)'!$H295&lt;&gt;"",'VISA CARDS (LIBRI CSV)'!H295,"")</f>
        <v/>
      </c>
    </row>
    <row r="296" spans="2:5" x14ac:dyDescent="0.25">
      <c r="B296" s="39" t="str">
        <f>IF('VISA CARDS (LIBRI CSV)'!$B296&lt;&gt;"",'VISA CARDS (LIBRI CSV)'!B296,"")</f>
        <v/>
      </c>
      <c r="C296" s="39" t="str">
        <f>IF('VISA CARDS (LIBRI CSV)'!$B296&lt;&gt;"",'VISA CARDS (LIBRI CSV)'!C296,"")</f>
        <v/>
      </c>
      <c r="D296" s="39" t="str">
        <f>IF('VISA CARDS (LIBRI CSV)'!$B296&lt;&gt;"",'VISA CARDS (LIBRI CSV)'!D296,"")</f>
        <v/>
      </c>
      <c r="E296" s="40" t="str">
        <f>IF('VISA CARDS (LIBRI CSV)'!$H296&lt;&gt;"",'VISA CARDS (LIBRI CSV)'!H296,"")</f>
        <v/>
      </c>
    </row>
    <row r="297" spans="2:5" x14ac:dyDescent="0.25">
      <c r="B297" s="39" t="str">
        <f>IF('VISA CARDS (LIBRI CSV)'!$B297&lt;&gt;"",'VISA CARDS (LIBRI CSV)'!B297,"")</f>
        <v/>
      </c>
      <c r="C297" s="39" t="str">
        <f>IF('VISA CARDS (LIBRI CSV)'!$B297&lt;&gt;"",'VISA CARDS (LIBRI CSV)'!C297,"")</f>
        <v/>
      </c>
      <c r="D297" s="39" t="str">
        <f>IF('VISA CARDS (LIBRI CSV)'!$B297&lt;&gt;"",'VISA CARDS (LIBRI CSV)'!D297,"")</f>
        <v/>
      </c>
      <c r="E297" s="40" t="str">
        <f>IF('VISA CARDS (LIBRI CSV)'!$H297&lt;&gt;"",'VISA CARDS (LIBRI CSV)'!H297,"")</f>
        <v/>
      </c>
    </row>
    <row r="298" spans="2:5" x14ac:dyDescent="0.25">
      <c r="B298" s="39" t="str">
        <f>IF('VISA CARDS (LIBRI CSV)'!$B298&lt;&gt;"",'VISA CARDS (LIBRI CSV)'!B298,"")</f>
        <v/>
      </c>
      <c r="C298" s="39" t="str">
        <f>IF('VISA CARDS (LIBRI CSV)'!$B298&lt;&gt;"",'VISA CARDS (LIBRI CSV)'!C298,"")</f>
        <v/>
      </c>
      <c r="D298" s="39" t="str">
        <f>IF('VISA CARDS (LIBRI CSV)'!$B298&lt;&gt;"",'VISA CARDS (LIBRI CSV)'!D298,"")</f>
        <v/>
      </c>
      <c r="E298" s="40" t="str">
        <f>IF('VISA CARDS (LIBRI CSV)'!$H298&lt;&gt;"",'VISA CARDS (LIBRI CSV)'!H298,"")</f>
        <v/>
      </c>
    </row>
    <row r="299" spans="2:5" x14ac:dyDescent="0.25">
      <c r="B299" s="39" t="str">
        <f>IF('VISA CARDS (LIBRI CSV)'!$B299&lt;&gt;"",'VISA CARDS (LIBRI CSV)'!B299,"")</f>
        <v/>
      </c>
      <c r="C299" s="39" t="str">
        <f>IF('VISA CARDS (LIBRI CSV)'!$B299&lt;&gt;"",'VISA CARDS (LIBRI CSV)'!C299,"")</f>
        <v/>
      </c>
      <c r="D299" s="39" t="str">
        <f>IF('VISA CARDS (LIBRI CSV)'!$B299&lt;&gt;"",'VISA CARDS (LIBRI CSV)'!D299,"")</f>
        <v/>
      </c>
      <c r="E299" s="40" t="str">
        <f>IF('VISA CARDS (LIBRI CSV)'!$H299&lt;&gt;"",'VISA CARDS (LIBRI CSV)'!H299,"")</f>
        <v/>
      </c>
    </row>
    <row r="300" spans="2:5" x14ac:dyDescent="0.25">
      <c r="B300" s="39" t="str">
        <f>IF('VISA CARDS (LIBRI CSV)'!$B300&lt;&gt;"",'VISA CARDS (LIBRI CSV)'!B300,"")</f>
        <v/>
      </c>
      <c r="C300" s="39" t="str">
        <f>IF('VISA CARDS (LIBRI CSV)'!$B300&lt;&gt;"",'VISA CARDS (LIBRI CSV)'!C300,"")</f>
        <v/>
      </c>
      <c r="D300" s="39" t="str">
        <f>IF('VISA CARDS (LIBRI CSV)'!$B300&lt;&gt;"",'VISA CARDS (LIBRI CSV)'!D300,"")</f>
        <v/>
      </c>
      <c r="E300" s="40" t="str">
        <f>IF('VISA CARDS (LIBRI CSV)'!$H300&lt;&gt;"",'VISA CARDS (LIBRI CSV)'!H300,"")</f>
        <v/>
      </c>
    </row>
    <row r="301" spans="2:5" x14ac:dyDescent="0.25">
      <c r="B301" s="39" t="str">
        <f>IF('VISA CARDS (LIBRI CSV)'!$B301&lt;&gt;"",'VISA CARDS (LIBRI CSV)'!B301,"")</f>
        <v/>
      </c>
      <c r="C301" s="39" t="str">
        <f>IF('VISA CARDS (LIBRI CSV)'!$B301&lt;&gt;"",'VISA CARDS (LIBRI CSV)'!C301,"")</f>
        <v/>
      </c>
      <c r="D301" s="39" t="str">
        <f>IF('VISA CARDS (LIBRI CSV)'!$B301&lt;&gt;"",'VISA CARDS (LIBRI CSV)'!D301,"")</f>
        <v/>
      </c>
      <c r="E301" s="40" t="str">
        <f>IF('VISA CARDS (LIBRI CSV)'!$H301&lt;&gt;"",'VISA CARDS (LIBRI CSV)'!H301,"")</f>
        <v/>
      </c>
    </row>
    <row r="302" spans="2:5" x14ac:dyDescent="0.25">
      <c r="B302" s="39" t="str">
        <f>IF('VISA CARDS (LIBRI CSV)'!$B302&lt;&gt;"",'VISA CARDS (LIBRI CSV)'!B302,"")</f>
        <v/>
      </c>
      <c r="C302" s="39" t="str">
        <f>IF('VISA CARDS (LIBRI CSV)'!$B302&lt;&gt;"",'VISA CARDS (LIBRI CSV)'!C302,"")</f>
        <v/>
      </c>
      <c r="D302" s="39" t="str">
        <f>IF('VISA CARDS (LIBRI CSV)'!$B302&lt;&gt;"",'VISA CARDS (LIBRI CSV)'!D302,"")</f>
        <v/>
      </c>
      <c r="E302" s="40" t="str">
        <f>IF('VISA CARDS (LIBRI CSV)'!$H302&lt;&gt;"",'VISA CARDS (LIBRI CSV)'!H302,"")</f>
        <v/>
      </c>
    </row>
    <row r="303" spans="2:5" x14ac:dyDescent="0.25">
      <c r="B303" s="39" t="str">
        <f>IF('VISA CARDS (LIBRI CSV)'!$B303&lt;&gt;"",'VISA CARDS (LIBRI CSV)'!B303,"")</f>
        <v/>
      </c>
      <c r="C303" s="39" t="str">
        <f>IF('VISA CARDS (LIBRI CSV)'!$B303&lt;&gt;"",'VISA CARDS (LIBRI CSV)'!C303,"")</f>
        <v/>
      </c>
      <c r="D303" s="39" t="str">
        <f>IF('VISA CARDS (LIBRI CSV)'!$B303&lt;&gt;"",'VISA CARDS (LIBRI CSV)'!D303,"")</f>
        <v/>
      </c>
      <c r="E303" s="40" t="str">
        <f>IF('VISA CARDS (LIBRI CSV)'!$H303&lt;&gt;"",'VISA CARDS (LIBRI CSV)'!H303,"")</f>
        <v/>
      </c>
    </row>
    <row r="304" spans="2:5" x14ac:dyDescent="0.25">
      <c r="B304" s="39" t="str">
        <f>IF('VISA CARDS (LIBRI CSV)'!$B304&lt;&gt;"",'VISA CARDS (LIBRI CSV)'!B304,"")</f>
        <v/>
      </c>
      <c r="C304" s="39" t="str">
        <f>IF('VISA CARDS (LIBRI CSV)'!$B304&lt;&gt;"",'VISA CARDS (LIBRI CSV)'!C304,"")</f>
        <v/>
      </c>
      <c r="D304" s="39" t="str">
        <f>IF('VISA CARDS (LIBRI CSV)'!$B304&lt;&gt;"",'VISA CARDS (LIBRI CSV)'!D304,"")</f>
        <v/>
      </c>
      <c r="E304" s="40" t="str">
        <f>IF('VISA CARDS (LIBRI CSV)'!$H304&lt;&gt;"",'VISA CARDS (LIBRI CSV)'!H304,"")</f>
        <v/>
      </c>
    </row>
    <row r="305" spans="2:5" x14ac:dyDescent="0.25">
      <c r="B305" s="39" t="str">
        <f>IF('VISA CARDS (LIBRI CSV)'!$B305&lt;&gt;"",'VISA CARDS (LIBRI CSV)'!B305,"")</f>
        <v/>
      </c>
      <c r="C305" s="39" t="str">
        <f>IF('VISA CARDS (LIBRI CSV)'!$B305&lt;&gt;"",'VISA CARDS (LIBRI CSV)'!C305,"")</f>
        <v/>
      </c>
      <c r="D305" s="39" t="str">
        <f>IF('VISA CARDS (LIBRI CSV)'!$B305&lt;&gt;"",'VISA CARDS (LIBRI CSV)'!D305,"")</f>
        <v/>
      </c>
      <c r="E305" s="40" t="str">
        <f>IF('VISA CARDS (LIBRI CSV)'!$H305&lt;&gt;"",'VISA CARDS (LIBRI CSV)'!H305,"")</f>
        <v/>
      </c>
    </row>
    <row r="306" spans="2:5" x14ac:dyDescent="0.25">
      <c r="B306" s="39" t="str">
        <f>IF('VISA CARDS (LIBRI CSV)'!$B306&lt;&gt;"",'VISA CARDS (LIBRI CSV)'!B306,"")</f>
        <v/>
      </c>
      <c r="C306" s="39" t="str">
        <f>IF('VISA CARDS (LIBRI CSV)'!$B306&lt;&gt;"",'VISA CARDS (LIBRI CSV)'!C306,"")</f>
        <v/>
      </c>
      <c r="D306" s="39" t="str">
        <f>IF('VISA CARDS (LIBRI CSV)'!$B306&lt;&gt;"",'VISA CARDS (LIBRI CSV)'!D306,"")</f>
        <v/>
      </c>
      <c r="E306" s="40" t="str">
        <f>IF('VISA CARDS (LIBRI CSV)'!$H306&lt;&gt;"",'VISA CARDS (LIBRI CSV)'!H306,"")</f>
        <v/>
      </c>
    </row>
    <row r="307" spans="2:5" x14ac:dyDescent="0.25">
      <c r="B307" s="39" t="str">
        <f>IF('VISA CARDS (LIBRI CSV)'!$B307&lt;&gt;"",'VISA CARDS (LIBRI CSV)'!B307,"")</f>
        <v/>
      </c>
      <c r="C307" s="39" t="str">
        <f>IF('VISA CARDS (LIBRI CSV)'!$B307&lt;&gt;"",'VISA CARDS (LIBRI CSV)'!C307,"")</f>
        <v/>
      </c>
      <c r="D307" s="39" t="str">
        <f>IF('VISA CARDS (LIBRI CSV)'!$B307&lt;&gt;"",'VISA CARDS (LIBRI CSV)'!D307,"")</f>
        <v/>
      </c>
      <c r="E307" s="40" t="str">
        <f>IF('VISA CARDS (LIBRI CSV)'!$H307&lt;&gt;"",'VISA CARDS (LIBRI CSV)'!H307,"")</f>
        <v/>
      </c>
    </row>
    <row r="308" spans="2:5" x14ac:dyDescent="0.25">
      <c r="B308" s="39" t="str">
        <f>IF('VISA CARDS (LIBRI CSV)'!$B308&lt;&gt;"",'VISA CARDS (LIBRI CSV)'!B308,"")</f>
        <v/>
      </c>
      <c r="C308" s="39" t="str">
        <f>IF('VISA CARDS (LIBRI CSV)'!$B308&lt;&gt;"",'VISA CARDS (LIBRI CSV)'!C308,"")</f>
        <v/>
      </c>
      <c r="D308" s="39" t="str">
        <f>IF('VISA CARDS (LIBRI CSV)'!$B308&lt;&gt;"",'VISA CARDS (LIBRI CSV)'!D308,"")</f>
        <v/>
      </c>
      <c r="E308" s="40" t="str">
        <f>IF('VISA CARDS (LIBRI CSV)'!$H308&lt;&gt;"",'VISA CARDS (LIBRI CSV)'!H308,"")</f>
        <v/>
      </c>
    </row>
    <row r="309" spans="2:5" x14ac:dyDescent="0.25">
      <c r="B309" s="39" t="str">
        <f>IF('VISA CARDS (LIBRI CSV)'!$B309&lt;&gt;"",'VISA CARDS (LIBRI CSV)'!B309,"")</f>
        <v/>
      </c>
      <c r="C309" s="39" t="str">
        <f>IF('VISA CARDS (LIBRI CSV)'!$B309&lt;&gt;"",'VISA CARDS (LIBRI CSV)'!C309,"")</f>
        <v/>
      </c>
      <c r="D309" s="39" t="str">
        <f>IF('VISA CARDS (LIBRI CSV)'!$B309&lt;&gt;"",'VISA CARDS (LIBRI CSV)'!D309,"")</f>
        <v/>
      </c>
      <c r="E309" s="40" t="str">
        <f>IF('VISA CARDS (LIBRI CSV)'!$H309&lt;&gt;"",'VISA CARDS (LIBRI CSV)'!H309,"")</f>
        <v/>
      </c>
    </row>
    <row r="310" spans="2:5" x14ac:dyDescent="0.25">
      <c r="B310" s="39" t="str">
        <f>IF('VISA CARDS (LIBRI CSV)'!$B310&lt;&gt;"",'VISA CARDS (LIBRI CSV)'!B310,"")</f>
        <v/>
      </c>
      <c r="C310" s="39" t="str">
        <f>IF('VISA CARDS (LIBRI CSV)'!$B310&lt;&gt;"",'VISA CARDS (LIBRI CSV)'!C310,"")</f>
        <v/>
      </c>
      <c r="D310" s="39" t="str">
        <f>IF('VISA CARDS (LIBRI CSV)'!$B310&lt;&gt;"",'VISA CARDS (LIBRI CSV)'!D310,"")</f>
        <v/>
      </c>
      <c r="E310" s="40" t="str">
        <f>IF('VISA CARDS (LIBRI CSV)'!$H310&lt;&gt;"",'VISA CARDS (LIBRI CSV)'!H310,"")</f>
        <v/>
      </c>
    </row>
    <row r="311" spans="2:5" x14ac:dyDescent="0.25">
      <c r="B311" s="39" t="str">
        <f>IF('VISA CARDS (LIBRI CSV)'!$B311&lt;&gt;"",'VISA CARDS (LIBRI CSV)'!B311,"")</f>
        <v/>
      </c>
      <c r="C311" s="39" t="str">
        <f>IF('VISA CARDS (LIBRI CSV)'!$B311&lt;&gt;"",'VISA CARDS (LIBRI CSV)'!C311,"")</f>
        <v/>
      </c>
      <c r="D311" s="39" t="str">
        <f>IF('VISA CARDS (LIBRI CSV)'!$B311&lt;&gt;"",'VISA CARDS (LIBRI CSV)'!D311,"")</f>
        <v/>
      </c>
      <c r="E311" s="40" t="str">
        <f>IF('VISA CARDS (LIBRI CSV)'!$H311&lt;&gt;"",'VISA CARDS (LIBRI CSV)'!H311,"")</f>
        <v/>
      </c>
    </row>
    <row r="312" spans="2:5" x14ac:dyDescent="0.25">
      <c r="B312" s="39" t="str">
        <f>IF('VISA CARDS (LIBRI CSV)'!$B312&lt;&gt;"",'VISA CARDS (LIBRI CSV)'!B312,"")</f>
        <v/>
      </c>
      <c r="C312" s="39" t="str">
        <f>IF('VISA CARDS (LIBRI CSV)'!$B312&lt;&gt;"",'VISA CARDS (LIBRI CSV)'!C312,"")</f>
        <v/>
      </c>
      <c r="D312" s="39" t="str">
        <f>IF('VISA CARDS (LIBRI CSV)'!$B312&lt;&gt;"",'VISA CARDS (LIBRI CSV)'!D312,"")</f>
        <v/>
      </c>
      <c r="E312" s="40" t="str">
        <f>IF('VISA CARDS (LIBRI CSV)'!$H312&lt;&gt;"",'VISA CARDS (LIBRI CSV)'!H312,"")</f>
        <v/>
      </c>
    </row>
    <row r="313" spans="2:5" x14ac:dyDescent="0.25">
      <c r="B313" s="39" t="str">
        <f>IF('VISA CARDS (LIBRI CSV)'!$B313&lt;&gt;"",'VISA CARDS (LIBRI CSV)'!B313,"")</f>
        <v/>
      </c>
      <c r="C313" s="39" t="str">
        <f>IF('VISA CARDS (LIBRI CSV)'!$B313&lt;&gt;"",'VISA CARDS (LIBRI CSV)'!C313,"")</f>
        <v/>
      </c>
      <c r="D313" s="39" t="str">
        <f>IF('VISA CARDS (LIBRI CSV)'!$B313&lt;&gt;"",'VISA CARDS (LIBRI CSV)'!D313,"")</f>
        <v/>
      </c>
      <c r="E313" s="40" t="str">
        <f>IF('VISA CARDS (LIBRI CSV)'!$H313&lt;&gt;"",'VISA CARDS (LIBRI CSV)'!H313,"")</f>
        <v/>
      </c>
    </row>
    <row r="314" spans="2:5" x14ac:dyDescent="0.25">
      <c r="B314" s="39" t="str">
        <f>IF('VISA CARDS (LIBRI CSV)'!$B314&lt;&gt;"",'VISA CARDS (LIBRI CSV)'!B314,"")</f>
        <v/>
      </c>
      <c r="C314" s="39" t="str">
        <f>IF('VISA CARDS (LIBRI CSV)'!$B314&lt;&gt;"",'VISA CARDS (LIBRI CSV)'!C314,"")</f>
        <v/>
      </c>
      <c r="D314" s="39" t="str">
        <f>IF('VISA CARDS (LIBRI CSV)'!$B314&lt;&gt;"",'VISA CARDS (LIBRI CSV)'!D314,"")</f>
        <v/>
      </c>
      <c r="E314" s="40" t="str">
        <f>IF('VISA CARDS (LIBRI CSV)'!$H314&lt;&gt;"",'VISA CARDS (LIBRI CSV)'!H314,"")</f>
        <v/>
      </c>
    </row>
    <row r="315" spans="2:5" x14ac:dyDescent="0.25">
      <c r="B315" s="39" t="str">
        <f>IF('VISA CARDS (LIBRI CSV)'!$B315&lt;&gt;"",'VISA CARDS (LIBRI CSV)'!B315,"")</f>
        <v/>
      </c>
      <c r="C315" s="39" t="str">
        <f>IF('VISA CARDS (LIBRI CSV)'!$B315&lt;&gt;"",'VISA CARDS (LIBRI CSV)'!C315,"")</f>
        <v/>
      </c>
      <c r="D315" s="39" t="str">
        <f>IF('VISA CARDS (LIBRI CSV)'!$B315&lt;&gt;"",'VISA CARDS (LIBRI CSV)'!D315,"")</f>
        <v/>
      </c>
      <c r="E315" s="40" t="str">
        <f>IF('VISA CARDS (LIBRI CSV)'!$H315&lt;&gt;"",'VISA CARDS (LIBRI CSV)'!H315,"")</f>
        <v/>
      </c>
    </row>
    <row r="316" spans="2:5" x14ac:dyDescent="0.25">
      <c r="B316" s="39" t="str">
        <f>IF('VISA CARDS (LIBRI CSV)'!$B316&lt;&gt;"",'VISA CARDS (LIBRI CSV)'!B316,"")</f>
        <v/>
      </c>
      <c r="C316" s="39" t="str">
        <f>IF('VISA CARDS (LIBRI CSV)'!$B316&lt;&gt;"",'VISA CARDS (LIBRI CSV)'!C316,"")</f>
        <v/>
      </c>
      <c r="D316" s="39" t="str">
        <f>IF('VISA CARDS (LIBRI CSV)'!$B316&lt;&gt;"",'VISA CARDS (LIBRI CSV)'!D316,"")</f>
        <v/>
      </c>
      <c r="E316" s="40" t="str">
        <f>IF('VISA CARDS (LIBRI CSV)'!$H316&lt;&gt;"",'VISA CARDS (LIBRI CSV)'!H316,"")</f>
        <v/>
      </c>
    </row>
    <row r="317" spans="2:5" x14ac:dyDescent="0.25">
      <c r="B317" s="39" t="str">
        <f>IF('VISA CARDS (LIBRI CSV)'!$B317&lt;&gt;"",'VISA CARDS (LIBRI CSV)'!B317,"")</f>
        <v/>
      </c>
      <c r="C317" s="39" t="str">
        <f>IF('VISA CARDS (LIBRI CSV)'!$B317&lt;&gt;"",'VISA CARDS (LIBRI CSV)'!C317,"")</f>
        <v/>
      </c>
      <c r="D317" s="39" t="str">
        <f>IF('VISA CARDS (LIBRI CSV)'!$B317&lt;&gt;"",'VISA CARDS (LIBRI CSV)'!D317,"")</f>
        <v/>
      </c>
      <c r="E317" s="40" t="str">
        <f>IF('VISA CARDS (LIBRI CSV)'!$H317&lt;&gt;"",'VISA CARDS (LIBRI CSV)'!H317,"")</f>
        <v/>
      </c>
    </row>
    <row r="318" spans="2:5" x14ac:dyDescent="0.25">
      <c r="B318" s="39" t="str">
        <f>IF('VISA CARDS (LIBRI CSV)'!$B318&lt;&gt;"",'VISA CARDS (LIBRI CSV)'!B318,"")</f>
        <v/>
      </c>
      <c r="C318" s="39" t="str">
        <f>IF('VISA CARDS (LIBRI CSV)'!$B318&lt;&gt;"",'VISA CARDS (LIBRI CSV)'!C318,"")</f>
        <v/>
      </c>
      <c r="D318" s="39" t="str">
        <f>IF('VISA CARDS (LIBRI CSV)'!$B318&lt;&gt;"",'VISA CARDS (LIBRI CSV)'!D318,"")</f>
        <v/>
      </c>
      <c r="E318" s="40" t="str">
        <f>IF('VISA CARDS (LIBRI CSV)'!$H318&lt;&gt;"",'VISA CARDS (LIBRI CSV)'!H318,"")</f>
        <v/>
      </c>
    </row>
    <row r="319" spans="2:5" x14ac:dyDescent="0.25">
      <c r="B319" s="39" t="str">
        <f>IF('VISA CARDS (LIBRI CSV)'!$B319&lt;&gt;"",'VISA CARDS (LIBRI CSV)'!B319,"")</f>
        <v/>
      </c>
      <c r="C319" s="39" t="str">
        <f>IF('VISA CARDS (LIBRI CSV)'!$B319&lt;&gt;"",'VISA CARDS (LIBRI CSV)'!C319,"")</f>
        <v/>
      </c>
      <c r="D319" s="39" t="str">
        <f>IF('VISA CARDS (LIBRI CSV)'!$B319&lt;&gt;"",'VISA CARDS (LIBRI CSV)'!D319,"")</f>
        <v/>
      </c>
      <c r="E319" s="40" t="str">
        <f>IF('VISA CARDS (LIBRI CSV)'!$H319&lt;&gt;"",'VISA CARDS (LIBRI CSV)'!H319,"")</f>
        <v/>
      </c>
    </row>
    <row r="320" spans="2:5" x14ac:dyDescent="0.25">
      <c r="B320" s="39" t="str">
        <f>IF('VISA CARDS (LIBRI CSV)'!$B320&lt;&gt;"",'VISA CARDS (LIBRI CSV)'!B320,"")</f>
        <v/>
      </c>
      <c r="C320" s="39" t="str">
        <f>IF('VISA CARDS (LIBRI CSV)'!$B320&lt;&gt;"",'VISA CARDS (LIBRI CSV)'!C320,"")</f>
        <v/>
      </c>
      <c r="D320" s="39" t="str">
        <f>IF('VISA CARDS (LIBRI CSV)'!$B320&lt;&gt;"",'VISA CARDS (LIBRI CSV)'!D320,"")</f>
        <v/>
      </c>
      <c r="E320" s="40" t="str">
        <f>IF('VISA CARDS (LIBRI CSV)'!$H320&lt;&gt;"",'VISA CARDS (LIBRI CSV)'!H320,"")</f>
        <v/>
      </c>
    </row>
    <row r="321" spans="2:5" x14ac:dyDescent="0.25">
      <c r="B321" s="39" t="str">
        <f>IF('VISA CARDS (LIBRI CSV)'!$B321&lt;&gt;"",'VISA CARDS (LIBRI CSV)'!B321,"")</f>
        <v/>
      </c>
      <c r="C321" s="39" t="str">
        <f>IF('VISA CARDS (LIBRI CSV)'!$B321&lt;&gt;"",'VISA CARDS (LIBRI CSV)'!C321,"")</f>
        <v/>
      </c>
      <c r="D321" s="39" t="str">
        <f>IF('VISA CARDS (LIBRI CSV)'!$B321&lt;&gt;"",'VISA CARDS (LIBRI CSV)'!D321,"")</f>
        <v/>
      </c>
      <c r="E321" s="40" t="str">
        <f>IF('VISA CARDS (LIBRI CSV)'!$H321&lt;&gt;"",'VISA CARDS (LIBRI CSV)'!H321,"")</f>
        <v/>
      </c>
    </row>
    <row r="322" spans="2:5" x14ac:dyDescent="0.25">
      <c r="B322" s="39" t="str">
        <f>IF('VISA CARDS (LIBRI CSV)'!$B322&lt;&gt;"",'VISA CARDS (LIBRI CSV)'!B322,"")</f>
        <v/>
      </c>
      <c r="C322" s="39" t="str">
        <f>IF('VISA CARDS (LIBRI CSV)'!$B322&lt;&gt;"",'VISA CARDS (LIBRI CSV)'!C322,"")</f>
        <v/>
      </c>
      <c r="D322" s="39" t="str">
        <f>IF('VISA CARDS (LIBRI CSV)'!$B322&lt;&gt;"",'VISA CARDS (LIBRI CSV)'!D322,"")</f>
        <v/>
      </c>
      <c r="E322" s="40" t="str">
        <f>IF('VISA CARDS (LIBRI CSV)'!$H322&lt;&gt;"",'VISA CARDS (LIBRI CSV)'!H322,"")</f>
        <v/>
      </c>
    </row>
    <row r="323" spans="2:5" x14ac:dyDescent="0.25">
      <c r="B323" s="39" t="str">
        <f>IF('VISA CARDS (LIBRI CSV)'!$B323&lt;&gt;"",'VISA CARDS (LIBRI CSV)'!B323,"")</f>
        <v/>
      </c>
      <c r="C323" s="39" t="str">
        <f>IF('VISA CARDS (LIBRI CSV)'!$B323&lt;&gt;"",'VISA CARDS (LIBRI CSV)'!C323,"")</f>
        <v/>
      </c>
      <c r="D323" s="39" t="str">
        <f>IF('VISA CARDS (LIBRI CSV)'!$B323&lt;&gt;"",'VISA CARDS (LIBRI CSV)'!D323,"")</f>
        <v/>
      </c>
      <c r="E323" s="40" t="str">
        <f>IF('VISA CARDS (LIBRI CSV)'!$H323&lt;&gt;"",'VISA CARDS (LIBRI CSV)'!H323,"")</f>
        <v/>
      </c>
    </row>
    <row r="324" spans="2:5" x14ac:dyDescent="0.25">
      <c r="B324" s="39" t="str">
        <f>IF('VISA CARDS (LIBRI CSV)'!$B324&lt;&gt;"",'VISA CARDS (LIBRI CSV)'!B324,"")</f>
        <v/>
      </c>
      <c r="C324" s="39" t="str">
        <f>IF('VISA CARDS (LIBRI CSV)'!$B324&lt;&gt;"",'VISA CARDS (LIBRI CSV)'!C324,"")</f>
        <v/>
      </c>
      <c r="D324" s="39" t="str">
        <f>IF('VISA CARDS (LIBRI CSV)'!$B324&lt;&gt;"",'VISA CARDS (LIBRI CSV)'!D324,"")</f>
        <v/>
      </c>
      <c r="E324" s="40" t="str">
        <f>IF('VISA CARDS (LIBRI CSV)'!$H324&lt;&gt;"",'VISA CARDS (LIBRI CSV)'!H324,"")</f>
        <v/>
      </c>
    </row>
    <row r="325" spans="2:5" x14ac:dyDescent="0.25">
      <c r="B325" s="39" t="str">
        <f>IF('VISA CARDS (LIBRI CSV)'!$B325&lt;&gt;"",'VISA CARDS (LIBRI CSV)'!B325,"")</f>
        <v/>
      </c>
      <c r="C325" s="39" t="str">
        <f>IF('VISA CARDS (LIBRI CSV)'!$B325&lt;&gt;"",'VISA CARDS (LIBRI CSV)'!C325,"")</f>
        <v/>
      </c>
      <c r="D325" s="39" t="str">
        <f>IF('VISA CARDS (LIBRI CSV)'!$B325&lt;&gt;"",'VISA CARDS (LIBRI CSV)'!D325,"")</f>
        <v/>
      </c>
      <c r="E325" s="40" t="str">
        <f>IF('VISA CARDS (LIBRI CSV)'!$H325&lt;&gt;"",'VISA CARDS (LIBRI CSV)'!H325,"")</f>
        <v/>
      </c>
    </row>
    <row r="326" spans="2:5" x14ac:dyDescent="0.25">
      <c r="B326" s="39" t="str">
        <f>IF('VISA CARDS (LIBRI CSV)'!$B326&lt;&gt;"",'VISA CARDS (LIBRI CSV)'!B326,"")</f>
        <v/>
      </c>
      <c r="C326" s="39" t="str">
        <f>IF('VISA CARDS (LIBRI CSV)'!$B326&lt;&gt;"",'VISA CARDS (LIBRI CSV)'!C326,"")</f>
        <v/>
      </c>
      <c r="D326" s="39" t="str">
        <f>IF('VISA CARDS (LIBRI CSV)'!$B326&lt;&gt;"",'VISA CARDS (LIBRI CSV)'!D326,"")</f>
        <v/>
      </c>
      <c r="E326" s="40" t="str">
        <f>IF('VISA CARDS (LIBRI CSV)'!$H326&lt;&gt;"",'VISA CARDS (LIBRI CSV)'!H326,"")</f>
        <v/>
      </c>
    </row>
    <row r="327" spans="2:5" x14ac:dyDescent="0.25">
      <c r="B327" s="39" t="str">
        <f>IF('VISA CARDS (LIBRI CSV)'!$B327&lt;&gt;"",'VISA CARDS (LIBRI CSV)'!B327,"")</f>
        <v/>
      </c>
      <c r="C327" s="39" t="str">
        <f>IF('VISA CARDS (LIBRI CSV)'!$B327&lt;&gt;"",'VISA CARDS (LIBRI CSV)'!C327,"")</f>
        <v/>
      </c>
      <c r="D327" s="39" t="str">
        <f>IF('VISA CARDS (LIBRI CSV)'!$B327&lt;&gt;"",'VISA CARDS (LIBRI CSV)'!D327,"")</f>
        <v/>
      </c>
      <c r="E327" s="40" t="str">
        <f>IF('VISA CARDS (LIBRI CSV)'!$H327&lt;&gt;"",'VISA CARDS (LIBRI CSV)'!H327,"")</f>
        <v/>
      </c>
    </row>
    <row r="328" spans="2:5" x14ac:dyDescent="0.25">
      <c r="B328" s="39" t="str">
        <f>IF('VISA CARDS (LIBRI CSV)'!$B328&lt;&gt;"",'VISA CARDS (LIBRI CSV)'!B328,"")</f>
        <v/>
      </c>
      <c r="C328" s="39" t="str">
        <f>IF('VISA CARDS (LIBRI CSV)'!$B328&lt;&gt;"",'VISA CARDS (LIBRI CSV)'!C328,"")</f>
        <v/>
      </c>
      <c r="D328" s="39" t="str">
        <f>IF('VISA CARDS (LIBRI CSV)'!$B328&lt;&gt;"",'VISA CARDS (LIBRI CSV)'!D328,"")</f>
        <v/>
      </c>
      <c r="E328" s="40" t="str">
        <f>IF('VISA CARDS (LIBRI CSV)'!$H328&lt;&gt;"",'VISA CARDS (LIBRI CSV)'!H328,"")</f>
        <v/>
      </c>
    </row>
    <row r="329" spans="2:5" x14ac:dyDescent="0.25">
      <c r="B329" s="39" t="str">
        <f>IF('VISA CARDS (LIBRI CSV)'!$B329&lt;&gt;"",'VISA CARDS (LIBRI CSV)'!B329,"")</f>
        <v/>
      </c>
      <c r="C329" s="39" t="str">
        <f>IF('VISA CARDS (LIBRI CSV)'!$B329&lt;&gt;"",'VISA CARDS (LIBRI CSV)'!C329,"")</f>
        <v/>
      </c>
      <c r="D329" s="39" t="str">
        <f>IF('VISA CARDS (LIBRI CSV)'!$B329&lt;&gt;"",'VISA CARDS (LIBRI CSV)'!D329,"")</f>
        <v/>
      </c>
      <c r="E329" s="40" t="str">
        <f>IF('VISA CARDS (LIBRI CSV)'!$H329&lt;&gt;"",'VISA CARDS (LIBRI CSV)'!H329,"")</f>
        <v/>
      </c>
    </row>
    <row r="330" spans="2:5" x14ac:dyDescent="0.25">
      <c r="B330" s="39" t="str">
        <f>IF('VISA CARDS (LIBRI CSV)'!$B330&lt;&gt;"",'VISA CARDS (LIBRI CSV)'!B330,"")</f>
        <v/>
      </c>
      <c r="C330" s="39" t="str">
        <f>IF('VISA CARDS (LIBRI CSV)'!$B330&lt;&gt;"",'VISA CARDS (LIBRI CSV)'!C330,"")</f>
        <v/>
      </c>
      <c r="D330" s="39" t="str">
        <f>IF('VISA CARDS (LIBRI CSV)'!$B330&lt;&gt;"",'VISA CARDS (LIBRI CSV)'!D330,"")</f>
        <v/>
      </c>
      <c r="E330" s="40" t="str">
        <f>IF('VISA CARDS (LIBRI CSV)'!$H330&lt;&gt;"",'VISA CARDS (LIBRI CSV)'!H330,"")</f>
        <v/>
      </c>
    </row>
    <row r="331" spans="2:5" x14ac:dyDescent="0.25">
      <c r="B331" s="39" t="str">
        <f>IF('VISA CARDS (LIBRI CSV)'!$B331&lt;&gt;"",'VISA CARDS (LIBRI CSV)'!B331,"")</f>
        <v/>
      </c>
      <c r="C331" s="39" t="str">
        <f>IF('VISA CARDS (LIBRI CSV)'!$B331&lt;&gt;"",'VISA CARDS (LIBRI CSV)'!C331,"")</f>
        <v/>
      </c>
      <c r="D331" s="39" t="str">
        <f>IF('VISA CARDS (LIBRI CSV)'!$B331&lt;&gt;"",'VISA CARDS (LIBRI CSV)'!D331,"")</f>
        <v/>
      </c>
      <c r="E331" s="40" t="str">
        <f>IF('VISA CARDS (LIBRI CSV)'!$H331&lt;&gt;"",'VISA CARDS (LIBRI CSV)'!H331,"")</f>
        <v/>
      </c>
    </row>
    <row r="332" spans="2:5" x14ac:dyDescent="0.25">
      <c r="B332" s="39" t="str">
        <f>IF('VISA CARDS (LIBRI CSV)'!$B332&lt;&gt;"",'VISA CARDS (LIBRI CSV)'!B332,"")</f>
        <v/>
      </c>
      <c r="C332" s="39" t="str">
        <f>IF('VISA CARDS (LIBRI CSV)'!$B332&lt;&gt;"",'VISA CARDS (LIBRI CSV)'!C332,"")</f>
        <v/>
      </c>
      <c r="D332" s="39" t="str">
        <f>IF('VISA CARDS (LIBRI CSV)'!$B332&lt;&gt;"",'VISA CARDS (LIBRI CSV)'!D332,"")</f>
        <v/>
      </c>
      <c r="E332" s="40" t="str">
        <f>IF('VISA CARDS (LIBRI CSV)'!$H332&lt;&gt;"",'VISA CARDS (LIBRI CSV)'!H332,"")</f>
        <v/>
      </c>
    </row>
    <row r="333" spans="2:5" x14ac:dyDescent="0.25">
      <c r="B333" s="39" t="str">
        <f>IF('VISA CARDS (LIBRI CSV)'!$B333&lt;&gt;"",'VISA CARDS (LIBRI CSV)'!B333,"")</f>
        <v/>
      </c>
      <c r="C333" s="39" t="str">
        <f>IF('VISA CARDS (LIBRI CSV)'!$B333&lt;&gt;"",'VISA CARDS (LIBRI CSV)'!C333,"")</f>
        <v/>
      </c>
      <c r="D333" s="39" t="str">
        <f>IF('VISA CARDS (LIBRI CSV)'!$B333&lt;&gt;"",'VISA CARDS (LIBRI CSV)'!D333,"")</f>
        <v/>
      </c>
      <c r="E333" s="40" t="str">
        <f>IF('VISA CARDS (LIBRI CSV)'!$H333&lt;&gt;"",'VISA CARDS (LIBRI CSV)'!H333,"")</f>
        <v/>
      </c>
    </row>
    <row r="334" spans="2:5" x14ac:dyDescent="0.25">
      <c r="B334" s="39" t="str">
        <f>IF('VISA CARDS (LIBRI CSV)'!$B334&lt;&gt;"",'VISA CARDS (LIBRI CSV)'!B334,"")</f>
        <v/>
      </c>
      <c r="C334" s="39" t="str">
        <f>IF('VISA CARDS (LIBRI CSV)'!$B334&lt;&gt;"",'VISA CARDS (LIBRI CSV)'!C334,"")</f>
        <v/>
      </c>
      <c r="D334" s="39" t="str">
        <f>IF('VISA CARDS (LIBRI CSV)'!$B334&lt;&gt;"",'VISA CARDS (LIBRI CSV)'!D334,"")</f>
        <v/>
      </c>
      <c r="E334" s="40" t="str">
        <f>IF('VISA CARDS (LIBRI CSV)'!$H334&lt;&gt;"",'VISA CARDS (LIBRI CSV)'!H334,"")</f>
        <v/>
      </c>
    </row>
    <row r="335" spans="2:5" x14ac:dyDescent="0.25">
      <c r="B335" s="39" t="str">
        <f>IF('VISA CARDS (LIBRI CSV)'!$B335&lt;&gt;"",'VISA CARDS (LIBRI CSV)'!B335,"")</f>
        <v/>
      </c>
      <c r="C335" s="39" t="str">
        <f>IF('VISA CARDS (LIBRI CSV)'!$B335&lt;&gt;"",'VISA CARDS (LIBRI CSV)'!C335,"")</f>
        <v/>
      </c>
      <c r="D335" s="39" t="str">
        <f>IF('VISA CARDS (LIBRI CSV)'!$B335&lt;&gt;"",'VISA CARDS (LIBRI CSV)'!D335,"")</f>
        <v/>
      </c>
      <c r="E335" s="40" t="str">
        <f>IF('VISA CARDS (LIBRI CSV)'!$H335&lt;&gt;"",'VISA CARDS (LIBRI CSV)'!H335,"")</f>
        <v/>
      </c>
    </row>
    <row r="336" spans="2:5" x14ac:dyDescent="0.25">
      <c r="B336" s="39" t="str">
        <f>IF('VISA CARDS (LIBRI CSV)'!$B336&lt;&gt;"",'VISA CARDS (LIBRI CSV)'!B336,"")</f>
        <v/>
      </c>
      <c r="C336" s="39" t="str">
        <f>IF('VISA CARDS (LIBRI CSV)'!$B336&lt;&gt;"",'VISA CARDS (LIBRI CSV)'!C336,"")</f>
        <v/>
      </c>
      <c r="D336" s="39" t="str">
        <f>IF('VISA CARDS (LIBRI CSV)'!$B336&lt;&gt;"",'VISA CARDS (LIBRI CSV)'!D336,"")</f>
        <v/>
      </c>
      <c r="E336" s="40" t="str">
        <f>IF('VISA CARDS (LIBRI CSV)'!$H336&lt;&gt;"",'VISA CARDS (LIBRI CSV)'!H336,"")</f>
        <v/>
      </c>
    </row>
    <row r="337" spans="2:5" x14ac:dyDescent="0.25">
      <c r="B337" s="39" t="str">
        <f>IF('VISA CARDS (LIBRI CSV)'!$B337&lt;&gt;"",'VISA CARDS (LIBRI CSV)'!B337,"")</f>
        <v/>
      </c>
      <c r="C337" s="39" t="str">
        <f>IF('VISA CARDS (LIBRI CSV)'!$B337&lt;&gt;"",'VISA CARDS (LIBRI CSV)'!C337,"")</f>
        <v/>
      </c>
      <c r="D337" s="39" t="str">
        <f>IF('VISA CARDS (LIBRI CSV)'!$B337&lt;&gt;"",'VISA CARDS (LIBRI CSV)'!D337,"")</f>
        <v/>
      </c>
      <c r="E337" s="40" t="str">
        <f>IF('VISA CARDS (LIBRI CSV)'!$H337&lt;&gt;"",'VISA CARDS (LIBRI CSV)'!H337,"")</f>
        <v/>
      </c>
    </row>
    <row r="338" spans="2:5" x14ac:dyDescent="0.25">
      <c r="B338" s="39" t="str">
        <f>IF('VISA CARDS (LIBRI CSV)'!$B338&lt;&gt;"",'VISA CARDS (LIBRI CSV)'!B338,"")</f>
        <v/>
      </c>
      <c r="C338" s="39" t="str">
        <f>IF('VISA CARDS (LIBRI CSV)'!$B338&lt;&gt;"",'VISA CARDS (LIBRI CSV)'!C338,"")</f>
        <v/>
      </c>
      <c r="D338" s="39" t="str">
        <f>IF('VISA CARDS (LIBRI CSV)'!$B338&lt;&gt;"",'VISA CARDS (LIBRI CSV)'!D338,"")</f>
        <v/>
      </c>
      <c r="E338" s="40" t="str">
        <f>IF('VISA CARDS (LIBRI CSV)'!$H338&lt;&gt;"",'VISA CARDS (LIBRI CSV)'!H338,"")</f>
        <v/>
      </c>
    </row>
    <row r="339" spans="2:5" x14ac:dyDescent="0.25">
      <c r="B339" s="39" t="str">
        <f>IF('VISA CARDS (LIBRI CSV)'!$B339&lt;&gt;"",'VISA CARDS (LIBRI CSV)'!B339,"")</f>
        <v/>
      </c>
      <c r="C339" s="39" t="str">
        <f>IF('VISA CARDS (LIBRI CSV)'!$B339&lt;&gt;"",'VISA CARDS (LIBRI CSV)'!C339,"")</f>
        <v/>
      </c>
      <c r="D339" s="39" t="str">
        <f>IF('VISA CARDS (LIBRI CSV)'!$B339&lt;&gt;"",'VISA CARDS (LIBRI CSV)'!D339,"")</f>
        <v/>
      </c>
      <c r="E339" s="40" t="str">
        <f>IF('VISA CARDS (LIBRI CSV)'!$H339&lt;&gt;"",'VISA CARDS (LIBRI CSV)'!H339,"")</f>
        <v/>
      </c>
    </row>
    <row r="340" spans="2:5" x14ac:dyDescent="0.25">
      <c r="B340" s="39" t="str">
        <f>IF('VISA CARDS (LIBRI CSV)'!$B340&lt;&gt;"",'VISA CARDS (LIBRI CSV)'!B340,"")</f>
        <v/>
      </c>
      <c r="C340" s="39" t="str">
        <f>IF('VISA CARDS (LIBRI CSV)'!$B340&lt;&gt;"",'VISA CARDS (LIBRI CSV)'!C340,"")</f>
        <v/>
      </c>
      <c r="D340" s="39" t="str">
        <f>IF('VISA CARDS (LIBRI CSV)'!$B340&lt;&gt;"",'VISA CARDS (LIBRI CSV)'!D340,"")</f>
        <v/>
      </c>
      <c r="E340" s="40" t="str">
        <f>IF('VISA CARDS (LIBRI CSV)'!$H340&lt;&gt;"",'VISA CARDS (LIBRI CSV)'!H340,"")</f>
        <v/>
      </c>
    </row>
    <row r="341" spans="2:5" x14ac:dyDescent="0.25">
      <c r="B341" s="39" t="str">
        <f>IF('VISA CARDS (LIBRI CSV)'!$B341&lt;&gt;"",'VISA CARDS (LIBRI CSV)'!B341,"")</f>
        <v/>
      </c>
      <c r="C341" s="39" t="str">
        <f>IF('VISA CARDS (LIBRI CSV)'!$B341&lt;&gt;"",'VISA CARDS (LIBRI CSV)'!C341,"")</f>
        <v/>
      </c>
      <c r="D341" s="39" t="str">
        <f>IF('VISA CARDS (LIBRI CSV)'!$B341&lt;&gt;"",'VISA CARDS (LIBRI CSV)'!D341,"")</f>
        <v/>
      </c>
      <c r="E341" s="40" t="str">
        <f>IF('VISA CARDS (LIBRI CSV)'!$H341&lt;&gt;"",'VISA CARDS (LIBRI CSV)'!H341,"")</f>
        <v/>
      </c>
    </row>
    <row r="342" spans="2:5" x14ac:dyDescent="0.25">
      <c r="B342" s="39" t="str">
        <f>IF('VISA CARDS (LIBRI CSV)'!$B342&lt;&gt;"",'VISA CARDS (LIBRI CSV)'!B342,"")</f>
        <v/>
      </c>
      <c r="C342" s="39" t="str">
        <f>IF('VISA CARDS (LIBRI CSV)'!$B342&lt;&gt;"",'VISA CARDS (LIBRI CSV)'!C342,"")</f>
        <v/>
      </c>
      <c r="D342" s="39" t="str">
        <f>IF('VISA CARDS (LIBRI CSV)'!$B342&lt;&gt;"",'VISA CARDS (LIBRI CSV)'!D342,"")</f>
        <v/>
      </c>
      <c r="E342" s="40" t="str">
        <f>IF('VISA CARDS (LIBRI CSV)'!$H342&lt;&gt;"",'VISA CARDS (LIBRI CSV)'!H342,"")</f>
        <v/>
      </c>
    </row>
    <row r="343" spans="2:5" x14ac:dyDescent="0.25">
      <c r="B343" s="39" t="str">
        <f>IF('VISA CARDS (LIBRI CSV)'!$B343&lt;&gt;"",'VISA CARDS (LIBRI CSV)'!B343,"")</f>
        <v/>
      </c>
      <c r="C343" s="39" t="str">
        <f>IF('VISA CARDS (LIBRI CSV)'!$B343&lt;&gt;"",'VISA CARDS (LIBRI CSV)'!C343,"")</f>
        <v/>
      </c>
      <c r="D343" s="39" t="str">
        <f>IF('VISA CARDS (LIBRI CSV)'!$B343&lt;&gt;"",'VISA CARDS (LIBRI CSV)'!D343,"")</f>
        <v/>
      </c>
      <c r="E343" s="40" t="str">
        <f>IF('VISA CARDS (LIBRI CSV)'!$H343&lt;&gt;"",'VISA CARDS (LIBRI CSV)'!H343,"")</f>
        <v/>
      </c>
    </row>
    <row r="344" spans="2:5" x14ac:dyDescent="0.25">
      <c r="B344" s="39" t="str">
        <f>IF('VISA CARDS (LIBRI CSV)'!$B344&lt;&gt;"",'VISA CARDS (LIBRI CSV)'!B344,"")</f>
        <v/>
      </c>
      <c r="C344" s="39" t="str">
        <f>IF('VISA CARDS (LIBRI CSV)'!$B344&lt;&gt;"",'VISA CARDS (LIBRI CSV)'!C344,"")</f>
        <v/>
      </c>
      <c r="D344" s="39" t="str">
        <f>IF('VISA CARDS (LIBRI CSV)'!$B344&lt;&gt;"",'VISA CARDS (LIBRI CSV)'!D344,"")</f>
        <v/>
      </c>
      <c r="E344" s="40" t="str">
        <f>IF('VISA CARDS (LIBRI CSV)'!$H344&lt;&gt;"",'VISA CARDS (LIBRI CSV)'!H344,"")</f>
        <v/>
      </c>
    </row>
    <row r="345" spans="2:5" x14ac:dyDescent="0.25">
      <c r="B345" s="39" t="str">
        <f>IF('VISA CARDS (LIBRI CSV)'!$B345&lt;&gt;"",'VISA CARDS (LIBRI CSV)'!B345,"")</f>
        <v/>
      </c>
      <c r="C345" s="39" t="str">
        <f>IF('VISA CARDS (LIBRI CSV)'!$B345&lt;&gt;"",'VISA CARDS (LIBRI CSV)'!C345,"")</f>
        <v/>
      </c>
      <c r="D345" s="39" t="str">
        <f>IF('VISA CARDS (LIBRI CSV)'!$B345&lt;&gt;"",'VISA CARDS (LIBRI CSV)'!D345,"")</f>
        <v/>
      </c>
      <c r="E345" s="40" t="str">
        <f>IF('VISA CARDS (LIBRI CSV)'!$H345&lt;&gt;"",'VISA CARDS (LIBRI CSV)'!H345,"")</f>
        <v/>
      </c>
    </row>
    <row r="346" spans="2:5" x14ac:dyDescent="0.25">
      <c r="B346" s="39" t="str">
        <f>IF('VISA CARDS (LIBRI CSV)'!$B346&lt;&gt;"",'VISA CARDS (LIBRI CSV)'!B346,"")</f>
        <v/>
      </c>
      <c r="C346" s="39" t="str">
        <f>IF('VISA CARDS (LIBRI CSV)'!$B346&lt;&gt;"",'VISA CARDS (LIBRI CSV)'!C346,"")</f>
        <v/>
      </c>
      <c r="D346" s="39" t="str">
        <f>IF('VISA CARDS (LIBRI CSV)'!$B346&lt;&gt;"",'VISA CARDS (LIBRI CSV)'!D346,"")</f>
        <v/>
      </c>
      <c r="E346" s="40" t="str">
        <f>IF('VISA CARDS (LIBRI CSV)'!$H346&lt;&gt;"",'VISA CARDS (LIBRI CSV)'!H346,"")</f>
        <v/>
      </c>
    </row>
    <row r="347" spans="2:5" x14ac:dyDescent="0.25">
      <c r="B347" s="39" t="str">
        <f>IF('VISA CARDS (LIBRI CSV)'!$B347&lt;&gt;"",'VISA CARDS (LIBRI CSV)'!B347,"")</f>
        <v/>
      </c>
      <c r="C347" s="39" t="str">
        <f>IF('VISA CARDS (LIBRI CSV)'!$B347&lt;&gt;"",'VISA CARDS (LIBRI CSV)'!C347,"")</f>
        <v/>
      </c>
      <c r="D347" s="39" t="str">
        <f>IF('VISA CARDS (LIBRI CSV)'!$B347&lt;&gt;"",'VISA CARDS (LIBRI CSV)'!D347,"")</f>
        <v/>
      </c>
      <c r="E347" s="40" t="str">
        <f>IF('VISA CARDS (LIBRI CSV)'!$H347&lt;&gt;"",'VISA CARDS (LIBRI CSV)'!H347,"")</f>
        <v/>
      </c>
    </row>
    <row r="348" spans="2:5" x14ac:dyDescent="0.25">
      <c r="B348" s="39" t="str">
        <f>IF('VISA CARDS (LIBRI CSV)'!$B348&lt;&gt;"",'VISA CARDS (LIBRI CSV)'!B348,"")</f>
        <v/>
      </c>
      <c r="C348" s="39" t="str">
        <f>IF('VISA CARDS (LIBRI CSV)'!$B348&lt;&gt;"",'VISA CARDS (LIBRI CSV)'!C348,"")</f>
        <v/>
      </c>
      <c r="D348" s="39" t="str">
        <f>IF('VISA CARDS (LIBRI CSV)'!$B348&lt;&gt;"",'VISA CARDS (LIBRI CSV)'!D348,"")</f>
        <v/>
      </c>
      <c r="E348" s="40" t="str">
        <f>IF('VISA CARDS (LIBRI CSV)'!$H348&lt;&gt;"",'VISA CARDS (LIBRI CSV)'!H348,"")</f>
        <v/>
      </c>
    </row>
    <row r="349" spans="2:5" x14ac:dyDescent="0.25">
      <c r="B349" s="39" t="str">
        <f>IF('VISA CARDS (LIBRI CSV)'!$B349&lt;&gt;"",'VISA CARDS (LIBRI CSV)'!B349,"")</f>
        <v/>
      </c>
      <c r="C349" s="39" t="str">
        <f>IF('VISA CARDS (LIBRI CSV)'!$B349&lt;&gt;"",'VISA CARDS (LIBRI CSV)'!C349,"")</f>
        <v/>
      </c>
      <c r="D349" s="39" t="str">
        <f>IF('VISA CARDS (LIBRI CSV)'!$B349&lt;&gt;"",'VISA CARDS (LIBRI CSV)'!D349,"")</f>
        <v/>
      </c>
      <c r="E349" s="40" t="str">
        <f>IF('VISA CARDS (LIBRI CSV)'!$H349&lt;&gt;"",'VISA CARDS (LIBRI CSV)'!H349,"")</f>
        <v/>
      </c>
    </row>
    <row r="350" spans="2:5" x14ac:dyDescent="0.25">
      <c r="B350" s="39" t="str">
        <f>IF('VISA CARDS (LIBRI CSV)'!$B350&lt;&gt;"",'VISA CARDS (LIBRI CSV)'!B350,"")</f>
        <v/>
      </c>
      <c r="C350" s="39" t="str">
        <f>IF('VISA CARDS (LIBRI CSV)'!$B350&lt;&gt;"",'VISA CARDS (LIBRI CSV)'!C350,"")</f>
        <v/>
      </c>
      <c r="D350" s="39" t="str">
        <f>IF('VISA CARDS (LIBRI CSV)'!$B350&lt;&gt;"",'VISA CARDS (LIBRI CSV)'!D350,"")</f>
        <v/>
      </c>
      <c r="E350" s="40" t="str">
        <f>IF('VISA CARDS (LIBRI CSV)'!$H350&lt;&gt;"",'VISA CARDS (LIBRI CSV)'!H350,"")</f>
        <v/>
      </c>
    </row>
    <row r="351" spans="2:5" x14ac:dyDescent="0.25">
      <c r="B351" s="39" t="str">
        <f>IF('VISA CARDS (LIBRI CSV)'!$B351&lt;&gt;"",'VISA CARDS (LIBRI CSV)'!B351,"")</f>
        <v/>
      </c>
      <c r="C351" s="39" t="str">
        <f>IF('VISA CARDS (LIBRI CSV)'!$B351&lt;&gt;"",'VISA CARDS (LIBRI CSV)'!C351,"")</f>
        <v/>
      </c>
      <c r="D351" s="39" t="str">
        <f>IF('VISA CARDS (LIBRI CSV)'!$B351&lt;&gt;"",'VISA CARDS (LIBRI CSV)'!D351,"")</f>
        <v/>
      </c>
      <c r="E351" s="40" t="str">
        <f>IF('VISA CARDS (LIBRI CSV)'!$H351&lt;&gt;"",'VISA CARDS (LIBRI CSV)'!H351,"")</f>
        <v/>
      </c>
    </row>
    <row r="352" spans="2:5" x14ac:dyDescent="0.25">
      <c r="B352" s="39" t="str">
        <f>IF('VISA CARDS (LIBRI CSV)'!$B352&lt;&gt;"",'VISA CARDS (LIBRI CSV)'!B352,"")</f>
        <v/>
      </c>
      <c r="C352" s="39" t="str">
        <f>IF('VISA CARDS (LIBRI CSV)'!$B352&lt;&gt;"",'VISA CARDS (LIBRI CSV)'!C352,"")</f>
        <v/>
      </c>
      <c r="D352" s="39" t="str">
        <f>IF('VISA CARDS (LIBRI CSV)'!$B352&lt;&gt;"",'VISA CARDS (LIBRI CSV)'!D352,"")</f>
        <v/>
      </c>
      <c r="E352" s="40" t="str">
        <f>IF('VISA CARDS (LIBRI CSV)'!$H352&lt;&gt;"",'VISA CARDS (LIBRI CSV)'!H352,"")</f>
        <v/>
      </c>
    </row>
    <row r="353" spans="2:5" x14ac:dyDescent="0.25">
      <c r="B353" s="39" t="str">
        <f>IF('VISA CARDS (LIBRI CSV)'!$B353&lt;&gt;"",'VISA CARDS (LIBRI CSV)'!B353,"")</f>
        <v/>
      </c>
      <c r="C353" s="39" t="str">
        <f>IF('VISA CARDS (LIBRI CSV)'!$B353&lt;&gt;"",'VISA CARDS (LIBRI CSV)'!C353,"")</f>
        <v/>
      </c>
      <c r="D353" s="39" t="str">
        <f>IF('VISA CARDS (LIBRI CSV)'!$B353&lt;&gt;"",'VISA CARDS (LIBRI CSV)'!D353,"")</f>
        <v/>
      </c>
      <c r="E353" s="40" t="str">
        <f>IF('VISA CARDS (LIBRI CSV)'!$H353&lt;&gt;"",'VISA CARDS (LIBRI CSV)'!H353,"")</f>
        <v/>
      </c>
    </row>
    <row r="354" spans="2:5" x14ac:dyDescent="0.25">
      <c r="B354" s="39" t="str">
        <f>IF('VISA CARDS (LIBRI CSV)'!$B354&lt;&gt;"",'VISA CARDS (LIBRI CSV)'!B354,"")</f>
        <v/>
      </c>
      <c r="C354" s="39" t="str">
        <f>IF('VISA CARDS (LIBRI CSV)'!$B354&lt;&gt;"",'VISA CARDS (LIBRI CSV)'!C354,"")</f>
        <v/>
      </c>
      <c r="D354" s="39" t="str">
        <f>IF('VISA CARDS (LIBRI CSV)'!$B354&lt;&gt;"",'VISA CARDS (LIBRI CSV)'!D354,"")</f>
        <v/>
      </c>
      <c r="E354" s="40" t="str">
        <f>IF('VISA CARDS (LIBRI CSV)'!$H354&lt;&gt;"",'VISA CARDS (LIBRI CSV)'!H354,"")</f>
        <v/>
      </c>
    </row>
    <row r="355" spans="2:5" x14ac:dyDescent="0.25">
      <c r="B355" s="39" t="str">
        <f>IF('VISA CARDS (LIBRI CSV)'!$B355&lt;&gt;"",'VISA CARDS (LIBRI CSV)'!B355,"")</f>
        <v/>
      </c>
      <c r="C355" s="39" t="str">
        <f>IF('VISA CARDS (LIBRI CSV)'!$B355&lt;&gt;"",'VISA CARDS (LIBRI CSV)'!C355,"")</f>
        <v/>
      </c>
      <c r="D355" s="39" t="str">
        <f>IF('VISA CARDS (LIBRI CSV)'!$B355&lt;&gt;"",'VISA CARDS (LIBRI CSV)'!D355,"")</f>
        <v/>
      </c>
      <c r="E355" s="40" t="str">
        <f>IF('VISA CARDS (LIBRI CSV)'!$H355&lt;&gt;"",'VISA CARDS (LIBRI CSV)'!H355,"")</f>
        <v/>
      </c>
    </row>
    <row r="356" spans="2:5" x14ac:dyDescent="0.25">
      <c r="B356" s="39" t="str">
        <f>IF('VISA CARDS (LIBRI CSV)'!$B356&lt;&gt;"",'VISA CARDS (LIBRI CSV)'!B356,"")</f>
        <v/>
      </c>
      <c r="C356" s="39" t="str">
        <f>IF('VISA CARDS (LIBRI CSV)'!$B356&lt;&gt;"",'VISA CARDS (LIBRI CSV)'!C356,"")</f>
        <v/>
      </c>
      <c r="D356" s="39" t="str">
        <f>IF('VISA CARDS (LIBRI CSV)'!$B356&lt;&gt;"",'VISA CARDS (LIBRI CSV)'!D356,"")</f>
        <v/>
      </c>
      <c r="E356" s="40" t="str">
        <f>IF('VISA CARDS (LIBRI CSV)'!$H356&lt;&gt;"",'VISA CARDS (LIBRI CSV)'!H356,"")</f>
        <v/>
      </c>
    </row>
    <row r="357" spans="2:5" x14ac:dyDescent="0.25">
      <c r="B357" s="39" t="str">
        <f>IF('VISA CARDS (LIBRI CSV)'!$B357&lt;&gt;"",'VISA CARDS (LIBRI CSV)'!B357,"")</f>
        <v/>
      </c>
      <c r="C357" s="39" t="str">
        <f>IF('VISA CARDS (LIBRI CSV)'!$B357&lt;&gt;"",'VISA CARDS (LIBRI CSV)'!C357,"")</f>
        <v/>
      </c>
      <c r="D357" s="39" t="str">
        <f>IF('VISA CARDS (LIBRI CSV)'!$B357&lt;&gt;"",'VISA CARDS (LIBRI CSV)'!D357,"")</f>
        <v/>
      </c>
      <c r="E357" s="40" t="str">
        <f>IF('VISA CARDS (LIBRI CSV)'!$H357&lt;&gt;"",'VISA CARDS (LIBRI CSV)'!H357,"")</f>
        <v/>
      </c>
    </row>
    <row r="358" spans="2:5" x14ac:dyDescent="0.25">
      <c r="B358" s="39" t="str">
        <f>IF('VISA CARDS (LIBRI CSV)'!$B358&lt;&gt;"",'VISA CARDS (LIBRI CSV)'!B358,"")</f>
        <v/>
      </c>
      <c r="C358" s="39" t="str">
        <f>IF('VISA CARDS (LIBRI CSV)'!$B358&lt;&gt;"",'VISA CARDS (LIBRI CSV)'!C358,"")</f>
        <v/>
      </c>
      <c r="D358" s="39" t="str">
        <f>IF('VISA CARDS (LIBRI CSV)'!$B358&lt;&gt;"",'VISA CARDS (LIBRI CSV)'!D358,"")</f>
        <v/>
      </c>
      <c r="E358" s="40" t="str">
        <f>IF('VISA CARDS (LIBRI CSV)'!$H358&lt;&gt;"",'VISA CARDS (LIBRI CSV)'!H358,"")</f>
        <v/>
      </c>
    </row>
    <row r="359" spans="2:5" x14ac:dyDescent="0.25">
      <c r="B359" s="39" t="str">
        <f>IF('VISA CARDS (LIBRI CSV)'!$B359&lt;&gt;"",'VISA CARDS (LIBRI CSV)'!B359,"")</f>
        <v/>
      </c>
      <c r="C359" s="39" t="str">
        <f>IF('VISA CARDS (LIBRI CSV)'!$B359&lt;&gt;"",'VISA CARDS (LIBRI CSV)'!C359,"")</f>
        <v/>
      </c>
      <c r="D359" s="39" t="str">
        <f>IF('VISA CARDS (LIBRI CSV)'!$B359&lt;&gt;"",'VISA CARDS (LIBRI CSV)'!D359,"")</f>
        <v/>
      </c>
      <c r="E359" s="40" t="str">
        <f>IF('VISA CARDS (LIBRI CSV)'!$H359&lt;&gt;"",'VISA CARDS (LIBRI CSV)'!H359,"")</f>
        <v/>
      </c>
    </row>
    <row r="360" spans="2:5" x14ac:dyDescent="0.25">
      <c r="B360" s="39" t="str">
        <f>IF('VISA CARDS (LIBRI CSV)'!$B360&lt;&gt;"",'VISA CARDS (LIBRI CSV)'!B360,"")</f>
        <v/>
      </c>
      <c r="C360" s="39" t="str">
        <f>IF('VISA CARDS (LIBRI CSV)'!$B360&lt;&gt;"",'VISA CARDS (LIBRI CSV)'!C360,"")</f>
        <v/>
      </c>
      <c r="D360" s="39" t="str">
        <f>IF('VISA CARDS (LIBRI CSV)'!$B360&lt;&gt;"",'VISA CARDS (LIBRI CSV)'!D360,"")</f>
        <v/>
      </c>
      <c r="E360" s="40" t="str">
        <f>IF('VISA CARDS (LIBRI CSV)'!$H360&lt;&gt;"",'VISA CARDS (LIBRI CSV)'!H360,"")</f>
        <v/>
      </c>
    </row>
    <row r="361" spans="2:5" x14ac:dyDescent="0.25">
      <c r="B361" s="39" t="str">
        <f>IF('VISA CARDS (LIBRI CSV)'!$B361&lt;&gt;"",'VISA CARDS (LIBRI CSV)'!B361,"")</f>
        <v/>
      </c>
      <c r="C361" s="39" t="str">
        <f>IF('VISA CARDS (LIBRI CSV)'!$B361&lt;&gt;"",'VISA CARDS (LIBRI CSV)'!C361,"")</f>
        <v/>
      </c>
      <c r="D361" s="39" t="str">
        <f>IF('VISA CARDS (LIBRI CSV)'!$B361&lt;&gt;"",'VISA CARDS (LIBRI CSV)'!D361,"")</f>
        <v/>
      </c>
      <c r="E361" s="40" t="str">
        <f>IF('VISA CARDS (LIBRI CSV)'!$H361&lt;&gt;"",'VISA CARDS (LIBRI CSV)'!H361,"")</f>
        <v/>
      </c>
    </row>
    <row r="362" spans="2:5" x14ac:dyDescent="0.25">
      <c r="B362" s="39" t="str">
        <f>IF('VISA CARDS (LIBRI CSV)'!$B362&lt;&gt;"",'VISA CARDS (LIBRI CSV)'!B362,"")</f>
        <v/>
      </c>
      <c r="C362" s="39" t="str">
        <f>IF('VISA CARDS (LIBRI CSV)'!$B362&lt;&gt;"",'VISA CARDS (LIBRI CSV)'!C362,"")</f>
        <v/>
      </c>
      <c r="D362" s="39" t="str">
        <f>IF('VISA CARDS (LIBRI CSV)'!$B362&lt;&gt;"",'VISA CARDS (LIBRI CSV)'!D362,"")</f>
        <v/>
      </c>
      <c r="E362" s="40" t="str">
        <f>IF('VISA CARDS (LIBRI CSV)'!$H362&lt;&gt;"",'VISA CARDS (LIBRI CSV)'!H362,"")</f>
        <v/>
      </c>
    </row>
    <row r="363" spans="2:5" x14ac:dyDescent="0.25">
      <c r="B363" s="39" t="str">
        <f>IF('VISA CARDS (LIBRI CSV)'!$B363&lt;&gt;"",'VISA CARDS (LIBRI CSV)'!B363,"")</f>
        <v/>
      </c>
      <c r="C363" s="39" t="str">
        <f>IF('VISA CARDS (LIBRI CSV)'!$B363&lt;&gt;"",'VISA CARDS (LIBRI CSV)'!C363,"")</f>
        <v/>
      </c>
      <c r="D363" s="39" t="str">
        <f>IF('VISA CARDS (LIBRI CSV)'!$B363&lt;&gt;"",'VISA CARDS (LIBRI CSV)'!D363,"")</f>
        <v/>
      </c>
      <c r="E363" s="40" t="str">
        <f>IF('VISA CARDS (LIBRI CSV)'!$H363&lt;&gt;"",'VISA CARDS (LIBRI CSV)'!H363,"")</f>
        <v/>
      </c>
    </row>
    <row r="364" spans="2:5" x14ac:dyDescent="0.25">
      <c r="B364" s="39" t="str">
        <f>IF('VISA CARDS (LIBRI CSV)'!$B364&lt;&gt;"",'VISA CARDS (LIBRI CSV)'!B364,"")</f>
        <v/>
      </c>
      <c r="C364" s="39" t="str">
        <f>IF('VISA CARDS (LIBRI CSV)'!$B364&lt;&gt;"",'VISA CARDS (LIBRI CSV)'!C364,"")</f>
        <v/>
      </c>
      <c r="D364" s="39" t="str">
        <f>IF('VISA CARDS (LIBRI CSV)'!$B364&lt;&gt;"",'VISA CARDS (LIBRI CSV)'!D364,"")</f>
        <v/>
      </c>
      <c r="E364" s="40" t="str">
        <f>IF('VISA CARDS (LIBRI CSV)'!$H364&lt;&gt;"",'VISA CARDS (LIBRI CSV)'!H364,"")</f>
        <v/>
      </c>
    </row>
    <row r="365" spans="2:5" x14ac:dyDescent="0.25">
      <c r="B365" s="39" t="str">
        <f>IF('VISA CARDS (LIBRI CSV)'!$B365&lt;&gt;"",'VISA CARDS (LIBRI CSV)'!B365,"")</f>
        <v/>
      </c>
      <c r="C365" s="39" t="str">
        <f>IF('VISA CARDS (LIBRI CSV)'!$B365&lt;&gt;"",'VISA CARDS (LIBRI CSV)'!C365,"")</f>
        <v/>
      </c>
      <c r="D365" s="39" t="str">
        <f>IF('VISA CARDS (LIBRI CSV)'!$B365&lt;&gt;"",'VISA CARDS (LIBRI CSV)'!D365,"")</f>
        <v/>
      </c>
      <c r="E365" s="40" t="str">
        <f>IF('VISA CARDS (LIBRI CSV)'!$H365&lt;&gt;"",'VISA CARDS (LIBRI CSV)'!H365,"")</f>
        <v/>
      </c>
    </row>
    <row r="366" spans="2:5" x14ac:dyDescent="0.25">
      <c r="B366" s="39" t="str">
        <f>IF('VISA CARDS (LIBRI CSV)'!$B366&lt;&gt;"",'VISA CARDS (LIBRI CSV)'!B366,"")</f>
        <v/>
      </c>
      <c r="C366" s="39" t="str">
        <f>IF('VISA CARDS (LIBRI CSV)'!$B366&lt;&gt;"",'VISA CARDS (LIBRI CSV)'!C366,"")</f>
        <v/>
      </c>
      <c r="D366" s="39" t="str">
        <f>IF('VISA CARDS (LIBRI CSV)'!$B366&lt;&gt;"",'VISA CARDS (LIBRI CSV)'!D366,"")</f>
        <v/>
      </c>
      <c r="E366" s="40" t="str">
        <f>IF('VISA CARDS (LIBRI CSV)'!$H366&lt;&gt;"",'VISA CARDS (LIBRI CSV)'!H366,"")</f>
        <v/>
      </c>
    </row>
    <row r="367" spans="2:5" x14ac:dyDescent="0.25">
      <c r="B367" s="39" t="str">
        <f>IF('VISA CARDS (LIBRI CSV)'!$B367&lt;&gt;"",'VISA CARDS (LIBRI CSV)'!B367,"")</f>
        <v/>
      </c>
      <c r="C367" s="39" t="str">
        <f>IF('VISA CARDS (LIBRI CSV)'!$B367&lt;&gt;"",'VISA CARDS (LIBRI CSV)'!C367,"")</f>
        <v/>
      </c>
      <c r="D367" s="39" t="str">
        <f>IF('VISA CARDS (LIBRI CSV)'!$B367&lt;&gt;"",'VISA CARDS (LIBRI CSV)'!D367,"")</f>
        <v/>
      </c>
      <c r="E367" s="40" t="str">
        <f>IF('VISA CARDS (LIBRI CSV)'!$H367&lt;&gt;"",'VISA CARDS (LIBRI CSV)'!H367,"")</f>
        <v/>
      </c>
    </row>
    <row r="368" spans="2:5" x14ac:dyDescent="0.25">
      <c r="B368" s="39" t="str">
        <f>IF('VISA CARDS (LIBRI CSV)'!$B368&lt;&gt;"",'VISA CARDS (LIBRI CSV)'!B368,"")</f>
        <v/>
      </c>
      <c r="C368" s="39" t="str">
        <f>IF('VISA CARDS (LIBRI CSV)'!$B368&lt;&gt;"",'VISA CARDS (LIBRI CSV)'!C368,"")</f>
        <v/>
      </c>
      <c r="D368" s="39" t="str">
        <f>IF('VISA CARDS (LIBRI CSV)'!$B368&lt;&gt;"",'VISA CARDS (LIBRI CSV)'!D368,"")</f>
        <v/>
      </c>
      <c r="E368" s="40" t="str">
        <f>IF('VISA CARDS (LIBRI CSV)'!$H368&lt;&gt;"",'VISA CARDS (LIBRI CSV)'!H368,"")</f>
        <v/>
      </c>
    </row>
    <row r="369" spans="2:5" x14ac:dyDescent="0.25">
      <c r="B369" s="39" t="str">
        <f>IF('VISA CARDS (LIBRI CSV)'!$B369&lt;&gt;"",'VISA CARDS (LIBRI CSV)'!B369,"")</f>
        <v/>
      </c>
      <c r="C369" s="39" t="str">
        <f>IF('VISA CARDS (LIBRI CSV)'!$B369&lt;&gt;"",'VISA CARDS (LIBRI CSV)'!C369,"")</f>
        <v/>
      </c>
      <c r="D369" s="39" t="str">
        <f>IF('VISA CARDS (LIBRI CSV)'!$B369&lt;&gt;"",'VISA CARDS (LIBRI CSV)'!D369,"")</f>
        <v/>
      </c>
      <c r="E369" s="40" t="str">
        <f>IF('VISA CARDS (LIBRI CSV)'!$H369&lt;&gt;"",'VISA CARDS (LIBRI CSV)'!H369,"")</f>
        <v/>
      </c>
    </row>
    <row r="370" spans="2:5" x14ac:dyDescent="0.25">
      <c r="B370" s="39" t="str">
        <f>IF('VISA CARDS (LIBRI CSV)'!$B370&lt;&gt;"",'VISA CARDS (LIBRI CSV)'!B370,"")</f>
        <v/>
      </c>
      <c r="C370" s="39" t="str">
        <f>IF('VISA CARDS (LIBRI CSV)'!$B370&lt;&gt;"",'VISA CARDS (LIBRI CSV)'!C370,"")</f>
        <v/>
      </c>
      <c r="D370" s="39" t="str">
        <f>IF('VISA CARDS (LIBRI CSV)'!$B370&lt;&gt;"",'VISA CARDS (LIBRI CSV)'!D370,"")</f>
        <v/>
      </c>
      <c r="E370" s="40" t="str">
        <f>IF('VISA CARDS (LIBRI CSV)'!$H370&lt;&gt;"",'VISA CARDS (LIBRI CSV)'!H370,"")</f>
        <v/>
      </c>
    </row>
    <row r="371" spans="2:5" x14ac:dyDescent="0.25">
      <c r="B371" s="39" t="str">
        <f>IF('VISA CARDS (LIBRI CSV)'!$B371&lt;&gt;"",'VISA CARDS (LIBRI CSV)'!B371,"")</f>
        <v/>
      </c>
      <c r="C371" s="39" t="str">
        <f>IF('VISA CARDS (LIBRI CSV)'!$B371&lt;&gt;"",'VISA CARDS (LIBRI CSV)'!C371,"")</f>
        <v/>
      </c>
      <c r="D371" s="39" t="str">
        <f>IF('VISA CARDS (LIBRI CSV)'!$B371&lt;&gt;"",'VISA CARDS (LIBRI CSV)'!D371,"")</f>
        <v/>
      </c>
      <c r="E371" s="40" t="str">
        <f>IF('VISA CARDS (LIBRI CSV)'!$H371&lt;&gt;"",'VISA CARDS (LIBRI CSV)'!H371,"")</f>
        <v/>
      </c>
    </row>
    <row r="372" spans="2:5" x14ac:dyDescent="0.25">
      <c r="B372" s="39" t="str">
        <f>IF('VISA CARDS (LIBRI CSV)'!$B372&lt;&gt;"",'VISA CARDS (LIBRI CSV)'!B372,"")</f>
        <v/>
      </c>
      <c r="C372" s="39" t="str">
        <f>IF('VISA CARDS (LIBRI CSV)'!$B372&lt;&gt;"",'VISA CARDS (LIBRI CSV)'!C372,"")</f>
        <v/>
      </c>
      <c r="D372" s="39" t="str">
        <f>IF('VISA CARDS (LIBRI CSV)'!$B372&lt;&gt;"",'VISA CARDS (LIBRI CSV)'!D372,"")</f>
        <v/>
      </c>
      <c r="E372" s="40" t="str">
        <f>IF('VISA CARDS (LIBRI CSV)'!$H372&lt;&gt;"",'VISA CARDS (LIBRI CSV)'!H372,"")</f>
        <v/>
      </c>
    </row>
    <row r="373" spans="2:5" x14ac:dyDescent="0.25">
      <c r="B373" s="39" t="str">
        <f>IF('VISA CARDS (LIBRI CSV)'!$B373&lt;&gt;"",'VISA CARDS (LIBRI CSV)'!B373,"")</f>
        <v/>
      </c>
      <c r="C373" s="39" t="str">
        <f>IF('VISA CARDS (LIBRI CSV)'!$B373&lt;&gt;"",'VISA CARDS (LIBRI CSV)'!C373,"")</f>
        <v/>
      </c>
      <c r="D373" s="39" t="str">
        <f>IF('VISA CARDS (LIBRI CSV)'!$B373&lt;&gt;"",'VISA CARDS (LIBRI CSV)'!D373,"")</f>
        <v/>
      </c>
      <c r="E373" s="40" t="str">
        <f>IF('VISA CARDS (LIBRI CSV)'!$H373&lt;&gt;"",'VISA CARDS (LIBRI CSV)'!H373,"")</f>
        <v/>
      </c>
    </row>
    <row r="374" spans="2:5" x14ac:dyDescent="0.25">
      <c r="B374" s="39" t="str">
        <f>IF('VISA CARDS (LIBRI CSV)'!$B374&lt;&gt;"",'VISA CARDS (LIBRI CSV)'!B374,"")</f>
        <v/>
      </c>
      <c r="C374" s="39" t="str">
        <f>IF('VISA CARDS (LIBRI CSV)'!$B374&lt;&gt;"",'VISA CARDS (LIBRI CSV)'!C374,"")</f>
        <v/>
      </c>
      <c r="D374" s="39" t="str">
        <f>IF('VISA CARDS (LIBRI CSV)'!$B374&lt;&gt;"",'VISA CARDS (LIBRI CSV)'!D374,"")</f>
        <v/>
      </c>
      <c r="E374" s="40" t="str">
        <f>IF('VISA CARDS (LIBRI CSV)'!$H374&lt;&gt;"",'VISA CARDS (LIBRI CSV)'!H374,"")</f>
        <v/>
      </c>
    </row>
    <row r="375" spans="2:5" x14ac:dyDescent="0.25">
      <c r="B375" s="39" t="str">
        <f>IF('VISA CARDS (LIBRI CSV)'!$B375&lt;&gt;"",'VISA CARDS (LIBRI CSV)'!B375,"")</f>
        <v/>
      </c>
      <c r="C375" s="39" t="str">
        <f>IF('VISA CARDS (LIBRI CSV)'!$B375&lt;&gt;"",'VISA CARDS (LIBRI CSV)'!C375,"")</f>
        <v/>
      </c>
      <c r="D375" s="39" t="str">
        <f>IF('VISA CARDS (LIBRI CSV)'!$B375&lt;&gt;"",'VISA CARDS (LIBRI CSV)'!D375,"")</f>
        <v/>
      </c>
      <c r="E375" s="40" t="str">
        <f>IF('VISA CARDS (LIBRI CSV)'!$H375&lt;&gt;"",'VISA CARDS (LIBRI CSV)'!H375,"")</f>
        <v/>
      </c>
    </row>
    <row r="376" spans="2:5" x14ac:dyDescent="0.25">
      <c r="B376" s="39" t="str">
        <f>IF('VISA CARDS (LIBRI CSV)'!$B376&lt;&gt;"",'VISA CARDS (LIBRI CSV)'!B376,"")</f>
        <v/>
      </c>
      <c r="C376" s="39" t="str">
        <f>IF('VISA CARDS (LIBRI CSV)'!$B376&lt;&gt;"",'VISA CARDS (LIBRI CSV)'!C376,"")</f>
        <v/>
      </c>
      <c r="D376" s="39" t="str">
        <f>IF('VISA CARDS (LIBRI CSV)'!$B376&lt;&gt;"",'VISA CARDS (LIBRI CSV)'!D376,"")</f>
        <v/>
      </c>
      <c r="E376" s="40" t="str">
        <f>IF('VISA CARDS (LIBRI CSV)'!$H376&lt;&gt;"",'VISA CARDS (LIBRI CSV)'!H376,"")</f>
        <v/>
      </c>
    </row>
    <row r="377" spans="2:5" x14ac:dyDescent="0.25">
      <c r="B377" s="39" t="str">
        <f>IF('VISA CARDS (LIBRI CSV)'!$B377&lt;&gt;"",'VISA CARDS (LIBRI CSV)'!B377,"")</f>
        <v/>
      </c>
      <c r="C377" s="39" t="str">
        <f>IF('VISA CARDS (LIBRI CSV)'!$B377&lt;&gt;"",'VISA CARDS (LIBRI CSV)'!C377,"")</f>
        <v/>
      </c>
      <c r="D377" s="39" t="str">
        <f>IF('VISA CARDS (LIBRI CSV)'!$B377&lt;&gt;"",'VISA CARDS (LIBRI CSV)'!D377,"")</f>
        <v/>
      </c>
      <c r="E377" s="40" t="str">
        <f>IF('VISA CARDS (LIBRI CSV)'!$H377&lt;&gt;"",'VISA CARDS (LIBRI CSV)'!H377,"")</f>
        <v/>
      </c>
    </row>
    <row r="378" spans="2:5" x14ac:dyDescent="0.25">
      <c r="B378" s="39" t="str">
        <f>IF('VISA CARDS (LIBRI CSV)'!$B378&lt;&gt;"",'VISA CARDS (LIBRI CSV)'!B378,"")</f>
        <v/>
      </c>
      <c r="C378" s="39" t="str">
        <f>IF('VISA CARDS (LIBRI CSV)'!$B378&lt;&gt;"",'VISA CARDS (LIBRI CSV)'!C378,"")</f>
        <v/>
      </c>
      <c r="D378" s="39" t="str">
        <f>IF('VISA CARDS (LIBRI CSV)'!$B378&lt;&gt;"",'VISA CARDS (LIBRI CSV)'!D378,"")</f>
        <v/>
      </c>
      <c r="E378" s="40" t="str">
        <f>IF('VISA CARDS (LIBRI CSV)'!$H378&lt;&gt;"",'VISA CARDS (LIBRI CSV)'!H378,"")</f>
        <v/>
      </c>
    </row>
    <row r="379" spans="2:5" x14ac:dyDescent="0.25">
      <c r="B379" s="39" t="str">
        <f>IF('VISA CARDS (LIBRI CSV)'!$B379&lt;&gt;"",'VISA CARDS (LIBRI CSV)'!B379,"")</f>
        <v/>
      </c>
      <c r="C379" s="39" t="str">
        <f>IF('VISA CARDS (LIBRI CSV)'!$B379&lt;&gt;"",'VISA CARDS (LIBRI CSV)'!C379,"")</f>
        <v/>
      </c>
      <c r="D379" s="39" t="str">
        <f>IF('VISA CARDS (LIBRI CSV)'!$B379&lt;&gt;"",'VISA CARDS (LIBRI CSV)'!D379,"")</f>
        <v/>
      </c>
      <c r="E379" s="40" t="str">
        <f>IF('VISA CARDS (LIBRI CSV)'!$H379&lt;&gt;"",'VISA CARDS (LIBRI CSV)'!H379,"")</f>
        <v/>
      </c>
    </row>
    <row r="380" spans="2:5" x14ac:dyDescent="0.25">
      <c r="B380" s="39" t="str">
        <f>IF('VISA CARDS (LIBRI CSV)'!$B380&lt;&gt;"",'VISA CARDS (LIBRI CSV)'!B380,"")</f>
        <v/>
      </c>
      <c r="C380" s="39" t="str">
        <f>IF('VISA CARDS (LIBRI CSV)'!$B380&lt;&gt;"",'VISA CARDS (LIBRI CSV)'!C380,"")</f>
        <v/>
      </c>
      <c r="D380" s="39" t="str">
        <f>IF('VISA CARDS (LIBRI CSV)'!$B380&lt;&gt;"",'VISA CARDS (LIBRI CSV)'!D380,"")</f>
        <v/>
      </c>
      <c r="E380" s="40" t="str">
        <f>IF('VISA CARDS (LIBRI CSV)'!$H380&lt;&gt;"",'VISA CARDS (LIBRI CSV)'!H380,"")</f>
        <v/>
      </c>
    </row>
    <row r="381" spans="2:5" x14ac:dyDescent="0.25">
      <c r="B381" s="39" t="str">
        <f>IF('VISA CARDS (LIBRI CSV)'!$B381&lt;&gt;"",'VISA CARDS (LIBRI CSV)'!B381,"")</f>
        <v/>
      </c>
      <c r="C381" s="39" t="str">
        <f>IF('VISA CARDS (LIBRI CSV)'!$B381&lt;&gt;"",'VISA CARDS (LIBRI CSV)'!C381,"")</f>
        <v/>
      </c>
      <c r="D381" s="39" t="str">
        <f>IF('VISA CARDS (LIBRI CSV)'!$B381&lt;&gt;"",'VISA CARDS (LIBRI CSV)'!D381,"")</f>
        <v/>
      </c>
      <c r="E381" s="40" t="str">
        <f>IF('VISA CARDS (LIBRI CSV)'!$H381&lt;&gt;"",'VISA CARDS (LIBRI CSV)'!H381,"")</f>
        <v/>
      </c>
    </row>
    <row r="382" spans="2:5" x14ac:dyDescent="0.25">
      <c r="B382" s="39" t="str">
        <f>IF('VISA CARDS (LIBRI CSV)'!$B382&lt;&gt;"",'VISA CARDS (LIBRI CSV)'!B382,"")</f>
        <v/>
      </c>
      <c r="C382" s="39" t="str">
        <f>IF('VISA CARDS (LIBRI CSV)'!$B382&lt;&gt;"",'VISA CARDS (LIBRI CSV)'!C382,"")</f>
        <v/>
      </c>
      <c r="D382" s="39" t="str">
        <f>IF('VISA CARDS (LIBRI CSV)'!$B382&lt;&gt;"",'VISA CARDS (LIBRI CSV)'!D382,"")</f>
        <v/>
      </c>
      <c r="E382" s="40" t="str">
        <f>IF('VISA CARDS (LIBRI CSV)'!$H382&lt;&gt;"",'VISA CARDS (LIBRI CSV)'!H382,"")</f>
        <v/>
      </c>
    </row>
    <row r="383" spans="2:5" x14ac:dyDescent="0.25">
      <c r="B383" s="39" t="str">
        <f>IF('VISA CARDS (LIBRI CSV)'!$B383&lt;&gt;"",'VISA CARDS (LIBRI CSV)'!B383,"")</f>
        <v/>
      </c>
      <c r="C383" s="39" t="str">
        <f>IF('VISA CARDS (LIBRI CSV)'!$B383&lt;&gt;"",'VISA CARDS (LIBRI CSV)'!C383,"")</f>
        <v/>
      </c>
      <c r="D383" s="39" t="str">
        <f>IF('VISA CARDS (LIBRI CSV)'!$B383&lt;&gt;"",'VISA CARDS (LIBRI CSV)'!D383,"")</f>
        <v/>
      </c>
      <c r="E383" s="40" t="str">
        <f>IF('VISA CARDS (LIBRI CSV)'!$H383&lt;&gt;"",'VISA CARDS (LIBRI CSV)'!H383,"")</f>
        <v/>
      </c>
    </row>
    <row r="384" spans="2:5" x14ac:dyDescent="0.25">
      <c r="B384" s="39" t="str">
        <f>IF('VISA CARDS (LIBRI CSV)'!$B384&lt;&gt;"",'VISA CARDS (LIBRI CSV)'!B384,"")</f>
        <v/>
      </c>
      <c r="C384" s="39" t="str">
        <f>IF('VISA CARDS (LIBRI CSV)'!$B384&lt;&gt;"",'VISA CARDS (LIBRI CSV)'!C384,"")</f>
        <v/>
      </c>
      <c r="D384" s="39" t="str">
        <f>IF('VISA CARDS (LIBRI CSV)'!$B384&lt;&gt;"",'VISA CARDS (LIBRI CSV)'!D384,"")</f>
        <v/>
      </c>
      <c r="E384" s="40" t="str">
        <f>IF('VISA CARDS (LIBRI CSV)'!$H384&lt;&gt;"",'VISA CARDS (LIBRI CSV)'!H384,"")</f>
        <v/>
      </c>
    </row>
    <row r="385" spans="2:5" x14ac:dyDescent="0.25">
      <c r="B385" s="39" t="str">
        <f>IF('VISA CARDS (LIBRI CSV)'!$B385&lt;&gt;"",'VISA CARDS (LIBRI CSV)'!B385,"")</f>
        <v/>
      </c>
      <c r="C385" s="39" t="str">
        <f>IF('VISA CARDS (LIBRI CSV)'!$B385&lt;&gt;"",'VISA CARDS (LIBRI CSV)'!C385,"")</f>
        <v/>
      </c>
      <c r="D385" s="39" t="str">
        <f>IF('VISA CARDS (LIBRI CSV)'!$B385&lt;&gt;"",'VISA CARDS (LIBRI CSV)'!D385,"")</f>
        <v/>
      </c>
      <c r="E385" s="40" t="str">
        <f>IF('VISA CARDS (LIBRI CSV)'!$H385&lt;&gt;"",'VISA CARDS (LIBRI CSV)'!H385,"")</f>
        <v/>
      </c>
    </row>
    <row r="386" spans="2:5" x14ac:dyDescent="0.25">
      <c r="B386" s="39" t="str">
        <f>IF('VISA CARDS (LIBRI CSV)'!$B386&lt;&gt;"",'VISA CARDS (LIBRI CSV)'!B386,"")</f>
        <v/>
      </c>
      <c r="C386" s="39" t="str">
        <f>IF('VISA CARDS (LIBRI CSV)'!$B386&lt;&gt;"",'VISA CARDS (LIBRI CSV)'!C386,"")</f>
        <v/>
      </c>
      <c r="D386" s="39" t="str">
        <f>IF('VISA CARDS (LIBRI CSV)'!$B386&lt;&gt;"",'VISA CARDS (LIBRI CSV)'!D386,"")</f>
        <v/>
      </c>
      <c r="E386" s="40" t="str">
        <f>IF('VISA CARDS (LIBRI CSV)'!$H386&lt;&gt;"",'VISA CARDS (LIBRI CSV)'!H386,"")</f>
        <v/>
      </c>
    </row>
    <row r="387" spans="2:5" x14ac:dyDescent="0.25">
      <c r="B387" s="39" t="str">
        <f>IF('VISA CARDS (LIBRI CSV)'!$B387&lt;&gt;"",'VISA CARDS (LIBRI CSV)'!B387,"")</f>
        <v/>
      </c>
      <c r="C387" s="39" t="str">
        <f>IF('VISA CARDS (LIBRI CSV)'!$B387&lt;&gt;"",'VISA CARDS (LIBRI CSV)'!C387,"")</f>
        <v/>
      </c>
      <c r="D387" s="39" t="str">
        <f>IF('VISA CARDS (LIBRI CSV)'!$B387&lt;&gt;"",'VISA CARDS (LIBRI CSV)'!D387,"")</f>
        <v/>
      </c>
      <c r="E387" s="40" t="str">
        <f>IF('VISA CARDS (LIBRI CSV)'!$H387&lt;&gt;"",'VISA CARDS (LIBRI CSV)'!H387,"")</f>
        <v/>
      </c>
    </row>
    <row r="388" spans="2:5" x14ac:dyDescent="0.25">
      <c r="B388" s="39" t="str">
        <f>IF('VISA CARDS (LIBRI CSV)'!$B388&lt;&gt;"",'VISA CARDS (LIBRI CSV)'!B388,"")</f>
        <v/>
      </c>
      <c r="C388" s="39" t="str">
        <f>IF('VISA CARDS (LIBRI CSV)'!$B388&lt;&gt;"",'VISA CARDS (LIBRI CSV)'!C388,"")</f>
        <v/>
      </c>
      <c r="D388" s="39" t="str">
        <f>IF('VISA CARDS (LIBRI CSV)'!$B388&lt;&gt;"",'VISA CARDS (LIBRI CSV)'!D388,"")</f>
        <v/>
      </c>
      <c r="E388" s="40" t="str">
        <f>IF('VISA CARDS (LIBRI CSV)'!$H388&lt;&gt;"",'VISA CARDS (LIBRI CSV)'!H388,"")</f>
        <v/>
      </c>
    </row>
    <row r="389" spans="2:5" x14ac:dyDescent="0.25">
      <c r="B389" s="39" t="str">
        <f>IF('VISA CARDS (LIBRI CSV)'!$B389&lt;&gt;"",'VISA CARDS (LIBRI CSV)'!B389,"")</f>
        <v/>
      </c>
      <c r="C389" s="39" t="str">
        <f>IF('VISA CARDS (LIBRI CSV)'!$B389&lt;&gt;"",'VISA CARDS (LIBRI CSV)'!C389,"")</f>
        <v/>
      </c>
      <c r="D389" s="39" t="str">
        <f>IF('VISA CARDS (LIBRI CSV)'!$B389&lt;&gt;"",'VISA CARDS (LIBRI CSV)'!D389,"")</f>
        <v/>
      </c>
      <c r="E389" s="40" t="str">
        <f>IF('VISA CARDS (LIBRI CSV)'!$H389&lt;&gt;"",'VISA CARDS (LIBRI CSV)'!H389,"")</f>
        <v/>
      </c>
    </row>
    <row r="390" spans="2:5" x14ac:dyDescent="0.25">
      <c r="B390" s="39" t="str">
        <f>IF('VISA CARDS (LIBRI CSV)'!$B390&lt;&gt;"",'VISA CARDS (LIBRI CSV)'!B390,"")</f>
        <v/>
      </c>
      <c r="C390" s="39" t="str">
        <f>IF('VISA CARDS (LIBRI CSV)'!$B390&lt;&gt;"",'VISA CARDS (LIBRI CSV)'!C390,"")</f>
        <v/>
      </c>
      <c r="D390" s="39" t="str">
        <f>IF('VISA CARDS (LIBRI CSV)'!$B390&lt;&gt;"",'VISA CARDS (LIBRI CSV)'!D390,"")</f>
        <v/>
      </c>
      <c r="E390" s="40" t="str">
        <f>IF('VISA CARDS (LIBRI CSV)'!$H390&lt;&gt;"",'VISA CARDS (LIBRI CSV)'!H390,"")</f>
        <v/>
      </c>
    </row>
    <row r="391" spans="2:5" x14ac:dyDescent="0.25">
      <c r="B391" s="39" t="str">
        <f>IF('VISA CARDS (LIBRI CSV)'!$B391&lt;&gt;"",'VISA CARDS (LIBRI CSV)'!B391,"")</f>
        <v/>
      </c>
      <c r="C391" s="39" t="str">
        <f>IF('VISA CARDS (LIBRI CSV)'!$B391&lt;&gt;"",'VISA CARDS (LIBRI CSV)'!C391,"")</f>
        <v/>
      </c>
      <c r="D391" s="39" t="str">
        <f>IF('VISA CARDS (LIBRI CSV)'!$B391&lt;&gt;"",'VISA CARDS (LIBRI CSV)'!D391,"")</f>
        <v/>
      </c>
      <c r="E391" s="40" t="str">
        <f>IF('VISA CARDS (LIBRI CSV)'!$H391&lt;&gt;"",'VISA CARDS (LIBRI CSV)'!H391,"")</f>
        <v/>
      </c>
    </row>
    <row r="392" spans="2:5" x14ac:dyDescent="0.25">
      <c r="B392" s="39" t="str">
        <f>IF('VISA CARDS (LIBRI CSV)'!$B392&lt;&gt;"",'VISA CARDS (LIBRI CSV)'!B392,"")</f>
        <v/>
      </c>
      <c r="C392" s="39" t="str">
        <f>IF('VISA CARDS (LIBRI CSV)'!$B392&lt;&gt;"",'VISA CARDS (LIBRI CSV)'!C392,"")</f>
        <v/>
      </c>
      <c r="D392" s="39" t="str">
        <f>IF('VISA CARDS (LIBRI CSV)'!$B392&lt;&gt;"",'VISA CARDS (LIBRI CSV)'!D392,"")</f>
        <v/>
      </c>
      <c r="E392" s="40" t="str">
        <f>IF('VISA CARDS (LIBRI CSV)'!$H392&lt;&gt;"",'VISA CARDS (LIBRI CSV)'!H392,"")</f>
        <v/>
      </c>
    </row>
    <row r="393" spans="2:5" x14ac:dyDescent="0.25">
      <c r="B393" s="39" t="str">
        <f>IF('VISA CARDS (LIBRI CSV)'!$B393&lt;&gt;"",'VISA CARDS (LIBRI CSV)'!B393,"")</f>
        <v/>
      </c>
      <c r="C393" s="39" t="str">
        <f>IF('VISA CARDS (LIBRI CSV)'!$B393&lt;&gt;"",'VISA CARDS (LIBRI CSV)'!C393,"")</f>
        <v/>
      </c>
      <c r="D393" s="39" t="str">
        <f>IF('VISA CARDS (LIBRI CSV)'!$B393&lt;&gt;"",'VISA CARDS (LIBRI CSV)'!D393,"")</f>
        <v/>
      </c>
      <c r="E393" s="40" t="str">
        <f>IF('VISA CARDS (LIBRI CSV)'!$H393&lt;&gt;"",'VISA CARDS (LIBRI CSV)'!H393,"")</f>
        <v/>
      </c>
    </row>
    <row r="394" spans="2:5" x14ac:dyDescent="0.25">
      <c r="B394" s="39" t="str">
        <f>IF('VISA CARDS (LIBRI CSV)'!$B394&lt;&gt;"",'VISA CARDS (LIBRI CSV)'!B394,"")</f>
        <v/>
      </c>
      <c r="C394" s="39" t="str">
        <f>IF('VISA CARDS (LIBRI CSV)'!$B394&lt;&gt;"",'VISA CARDS (LIBRI CSV)'!C394,"")</f>
        <v/>
      </c>
      <c r="D394" s="39" t="str">
        <f>IF('VISA CARDS (LIBRI CSV)'!$B394&lt;&gt;"",'VISA CARDS (LIBRI CSV)'!D394,"")</f>
        <v/>
      </c>
      <c r="E394" s="40" t="str">
        <f>IF('VISA CARDS (LIBRI CSV)'!$H394&lt;&gt;"",'VISA CARDS (LIBRI CSV)'!H394,"")</f>
        <v/>
      </c>
    </row>
    <row r="395" spans="2:5" x14ac:dyDescent="0.25">
      <c r="B395" s="39" t="str">
        <f>IF('VISA CARDS (LIBRI CSV)'!$B395&lt;&gt;"",'VISA CARDS (LIBRI CSV)'!B395,"")</f>
        <v/>
      </c>
      <c r="C395" s="39" t="str">
        <f>IF('VISA CARDS (LIBRI CSV)'!$B395&lt;&gt;"",'VISA CARDS (LIBRI CSV)'!C395,"")</f>
        <v/>
      </c>
      <c r="D395" s="39" t="str">
        <f>IF('VISA CARDS (LIBRI CSV)'!$B395&lt;&gt;"",'VISA CARDS (LIBRI CSV)'!D395,"")</f>
        <v/>
      </c>
      <c r="E395" s="40" t="str">
        <f>IF('VISA CARDS (LIBRI CSV)'!$H395&lt;&gt;"",'VISA CARDS (LIBRI CSV)'!H395,"")</f>
        <v/>
      </c>
    </row>
    <row r="396" spans="2:5" x14ac:dyDescent="0.25">
      <c r="B396" s="39" t="str">
        <f>IF('VISA CARDS (LIBRI CSV)'!$B396&lt;&gt;"",'VISA CARDS (LIBRI CSV)'!B396,"")</f>
        <v/>
      </c>
      <c r="C396" s="39" t="str">
        <f>IF('VISA CARDS (LIBRI CSV)'!$B396&lt;&gt;"",'VISA CARDS (LIBRI CSV)'!C396,"")</f>
        <v/>
      </c>
      <c r="D396" s="39" t="str">
        <f>IF('VISA CARDS (LIBRI CSV)'!$B396&lt;&gt;"",'VISA CARDS (LIBRI CSV)'!D396,"")</f>
        <v/>
      </c>
      <c r="E396" s="40" t="str">
        <f>IF('VISA CARDS (LIBRI CSV)'!$H396&lt;&gt;"",'VISA CARDS (LIBRI CSV)'!H396,"")</f>
        <v/>
      </c>
    </row>
    <row r="397" spans="2:5" x14ac:dyDescent="0.25">
      <c r="B397" s="39" t="str">
        <f>IF('VISA CARDS (LIBRI CSV)'!$B397&lt;&gt;"",'VISA CARDS (LIBRI CSV)'!B397,"")</f>
        <v/>
      </c>
      <c r="C397" s="39" t="str">
        <f>IF('VISA CARDS (LIBRI CSV)'!$B397&lt;&gt;"",'VISA CARDS (LIBRI CSV)'!C397,"")</f>
        <v/>
      </c>
      <c r="D397" s="39" t="str">
        <f>IF('VISA CARDS (LIBRI CSV)'!$B397&lt;&gt;"",'VISA CARDS (LIBRI CSV)'!D397,"")</f>
        <v/>
      </c>
      <c r="E397" s="40" t="str">
        <f>IF('VISA CARDS (LIBRI CSV)'!$H397&lt;&gt;"",'VISA CARDS (LIBRI CSV)'!H397,"")</f>
        <v/>
      </c>
    </row>
    <row r="398" spans="2:5" x14ac:dyDescent="0.25">
      <c r="B398" s="39" t="str">
        <f>IF('VISA CARDS (LIBRI CSV)'!$B398&lt;&gt;"",'VISA CARDS (LIBRI CSV)'!B398,"")</f>
        <v/>
      </c>
      <c r="C398" s="39" t="str">
        <f>IF('VISA CARDS (LIBRI CSV)'!$B398&lt;&gt;"",'VISA CARDS (LIBRI CSV)'!C398,"")</f>
        <v/>
      </c>
      <c r="D398" s="39" t="str">
        <f>IF('VISA CARDS (LIBRI CSV)'!$B398&lt;&gt;"",'VISA CARDS (LIBRI CSV)'!D398,"")</f>
        <v/>
      </c>
      <c r="E398" s="40" t="str">
        <f>IF('VISA CARDS (LIBRI CSV)'!$H398&lt;&gt;"",'VISA CARDS (LIBRI CSV)'!H398,"")</f>
        <v/>
      </c>
    </row>
    <row r="399" spans="2:5" x14ac:dyDescent="0.25">
      <c r="B399" s="39" t="str">
        <f>IF('VISA CARDS (LIBRI CSV)'!$B399&lt;&gt;"",'VISA CARDS (LIBRI CSV)'!B399,"")</f>
        <v/>
      </c>
      <c r="C399" s="39" t="str">
        <f>IF('VISA CARDS (LIBRI CSV)'!$B399&lt;&gt;"",'VISA CARDS (LIBRI CSV)'!C399,"")</f>
        <v/>
      </c>
      <c r="D399" s="39" t="str">
        <f>IF('VISA CARDS (LIBRI CSV)'!$B399&lt;&gt;"",'VISA CARDS (LIBRI CSV)'!D399,"")</f>
        <v/>
      </c>
      <c r="E399" s="40" t="str">
        <f>IF('VISA CARDS (LIBRI CSV)'!$H399&lt;&gt;"",'VISA CARDS (LIBRI CSV)'!H399,"")</f>
        <v/>
      </c>
    </row>
    <row r="400" spans="2:5" x14ac:dyDescent="0.25">
      <c r="B400" s="39" t="str">
        <f>IF('VISA CARDS (LIBRI CSV)'!$B400&lt;&gt;"",'VISA CARDS (LIBRI CSV)'!B400,"")</f>
        <v/>
      </c>
      <c r="C400" s="39" t="str">
        <f>IF('VISA CARDS (LIBRI CSV)'!$B400&lt;&gt;"",'VISA CARDS (LIBRI CSV)'!C400,"")</f>
        <v/>
      </c>
      <c r="D400" s="39" t="str">
        <f>IF('VISA CARDS (LIBRI CSV)'!$B400&lt;&gt;"",'VISA CARDS (LIBRI CSV)'!D400,"")</f>
        <v/>
      </c>
      <c r="E400" s="40" t="str">
        <f>IF('VISA CARDS (LIBRI CSV)'!$H400&lt;&gt;"",'VISA CARDS (LIBRI CSV)'!H400,"")</f>
        <v/>
      </c>
    </row>
    <row r="401" spans="2:5" x14ac:dyDescent="0.25">
      <c r="B401" s="39" t="str">
        <f>IF('VISA CARDS (LIBRI CSV)'!$B401&lt;&gt;"",'VISA CARDS (LIBRI CSV)'!B401,"")</f>
        <v/>
      </c>
      <c r="C401" s="39" t="str">
        <f>IF('VISA CARDS (LIBRI CSV)'!$B401&lt;&gt;"",'VISA CARDS (LIBRI CSV)'!C401,"")</f>
        <v/>
      </c>
      <c r="D401" s="39" t="str">
        <f>IF('VISA CARDS (LIBRI CSV)'!$B401&lt;&gt;"",'VISA CARDS (LIBRI CSV)'!D401,"")</f>
        <v/>
      </c>
      <c r="E401" s="40" t="str">
        <f>IF('VISA CARDS (LIBRI CSV)'!$H401&lt;&gt;"",'VISA CARDS (LIBRI CSV)'!H401,"")</f>
        <v/>
      </c>
    </row>
    <row r="402" spans="2:5" x14ac:dyDescent="0.25">
      <c r="B402" s="39" t="str">
        <f>IF('VISA CARDS (LIBRI CSV)'!$B402&lt;&gt;"",'VISA CARDS (LIBRI CSV)'!B402,"")</f>
        <v/>
      </c>
      <c r="C402" s="39" t="str">
        <f>IF('VISA CARDS (LIBRI CSV)'!$B402&lt;&gt;"",'VISA CARDS (LIBRI CSV)'!C402,"")</f>
        <v/>
      </c>
      <c r="D402" s="39" t="str">
        <f>IF('VISA CARDS (LIBRI CSV)'!$B402&lt;&gt;"",'VISA CARDS (LIBRI CSV)'!D402,"")</f>
        <v/>
      </c>
      <c r="E402" s="40" t="str">
        <f>IF('VISA CARDS (LIBRI CSV)'!$H402&lt;&gt;"",'VISA CARDS (LIBRI CSV)'!H402,"")</f>
        <v/>
      </c>
    </row>
    <row r="403" spans="2:5" x14ac:dyDescent="0.25">
      <c r="B403" s="39" t="str">
        <f>IF('VISA CARDS (LIBRI CSV)'!$B403&lt;&gt;"",'VISA CARDS (LIBRI CSV)'!B403,"")</f>
        <v/>
      </c>
      <c r="C403" s="39" t="str">
        <f>IF('VISA CARDS (LIBRI CSV)'!$B403&lt;&gt;"",'VISA CARDS (LIBRI CSV)'!C403,"")</f>
        <v/>
      </c>
      <c r="D403" s="39" t="str">
        <f>IF('VISA CARDS (LIBRI CSV)'!$B403&lt;&gt;"",'VISA CARDS (LIBRI CSV)'!D403,"")</f>
        <v/>
      </c>
      <c r="E403" s="40" t="str">
        <f>IF('VISA CARDS (LIBRI CSV)'!$H403&lt;&gt;"",'VISA CARDS (LIBRI CSV)'!H403,"")</f>
        <v/>
      </c>
    </row>
    <row r="404" spans="2:5" x14ac:dyDescent="0.25">
      <c r="B404" s="39" t="str">
        <f>IF('VISA CARDS (LIBRI CSV)'!$B404&lt;&gt;"",'VISA CARDS (LIBRI CSV)'!B404,"")</f>
        <v/>
      </c>
      <c r="C404" s="39" t="str">
        <f>IF('VISA CARDS (LIBRI CSV)'!$B404&lt;&gt;"",'VISA CARDS (LIBRI CSV)'!C404,"")</f>
        <v/>
      </c>
      <c r="D404" s="39" t="str">
        <f>IF('VISA CARDS (LIBRI CSV)'!$B404&lt;&gt;"",'VISA CARDS (LIBRI CSV)'!D404,"")</f>
        <v/>
      </c>
      <c r="E404" s="40" t="str">
        <f>IF('VISA CARDS (LIBRI CSV)'!$H404&lt;&gt;"",'VISA CARDS (LIBRI CSV)'!H404,"")</f>
        <v/>
      </c>
    </row>
    <row r="405" spans="2:5" x14ac:dyDescent="0.25">
      <c r="B405" s="39" t="str">
        <f>IF('VISA CARDS (LIBRI CSV)'!$B405&lt;&gt;"",'VISA CARDS (LIBRI CSV)'!B405,"")</f>
        <v/>
      </c>
      <c r="C405" s="39" t="str">
        <f>IF('VISA CARDS (LIBRI CSV)'!$B405&lt;&gt;"",'VISA CARDS (LIBRI CSV)'!C405,"")</f>
        <v/>
      </c>
      <c r="D405" s="39" t="str">
        <f>IF('VISA CARDS (LIBRI CSV)'!$B405&lt;&gt;"",'VISA CARDS (LIBRI CSV)'!D405,"")</f>
        <v/>
      </c>
      <c r="E405" s="40" t="str">
        <f>IF('VISA CARDS (LIBRI CSV)'!$H405&lt;&gt;"",'VISA CARDS (LIBRI CSV)'!H405,"")</f>
        <v/>
      </c>
    </row>
    <row r="406" spans="2:5" x14ac:dyDescent="0.25">
      <c r="B406" s="39" t="str">
        <f>IF('VISA CARDS (LIBRI CSV)'!$B406&lt;&gt;"",'VISA CARDS (LIBRI CSV)'!B406,"")</f>
        <v/>
      </c>
      <c r="C406" s="39" t="str">
        <f>IF('VISA CARDS (LIBRI CSV)'!$B406&lt;&gt;"",'VISA CARDS (LIBRI CSV)'!C406,"")</f>
        <v/>
      </c>
      <c r="D406" s="39" t="str">
        <f>IF('VISA CARDS (LIBRI CSV)'!$B406&lt;&gt;"",'VISA CARDS (LIBRI CSV)'!D406,"")</f>
        <v/>
      </c>
      <c r="E406" s="40" t="str">
        <f>IF('VISA CARDS (LIBRI CSV)'!$H406&lt;&gt;"",'VISA CARDS (LIBRI CSV)'!H406,"")</f>
        <v/>
      </c>
    </row>
    <row r="407" spans="2:5" x14ac:dyDescent="0.25">
      <c r="B407" s="39" t="str">
        <f>IF('VISA CARDS (LIBRI CSV)'!$B407&lt;&gt;"",'VISA CARDS (LIBRI CSV)'!B407,"")</f>
        <v/>
      </c>
      <c r="C407" s="39" t="str">
        <f>IF('VISA CARDS (LIBRI CSV)'!$B407&lt;&gt;"",'VISA CARDS (LIBRI CSV)'!C407,"")</f>
        <v/>
      </c>
      <c r="D407" s="39" t="str">
        <f>IF('VISA CARDS (LIBRI CSV)'!$B407&lt;&gt;"",'VISA CARDS (LIBRI CSV)'!D407,"")</f>
        <v/>
      </c>
      <c r="E407" s="40" t="str">
        <f>IF('VISA CARDS (LIBRI CSV)'!$H407&lt;&gt;"",'VISA CARDS (LIBRI CSV)'!H407,"")</f>
        <v/>
      </c>
    </row>
    <row r="408" spans="2:5" x14ac:dyDescent="0.25">
      <c r="B408" s="39" t="str">
        <f>IF('VISA CARDS (LIBRI CSV)'!$B408&lt;&gt;"",'VISA CARDS (LIBRI CSV)'!B408,"")</f>
        <v/>
      </c>
      <c r="C408" s="39" t="str">
        <f>IF('VISA CARDS (LIBRI CSV)'!$B408&lt;&gt;"",'VISA CARDS (LIBRI CSV)'!C408,"")</f>
        <v/>
      </c>
      <c r="D408" s="39" t="str">
        <f>IF('VISA CARDS (LIBRI CSV)'!$B408&lt;&gt;"",'VISA CARDS (LIBRI CSV)'!D408,"")</f>
        <v/>
      </c>
      <c r="E408" s="40" t="str">
        <f>IF('VISA CARDS (LIBRI CSV)'!$H408&lt;&gt;"",'VISA CARDS (LIBRI CSV)'!H408,"")</f>
        <v/>
      </c>
    </row>
    <row r="409" spans="2:5" x14ac:dyDescent="0.25">
      <c r="B409" s="39" t="str">
        <f>IF('VISA CARDS (LIBRI CSV)'!$B409&lt;&gt;"",'VISA CARDS (LIBRI CSV)'!B409,"")</f>
        <v/>
      </c>
      <c r="C409" s="39" t="str">
        <f>IF('VISA CARDS (LIBRI CSV)'!$B409&lt;&gt;"",'VISA CARDS (LIBRI CSV)'!C409,"")</f>
        <v/>
      </c>
      <c r="D409" s="39" t="str">
        <f>IF('VISA CARDS (LIBRI CSV)'!$B409&lt;&gt;"",'VISA CARDS (LIBRI CSV)'!D409,"")</f>
        <v/>
      </c>
      <c r="E409" s="40" t="str">
        <f>IF('VISA CARDS (LIBRI CSV)'!$H409&lt;&gt;"",'VISA CARDS (LIBRI CSV)'!H409,"")</f>
        <v/>
      </c>
    </row>
    <row r="410" spans="2:5" x14ac:dyDescent="0.25">
      <c r="B410" s="39" t="str">
        <f>IF('VISA CARDS (LIBRI CSV)'!$B410&lt;&gt;"",'VISA CARDS (LIBRI CSV)'!B410,"")</f>
        <v/>
      </c>
      <c r="C410" s="39" t="str">
        <f>IF('VISA CARDS (LIBRI CSV)'!$B410&lt;&gt;"",'VISA CARDS (LIBRI CSV)'!C410,"")</f>
        <v/>
      </c>
      <c r="D410" s="39" t="str">
        <f>IF('VISA CARDS (LIBRI CSV)'!$B410&lt;&gt;"",'VISA CARDS (LIBRI CSV)'!D410,"")</f>
        <v/>
      </c>
      <c r="E410" s="40" t="str">
        <f>IF('VISA CARDS (LIBRI CSV)'!$H410&lt;&gt;"",'VISA CARDS (LIBRI CSV)'!H410,"")</f>
        <v/>
      </c>
    </row>
    <row r="411" spans="2:5" x14ac:dyDescent="0.25">
      <c r="B411" s="39" t="str">
        <f>IF('VISA CARDS (LIBRI CSV)'!$B411&lt;&gt;"",'VISA CARDS (LIBRI CSV)'!B411,"")</f>
        <v/>
      </c>
      <c r="C411" s="39" t="str">
        <f>IF('VISA CARDS (LIBRI CSV)'!$B411&lt;&gt;"",'VISA CARDS (LIBRI CSV)'!C411,"")</f>
        <v/>
      </c>
      <c r="D411" s="39" t="str">
        <f>IF('VISA CARDS (LIBRI CSV)'!$B411&lt;&gt;"",'VISA CARDS (LIBRI CSV)'!D411,"")</f>
        <v/>
      </c>
      <c r="E411" s="40" t="str">
        <f>IF('VISA CARDS (LIBRI CSV)'!$H411&lt;&gt;"",'VISA CARDS (LIBRI CSV)'!H411,"")</f>
        <v/>
      </c>
    </row>
    <row r="412" spans="2:5" x14ac:dyDescent="0.25">
      <c r="B412" s="39" t="str">
        <f>IF('VISA CARDS (LIBRI CSV)'!$B412&lt;&gt;"",'VISA CARDS (LIBRI CSV)'!B412,"")</f>
        <v/>
      </c>
      <c r="C412" s="39" t="str">
        <f>IF('VISA CARDS (LIBRI CSV)'!$B412&lt;&gt;"",'VISA CARDS (LIBRI CSV)'!C412,"")</f>
        <v/>
      </c>
      <c r="D412" s="39" t="str">
        <f>IF('VISA CARDS (LIBRI CSV)'!$B412&lt;&gt;"",'VISA CARDS (LIBRI CSV)'!D412,"")</f>
        <v/>
      </c>
      <c r="E412" s="40" t="str">
        <f>IF('VISA CARDS (LIBRI CSV)'!$H412&lt;&gt;"",'VISA CARDS (LIBRI CSV)'!H412,"")</f>
        <v/>
      </c>
    </row>
    <row r="413" spans="2:5" x14ac:dyDescent="0.25">
      <c r="B413" s="39" t="str">
        <f>IF('VISA CARDS (LIBRI CSV)'!$B413&lt;&gt;"",'VISA CARDS (LIBRI CSV)'!B413,"")</f>
        <v/>
      </c>
      <c r="C413" s="39" t="str">
        <f>IF('VISA CARDS (LIBRI CSV)'!$B413&lt;&gt;"",'VISA CARDS (LIBRI CSV)'!C413,"")</f>
        <v/>
      </c>
      <c r="D413" s="39" t="str">
        <f>IF('VISA CARDS (LIBRI CSV)'!$B413&lt;&gt;"",'VISA CARDS (LIBRI CSV)'!D413,"")</f>
        <v/>
      </c>
      <c r="E413" s="40" t="str">
        <f>IF('VISA CARDS (LIBRI CSV)'!$H413&lt;&gt;"",'VISA CARDS (LIBRI CSV)'!H413,"")</f>
        <v/>
      </c>
    </row>
    <row r="414" spans="2:5" x14ac:dyDescent="0.25">
      <c r="B414" s="39" t="str">
        <f>IF('VISA CARDS (LIBRI CSV)'!$B414&lt;&gt;"",'VISA CARDS (LIBRI CSV)'!B414,"")</f>
        <v/>
      </c>
      <c r="C414" s="39" t="str">
        <f>IF('VISA CARDS (LIBRI CSV)'!$B414&lt;&gt;"",'VISA CARDS (LIBRI CSV)'!C414,"")</f>
        <v/>
      </c>
      <c r="D414" s="39" t="str">
        <f>IF('VISA CARDS (LIBRI CSV)'!$B414&lt;&gt;"",'VISA CARDS (LIBRI CSV)'!D414,"")</f>
        <v/>
      </c>
      <c r="E414" s="40" t="str">
        <f>IF('VISA CARDS (LIBRI CSV)'!$H414&lt;&gt;"",'VISA CARDS (LIBRI CSV)'!H414,"")</f>
        <v/>
      </c>
    </row>
    <row r="415" spans="2:5" x14ac:dyDescent="0.25">
      <c r="B415" s="39" t="str">
        <f>IF('VISA CARDS (LIBRI CSV)'!$B415&lt;&gt;"",'VISA CARDS (LIBRI CSV)'!B415,"")</f>
        <v/>
      </c>
      <c r="C415" s="39" t="str">
        <f>IF('VISA CARDS (LIBRI CSV)'!$B415&lt;&gt;"",'VISA CARDS (LIBRI CSV)'!C415,"")</f>
        <v/>
      </c>
      <c r="D415" s="39" t="str">
        <f>IF('VISA CARDS (LIBRI CSV)'!$B415&lt;&gt;"",'VISA CARDS (LIBRI CSV)'!D415,"")</f>
        <v/>
      </c>
      <c r="E415" s="40" t="str">
        <f>IF('VISA CARDS (LIBRI CSV)'!$H415&lt;&gt;"",'VISA CARDS (LIBRI CSV)'!H415,"")</f>
        <v/>
      </c>
    </row>
    <row r="416" spans="2:5" x14ac:dyDescent="0.25">
      <c r="B416" s="39" t="str">
        <f>IF('VISA CARDS (LIBRI CSV)'!$B416&lt;&gt;"",'VISA CARDS (LIBRI CSV)'!B416,"")</f>
        <v/>
      </c>
      <c r="C416" s="39" t="str">
        <f>IF('VISA CARDS (LIBRI CSV)'!$B416&lt;&gt;"",'VISA CARDS (LIBRI CSV)'!C416,"")</f>
        <v/>
      </c>
      <c r="D416" s="39" t="str">
        <f>IF('VISA CARDS (LIBRI CSV)'!$B416&lt;&gt;"",'VISA CARDS (LIBRI CSV)'!D416,"")</f>
        <v/>
      </c>
      <c r="E416" s="40" t="str">
        <f>IF('VISA CARDS (LIBRI CSV)'!$H416&lt;&gt;"",'VISA CARDS (LIBRI CSV)'!H416,"")</f>
        <v/>
      </c>
    </row>
    <row r="417" spans="2:5" x14ac:dyDescent="0.25">
      <c r="B417" s="39" t="str">
        <f>IF('VISA CARDS (LIBRI CSV)'!$B417&lt;&gt;"",'VISA CARDS (LIBRI CSV)'!B417,"")</f>
        <v/>
      </c>
      <c r="C417" s="39" t="str">
        <f>IF('VISA CARDS (LIBRI CSV)'!$B417&lt;&gt;"",'VISA CARDS (LIBRI CSV)'!C417,"")</f>
        <v/>
      </c>
      <c r="D417" s="39" t="str">
        <f>IF('VISA CARDS (LIBRI CSV)'!$B417&lt;&gt;"",'VISA CARDS (LIBRI CSV)'!D417,"")</f>
        <v/>
      </c>
      <c r="E417" s="40" t="str">
        <f>IF('VISA CARDS (LIBRI CSV)'!$H417&lt;&gt;"",'VISA CARDS (LIBRI CSV)'!H417,"")</f>
        <v/>
      </c>
    </row>
    <row r="418" spans="2:5" x14ac:dyDescent="0.25">
      <c r="B418" s="39" t="str">
        <f>IF('VISA CARDS (LIBRI CSV)'!$B418&lt;&gt;"",'VISA CARDS (LIBRI CSV)'!B418,"")</f>
        <v/>
      </c>
      <c r="C418" s="39" t="str">
        <f>IF('VISA CARDS (LIBRI CSV)'!$B418&lt;&gt;"",'VISA CARDS (LIBRI CSV)'!C418,"")</f>
        <v/>
      </c>
      <c r="D418" s="39" t="str">
        <f>IF('VISA CARDS (LIBRI CSV)'!$B418&lt;&gt;"",'VISA CARDS (LIBRI CSV)'!D418,"")</f>
        <v/>
      </c>
      <c r="E418" s="40" t="str">
        <f>IF('VISA CARDS (LIBRI CSV)'!$H418&lt;&gt;"",'VISA CARDS (LIBRI CSV)'!H418,"")</f>
        <v/>
      </c>
    </row>
    <row r="419" spans="2:5" x14ac:dyDescent="0.25">
      <c r="B419" s="39" t="str">
        <f>IF('VISA CARDS (LIBRI CSV)'!$B419&lt;&gt;"",'VISA CARDS (LIBRI CSV)'!B419,"")</f>
        <v/>
      </c>
      <c r="C419" s="39" t="str">
        <f>IF('VISA CARDS (LIBRI CSV)'!$B419&lt;&gt;"",'VISA CARDS (LIBRI CSV)'!C419,"")</f>
        <v/>
      </c>
      <c r="D419" s="39" t="str">
        <f>IF('VISA CARDS (LIBRI CSV)'!$B419&lt;&gt;"",'VISA CARDS (LIBRI CSV)'!D419,"")</f>
        <v/>
      </c>
      <c r="E419" s="40" t="str">
        <f>IF('VISA CARDS (LIBRI CSV)'!$H419&lt;&gt;"",'VISA CARDS (LIBRI CSV)'!H419,"")</f>
        <v/>
      </c>
    </row>
    <row r="420" spans="2:5" x14ac:dyDescent="0.25">
      <c r="B420" s="39" t="str">
        <f>IF('VISA CARDS (LIBRI CSV)'!$B420&lt;&gt;"",'VISA CARDS (LIBRI CSV)'!B420,"")</f>
        <v/>
      </c>
      <c r="C420" s="39" t="str">
        <f>IF('VISA CARDS (LIBRI CSV)'!$B420&lt;&gt;"",'VISA CARDS (LIBRI CSV)'!C420,"")</f>
        <v/>
      </c>
      <c r="D420" s="39" t="str">
        <f>IF('VISA CARDS (LIBRI CSV)'!$B420&lt;&gt;"",'VISA CARDS (LIBRI CSV)'!D420,"")</f>
        <v/>
      </c>
      <c r="E420" s="40" t="str">
        <f>IF('VISA CARDS (LIBRI CSV)'!$H420&lt;&gt;"",'VISA CARDS (LIBRI CSV)'!H420,"")</f>
        <v/>
      </c>
    </row>
    <row r="421" spans="2:5" x14ac:dyDescent="0.25">
      <c r="B421" s="39" t="str">
        <f>IF('VISA CARDS (LIBRI CSV)'!$B421&lt;&gt;"",'VISA CARDS (LIBRI CSV)'!B421,"")</f>
        <v/>
      </c>
      <c r="C421" s="39" t="str">
        <f>IF('VISA CARDS (LIBRI CSV)'!$B421&lt;&gt;"",'VISA CARDS (LIBRI CSV)'!C421,"")</f>
        <v/>
      </c>
      <c r="D421" s="39" t="str">
        <f>IF('VISA CARDS (LIBRI CSV)'!$B421&lt;&gt;"",'VISA CARDS (LIBRI CSV)'!D421,"")</f>
        <v/>
      </c>
      <c r="E421" s="40" t="str">
        <f>IF('VISA CARDS (LIBRI CSV)'!$H421&lt;&gt;"",'VISA CARDS (LIBRI CSV)'!H421,"")</f>
        <v/>
      </c>
    </row>
    <row r="422" spans="2:5" x14ac:dyDescent="0.25">
      <c r="B422" s="39" t="str">
        <f>IF('VISA CARDS (LIBRI CSV)'!$B422&lt;&gt;"",'VISA CARDS (LIBRI CSV)'!B422,"")</f>
        <v/>
      </c>
      <c r="C422" s="39" t="str">
        <f>IF('VISA CARDS (LIBRI CSV)'!$B422&lt;&gt;"",'VISA CARDS (LIBRI CSV)'!C422,"")</f>
        <v/>
      </c>
      <c r="D422" s="39" t="str">
        <f>IF('VISA CARDS (LIBRI CSV)'!$B422&lt;&gt;"",'VISA CARDS (LIBRI CSV)'!D422,"")</f>
        <v/>
      </c>
      <c r="E422" s="40" t="str">
        <f>IF('VISA CARDS (LIBRI CSV)'!$H422&lt;&gt;"",'VISA CARDS (LIBRI CSV)'!H422,"")</f>
        <v/>
      </c>
    </row>
    <row r="423" spans="2:5" x14ac:dyDescent="0.25">
      <c r="B423" s="39" t="str">
        <f>IF('VISA CARDS (LIBRI CSV)'!$B423&lt;&gt;"",'VISA CARDS (LIBRI CSV)'!B423,"")</f>
        <v/>
      </c>
      <c r="C423" s="39" t="str">
        <f>IF('VISA CARDS (LIBRI CSV)'!$B423&lt;&gt;"",'VISA CARDS (LIBRI CSV)'!C423,"")</f>
        <v/>
      </c>
      <c r="D423" s="39" t="str">
        <f>IF('VISA CARDS (LIBRI CSV)'!$B423&lt;&gt;"",'VISA CARDS (LIBRI CSV)'!D423,"")</f>
        <v/>
      </c>
      <c r="E423" s="40" t="str">
        <f>IF('VISA CARDS (LIBRI CSV)'!$H423&lt;&gt;"",'VISA CARDS (LIBRI CSV)'!H423,"")</f>
        <v/>
      </c>
    </row>
    <row r="424" spans="2:5" x14ac:dyDescent="0.25">
      <c r="B424" s="39" t="str">
        <f>IF('VISA CARDS (LIBRI CSV)'!$B424&lt;&gt;"",'VISA CARDS (LIBRI CSV)'!B424,"")</f>
        <v/>
      </c>
      <c r="C424" s="39" t="str">
        <f>IF('VISA CARDS (LIBRI CSV)'!$B424&lt;&gt;"",'VISA CARDS (LIBRI CSV)'!C424,"")</f>
        <v/>
      </c>
      <c r="D424" s="39" t="str">
        <f>IF('VISA CARDS (LIBRI CSV)'!$B424&lt;&gt;"",'VISA CARDS (LIBRI CSV)'!D424,"")</f>
        <v/>
      </c>
      <c r="E424" s="40" t="str">
        <f>IF('VISA CARDS (LIBRI CSV)'!$H424&lt;&gt;"",'VISA CARDS (LIBRI CSV)'!H424,"")</f>
        <v/>
      </c>
    </row>
    <row r="425" spans="2:5" x14ac:dyDescent="0.25">
      <c r="B425" s="39" t="str">
        <f>IF('VISA CARDS (LIBRI CSV)'!$B425&lt;&gt;"",'VISA CARDS (LIBRI CSV)'!B425,"")</f>
        <v/>
      </c>
      <c r="C425" s="39" t="str">
        <f>IF('VISA CARDS (LIBRI CSV)'!$B425&lt;&gt;"",'VISA CARDS (LIBRI CSV)'!C425,"")</f>
        <v/>
      </c>
      <c r="D425" s="39" t="str">
        <f>IF('VISA CARDS (LIBRI CSV)'!$B425&lt;&gt;"",'VISA CARDS (LIBRI CSV)'!D425,"")</f>
        <v/>
      </c>
      <c r="E425" s="40" t="str">
        <f>IF('VISA CARDS (LIBRI CSV)'!$H425&lt;&gt;"",'VISA CARDS (LIBRI CSV)'!H425,"")</f>
        <v/>
      </c>
    </row>
    <row r="426" spans="2:5" x14ac:dyDescent="0.25">
      <c r="B426" s="39" t="str">
        <f>IF('VISA CARDS (LIBRI CSV)'!$B426&lt;&gt;"",'VISA CARDS (LIBRI CSV)'!B426,"")</f>
        <v/>
      </c>
      <c r="C426" s="39" t="str">
        <f>IF('VISA CARDS (LIBRI CSV)'!$B426&lt;&gt;"",'VISA CARDS (LIBRI CSV)'!C426,"")</f>
        <v/>
      </c>
      <c r="D426" s="39" t="str">
        <f>IF('VISA CARDS (LIBRI CSV)'!$B426&lt;&gt;"",'VISA CARDS (LIBRI CSV)'!D426,"")</f>
        <v/>
      </c>
      <c r="E426" s="40" t="str">
        <f>IF('VISA CARDS (LIBRI CSV)'!$H426&lt;&gt;"",'VISA CARDS (LIBRI CSV)'!H426,"")</f>
        <v/>
      </c>
    </row>
    <row r="427" spans="2:5" x14ac:dyDescent="0.25">
      <c r="B427" s="39" t="str">
        <f>IF('VISA CARDS (LIBRI CSV)'!$B427&lt;&gt;"",'VISA CARDS (LIBRI CSV)'!B427,"")</f>
        <v/>
      </c>
      <c r="C427" s="39" t="str">
        <f>IF('VISA CARDS (LIBRI CSV)'!$B427&lt;&gt;"",'VISA CARDS (LIBRI CSV)'!C427,"")</f>
        <v/>
      </c>
      <c r="D427" s="39" t="str">
        <f>IF('VISA CARDS (LIBRI CSV)'!$B427&lt;&gt;"",'VISA CARDS (LIBRI CSV)'!D427,"")</f>
        <v/>
      </c>
      <c r="E427" s="40" t="str">
        <f>IF('VISA CARDS (LIBRI CSV)'!$H427&lt;&gt;"",'VISA CARDS (LIBRI CSV)'!H427,"")</f>
        <v/>
      </c>
    </row>
    <row r="428" spans="2:5" x14ac:dyDescent="0.25">
      <c r="B428" s="39" t="str">
        <f>IF('VISA CARDS (LIBRI CSV)'!$B428&lt;&gt;"",'VISA CARDS (LIBRI CSV)'!B428,"")</f>
        <v/>
      </c>
      <c r="C428" s="39" t="str">
        <f>IF('VISA CARDS (LIBRI CSV)'!$B428&lt;&gt;"",'VISA CARDS (LIBRI CSV)'!C428,"")</f>
        <v/>
      </c>
      <c r="D428" s="39" t="str">
        <f>IF('VISA CARDS (LIBRI CSV)'!$B428&lt;&gt;"",'VISA CARDS (LIBRI CSV)'!D428,"")</f>
        <v/>
      </c>
      <c r="E428" s="40" t="str">
        <f>IF('VISA CARDS (LIBRI CSV)'!$H428&lt;&gt;"",'VISA CARDS (LIBRI CSV)'!H428,"")</f>
        <v/>
      </c>
    </row>
    <row r="429" spans="2:5" x14ac:dyDescent="0.25">
      <c r="B429" s="39" t="str">
        <f>IF('VISA CARDS (LIBRI CSV)'!$B429&lt;&gt;"",'VISA CARDS (LIBRI CSV)'!B429,"")</f>
        <v/>
      </c>
      <c r="C429" s="39" t="str">
        <f>IF('VISA CARDS (LIBRI CSV)'!$B429&lt;&gt;"",'VISA CARDS (LIBRI CSV)'!C429,"")</f>
        <v/>
      </c>
      <c r="D429" s="39" t="str">
        <f>IF('VISA CARDS (LIBRI CSV)'!$B429&lt;&gt;"",'VISA CARDS (LIBRI CSV)'!D429,"")</f>
        <v/>
      </c>
      <c r="E429" s="40" t="str">
        <f>IF('VISA CARDS (LIBRI CSV)'!$H429&lt;&gt;"",'VISA CARDS (LIBRI CSV)'!H429,"")</f>
        <v/>
      </c>
    </row>
    <row r="430" spans="2:5" x14ac:dyDescent="0.25">
      <c r="B430" s="39" t="str">
        <f>IF('VISA CARDS (LIBRI CSV)'!$B430&lt;&gt;"",'VISA CARDS (LIBRI CSV)'!B430,"")</f>
        <v/>
      </c>
      <c r="C430" s="39" t="str">
        <f>IF('VISA CARDS (LIBRI CSV)'!$B430&lt;&gt;"",'VISA CARDS (LIBRI CSV)'!C430,"")</f>
        <v/>
      </c>
      <c r="D430" s="39" t="str">
        <f>IF('VISA CARDS (LIBRI CSV)'!$B430&lt;&gt;"",'VISA CARDS (LIBRI CSV)'!D430,"")</f>
        <v/>
      </c>
      <c r="E430" s="40" t="str">
        <f>IF('VISA CARDS (LIBRI CSV)'!$H430&lt;&gt;"",'VISA CARDS (LIBRI CSV)'!H430,"")</f>
        <v/>
      </c>
    </row>
    <row r="431" spans="2:5" x14ac:dyDescent="0.25">
      <c r="B431" s="39" t="str">
        <f>IF('VISA CARDS (LIBRI CSV)'!$B431&lt;&gt;"",'VISA CARDS (LIBRI CSV)'!B431,"")</f>
        <v/>
      </c>
      <c r="C431" s="39" t="str">
        <f>IF('VISA CARDS (LIBRI CSV)'!$B431&lt;&gt;"",'VISA CARDS (LIBRI CSV)'!C431,"")</f>
        <v/>
      </c>
      <c r="D431" s="39" t="str">
        <f>IF('VISA CARDS (LIBRI CSV)'!$B431&lt;&gt;"",'VISA CARDS (LIBRI CSV)'!D431,"")</f>
        <v/>
      </c>
      <c r="E431" s="40" t="str">
        <f>IF('VISA CARDS (LIBRI CSV)'!$H431&lt;&gt;"",'VISA CARDS (LIBRI CSV)'!H431,"")</f>
        <v/>
      </c>
    </row>
    <row r="432" spans="2:5" x14ac:dyDescent="0.25">
      <c r="B432" s="39" t="str">
        <f>IF('VISA CARDS (LIBRI CSV)'!$B432&lt;&gt;"",'VISA CARDS (LIBRI CSV)'!B432,"")</f>
        <v/>
      </c>
      <c r="C432" s="39" t="str">
        <f>IF('VISA CARDS (LIBRI CSV)'!$B432&lt;&gt;"",'VISA CARDS (LIBRI CSV)'!C432,"")</f>
        <v/>
      </c>
      <c r="D432" s="39" t="str">
        <f>IF('VISA CARDS (LIBRI CSV)'!$B432&lt;&gt;"",'VISA CARDS (LIBRI CSV)'!D432,"")</f>
        <v/>
      </c>
      <c r="E432" s="40" t="str">
        <f>IF('VISA CARDS (LIBRI CSV)'!$H432&lt;&gt;"",'VISA CARDS (LIBRI CSV)'!H432,"")</f>
        <v/>
      </c>
    </row>
    <row r="433" spans="2:5" x14ac:dyDescent="0.25">
      <c r="B433" s="39" t="str">
        <f>IF('VISA CARDS (LIBRI CSV)'!$B433&lt;&gt;"",'VISA CARDS (LIBRI CSV)'!B433,"")</f>
        <v/>
      </c>
      <c r="C433" s="39" t="str">
        <f>IF('VISA CARDS (LIBRI CSV)'!$B433&lt;&gt;"",'VISA CARDS (LIBRI CSV)'!C433,"")</f>
        <v/>
      </c>
      <c r="D433" s="39" t="str">
        <f>IF('VISA CARDS (LIBRI CSV)'!$B433&lt;&gt;"",'VISA CARDS (LIBRI CSV)'!D433,"")</f>
        <v/>
      </c>
      <c r="E433" s="40" t="str">
        <f>IF('VISA CARDS (LIBRI CSV)'!$H433&lt;&gt;"",'VISA CARDS (LIBRI CSV)'!H433,"")</f>
        <v/>
      </c>
    </row>
    <row r="434" spans="2:5" x14ac:dyDescent="0.25">
      <c r="B434" s="39" t="str">
        <f>IF('VISA CARDS (LIBRI CSV)'!$B434&lt;&gt;"",'VISA CARDS (LIBRI CSV)'!B434,"")</f>
        <v/>
      </c>
      <c r="C434" s="39" t="str">
        <f>IF('VISA CARDS (LIBRI CSV)'!$B434&lt;&gt;"",'VISA CARDS (LIBRI CSV)'!C434,"")</f>
        <v/>
      </c>
      <c r="D434" s="39" t="str">
        <f>IF('VISA CARDS (LIBRI CSV)'!$B434&lt;&gt;"",'VISA CARDS (LIBRI CSV)'!D434,"")</f>
        <v/>
      </c>
      <c r="E434" s="40" t="str">
        <f>IF('VISA CARDS (LIBRI CSV)'!$H434&lt;&gt;"",'VISA CARDS (LIBRI CSV)'!H434,"")</f>
        <v/>
      </c>
    </row>
    <row r="435" spans="2:5" x14ac:dyDescent="0.25">
      <c r="B435" s="39" t="str">
        <f>IF('VISA CARDS (LIBRI CSV)'!$B435&lt;&gt;"",'VISA CARDS (LIBRI CSV)'!B435,"")</f>
        <v/>
      </c>
      <c r="C435" s="39" t="str">
        <f>IF('VISA CARDS (LIBRI CSV)'!$B435&lt;&gt;"",'VISA CARDS (LIBRI CSV)'!C435,"")</f>
        <v/>
      </c>
      <c r="D435" s="39" t="str">
        <f>IF('VISA CARDS (LIBRI CSV)'!$B435&lt;&gt;"",'VISA CARDS (LIBRI CSV)'!D435,"")</f>
        <v/>
      </c>
      <c r="E435" s="40" t="str">
        <f>IF('VISA CARDS (LIBRI CSV)'!$H435&lt;&gt;"",'VISA CARDS (LIBRI CSV)'!H435,"")</f>
        <v/>
      </c>
    </row>
    <row r="436" spans="2:5" x14ac:dyDescent="0.25">
      <c r="B436" s="39" t="str">
        <f>IF('VISA CARDS (LIBRI CSV)'!$B436&lt;&gt;"",'VISA CARDS (LIBRI CSV)'!B436,"")</f>
        <v/>
      </c>
      <c r="C436" s="39" t="str">
        <f>IF('VISA CARDS (LIBRI CSV)'!$B436&lt;&gt;"",'VISA CARDS (LIBRI CSV)'!C436,"")</f>
        <v/>
      </c>
      <c r="D436" s="39" t="str">
        <f>IF('VISA CARDS (LIBRI CSV)'!$B436&lt;&gt;"",'VISA CARDS (LIBRI CSV)'!D436,"")</f>
        <v/>
      </c>
      <c r="E436" s="40" t="str">
        <f>IF('VISA CARDS (LIBRI CSV)'!$H436&lt;&gt;"",'VISA CARDS (LIBRI CSV)'!H436,"")</f>
        <v/>
      </c>
    </row>
    <row r="437" spans="2:5" x14ac:dyDescent="0.25">
      <c r="B437" s="39" t="str">
        <f>IF('VISA CARDS (LIBRI CSV)'!$B437&lt;&gt;"",'VISA CARDS (LIBRI CSV)'!B437,"")</f>
        <v/>
      </c>
      <c r="C437" s="39" t="str">
        <f>IF('VISA CARDS (LIBRI CSV)'!$B437&lt;&gt;"",'VISA CARDS (LIBRI CSV)'!C437,"")</f>
        <v/>
      </c>
      <c r="D437" s="39" t="str">
        <f>IF('VISA CARDS (LIBRI CSV)'!$B437&lt;&gt;"",'VISA CARDS (LIBRI CSV)'!D437,"")</f>
        <v/>
      </c>
      <c r="E437" s="40" t="str">
        <f>IF('VISA CARDS (LIBRI CSV)'!$H437&lt;&gt;"",'VISA CARDS (LIBRI CSV)'!H437,"")</f>
        <v/>
      </c>
    </row>
    <row r="438" spans="2:5" x14ac:dyDescent="0.25">
      <c r="B438" s="39" t="str">
        <f>IF('VISA CARDS (LIBRI CSV)'!$B438&lt;&gt;"",'VISA CARDS (LIBRI CSV)'!B438,"")</f>
        <v/>
      </c>
      <c r="C438" s="39" t="str">
        <f>IF('VISA CARDS (LIBRI CSV)'!$B438&lt;&gt;"",'VISA CARDS (LIBRI CSV)'!C438,"")</f>
        <v/>
      </c>
      <c r="D438" s="39" t="str">
        <f>IF('VISA CARDS (LIBRI CSV)'!$B438&lt;&gt;"",'VISA CARDS (LIBRI CSV)'!D438,"")</f>
        <v/>
      </c>
      <c r="E438" s="40" t="str">
        <f>IF('VISA CARDS (LIBRI CSV)'!$H438&lt;&gt;"",'VISA CARDS (LIBRI CSV)'!H438,"")</f>
        <v/>
      </c>
    </row>
    <row r="439" spans="2:5" x14ac:dyDescent="0.25">
      <c r="B439" s="39" t="str">
        <f>IF('VISA CARDS (LIBRI CSV)'!$B439&lt;&gt;"",'VISA CARDS (LIBRI CSV)'!B439,"")</f>
        <v/>
      </c>
      <c r="C439" s="39" t="str">
        <f>IF('VISA CARDS (LIBRI CSV)'!$B439&lt;&gt;"",'VISA CARDS (LIBRI CSV)'!C439,"")</f>
        <v/>
      </c>
      <c r="D439" s="39" t="str">
        <f>IF('VISA CARDS (LIBRI CSV)'!$B439&lt;&gt;"",'VISA CARDS (LIBRI CSV)'!D439,"")</f>
        <v/>
      </c>
      <c r="E439" s="40" t="str">
        <f>IF('VISA CARDS (LIBRI CSV)'!$H439&lt;&gt;"",'VISA CARDS (LIBRI CSV)'!H439,"")</f>
        <v/>
      </c>
    </row>
    <row r="440" spans="2:5" x14ac:dyDescent="0.25">
      <c r="B440" s="39" t="str">
        <f>IF('VISA CARDS (LIBRI CSV)'!$B440&lt;&gt;"",'VISA CARDS (LIBRI CSV)'!B440,"")</f>
        <v/>
      </c>
      <c r="C440" s="39" t="str">
        <f>IF('VISA CARDS (LIBRI CSV)'!$B440&lt;&gt;"",'VISA CARDS (LIBRI CSV)'!C440,"")</f>
        <v/>
      </c>
      <c r="D440" s="39" t="str">
        <f>IF('VISA CARDS (LIBRI CSV)'!$B440&lt;&gt;"",'VISA CARDS (LIBRI CSV)'!D440,"")</f>
        <v/>
      </c>
      <c r="E440" s="40" t="str">
        <f>IF('VISA CARDS (LIBRI CSV)'!$H440&lt;&gt;"",'VISA CARDS (LIBRI CSV)'!H440,"")</f>
        <v/>
      </c>
    </row>
    <row r="441" spans="2:5" x14ac:dyDescent="0.25">
      <c r="B441" s="39" t="str">
        <f>IF('VISA CARDS (LIBRI CSV)'!$B441&lt;&gt;"",'VISA CARDS (LIBRI CSV)'!B441,"")</f>
        <v/>
      </c>
      <c r="C441" s="39" t="str">
        <f>IF('VISA CARDS (LIBRI CSV)'!$B441&lt;&gt;"",'VISA CARDS (LIBRI CSV)'!C441,"")</f>
        <v/>
      </c>
      <c r="D441" s="39" t="str">
        <f>IF('VISA CARDS (LIBRI CSV)'!$B441&lt;&gt;"",'VISA CARDS (LIBRI CSV)'!D441,"")</f>
        <v/>
      </c>
      <c r="E441" s="40" t="str">
        <f>IF('VISA CARDS (LIBRI CSV)'!$H441&lt;&gt;"",'VISA CARDS (LIBRI CSV)'!H441,"")</f>
        <v/>
      </c>
    </row>
    <row r="442" spans="2:5" x14ac:dyDescent="0.25">
      <c r="B442" s="39" t="str">
        <f>IF('VISA CARDS (LIBRI CSV)'!$B442&lt;&gt;"",'VISA CARDS (LIBRI CSV)'!B442,"")</f>
        <v/>
      </c>
      <c r="C442" s="39" t="str">
        <f>IF('VISA CARDS (LIBRI CSV)'!$B442&lt;&gt;"",'VISA CARDS (LIBRI CSV)'!C442,"")</f>
        <v/>
      </c>
      <c r="D442" s="39" t="str">
        <f>IF('VISA CARDS (LIBRI CSV)'!$B442&lt;&gt;"",'VISA CARDS (LIBRI CSV)'!D442,"")</f>
        <v/>
      </c>
      <c r="E442" s="40" t="str">
        <f>IF('VISA CARDS (LIBRI CSV)'!$H442&lt;&gt;"",'VISA CARDS (LIBRI CSV)'!H442,"")</f>
        <v/>
      </c>
    </row>
    <row r="443" spans="2:5" x14ac:dyDescent="0.25">
      <c r="B443" s="39" t="str">
        <f>IF('VISA CARDS (LIBRI CSV)'!$B443&lt;&gt;"",'VISA CARDS (LIBRI CSV)'!B443,"")</f>
        <v/>
      </c>
      <c r="C443" s="39" t="str">
        <f>IF('VISA CARDS (LIBRI CSV)'!$B443&lt;&gt;"",'VISA CARDS (LIBRI CSV)'!C443,"")</f>
        <v/>
      </c>
      <c r="D443" s="39" t="str">
        <f>IF('VISA CARDS (LIBRI CSV)'!$B443&lt;&gt;"",'VISA CARDS (LIBRI CSV)'!D443,"")</f>
        <v/>
      </c>
      <c r="E443" s="40" t="str">
        <f>IF('VISA CARDS (LIBRI CSV)'!$H443&lt;&gt;"",'VISA CARDS (LIBRI CSV)'!H443,"")</f>
        <v/>
      </c>
    </row>
    <row r="444" spans="2:5" x14ac:dyDescent="0.25">
      <c r="B444" s="39" t="str">
        <f>IF('VISA CARDS (LIBRI CSV)'!$B444&lt;&gt;"",'VISA CARDS (LIBRI CSV)'!B444,"")</f>
        <v/>
      </c>
      <c r="C444" s="39" t="str">
        <f>IF('VISA CARDS (LIBRI CSV)'!$B444&lt;&gt;"",'VISA CARDS (LIBRI CSV)'!C444,"")</f>
        <v/>
      </c>
      <c r="D444" s="39" t="str">
        <f>IF('VISA CARDS (LIBRI CSV)'!$B444&lt;&gt;"",'VISA CARDS (LIBRI CSV)'!D444,"")</f>
        <v/>
      </c>
      <c r="E444" s="40" t="str">
        <f>IF('VISA CARDS (LIBRI CSV)'!$H444&lt;&gt;"",'VISA CARDS (LIBRI CSV)'!H444,"")</f>
        <v/>
      </c>
    </row>
    <row r="445" spans="2:5" x14ac:dyDescent="0.25">
      <c r="B445" s="39" t="str">
        <f>IF('VISA CARDS (LIBRI CSV)'!$B445&lt;&gt;"",'VISA CARDS (LIBRI CSV)'!B445,"")</f>
        <v/>
      </c>
      <c r="C445" s="39" t="str">
        <f>IF('VISA CARDS (LIBRI CSV)'!$B445&lt;&gt;"",'VISA CARDS (LIBRI CSV)'!C445,"")</f>
        <v/>
      </c>
      <c r="D445" s="39" t="str">
        <f>IF('VISA CARDS (LIBRI CSV)'!$B445&lt;&gt;"",'VISA CARDS (LIBRI CSV)'!D445,"")</f>
        <v/>
      </c>
      <c r="E445" s="40" t="str">
        <f>IF('VISA CARDS (LIBRI CSV)'!$H445&lt;&gt;"",'VISA CARDS (LIBRI CSV)'!H445,"")</f>
        <v/>
      </c>
    </row>
    <row r="446" spans="2:5" x14ac:dyDescent="0.25">
      <c r="B446" s="39" t="str">
        <f>IF('VISA CARDS (LIBRI CSV)'!$B446&lt;&gt;"",'VISA CARDS (LIBRI CSV)'!B446,"")</f>
        <v/>
      </c>
      <c r="C446" s="39" t="str">
        <f>IF('VISA CARDS (LIBRI CSV)'!$B446&lt;&gt;"",'VISA CARDS (LIBRI CSV)'!C446,"")</f>
        <v/>
      </c>
      <c r="D446" s="39" t="str">
        <f>IF('VISA CARDS (LIBRI CSV)'!$B446&lt;&gt;"",'VISA CARDS (LIBRI CSV)'!D446,"")</f>
        <v/>
      </c>
      <c r="E446" s="40" t="str">
        <f>IF('VISA CARDS (LIBRI CSV)'!$H446&lt;&gt;"",'VISA CARDS (LIBRI CSV)'!H446,"")</f>
        <v/>
      </c>
    </row>
    <row r="447" spans="2:5" x14ac:dyDescent="0.25">
      <c r="B447" s="39" t="str">
        <f>IF('VISA CARDS (LIBRI CSV)'!$B447&lt;&gt;"",'VISA CARDS (LIBRI CSV)'!B447,"")</f>
        <v/>
      </c>
      <c r="C447" s="39" t="str">
        <f>IF('VISA CARDS (LIBRI CSV)'!$B447&lt;&gt;"",'VISA CARDS (LIBRI CSV)'!C447,"")</f>
        <v/>
      </c>
      <c r="D447" s="39" t="str">
        <f>IF('VISA CARDS (LIBRI CSV)'!$B447&lt;&gt;"",'VISA CARDS (LIBRI CSV)'!D447,"")</f>
        <v/>
      </c>
      <c r="E447" s="40" t="str">
        <f>IF('VISA CARDS (LIBRI CSV)'!$H447&lt;&gt;"",'VISA CARDS (LIBRI CSV)'!H447,"")</f>
        <v/>
      </c>
    </row>
    <row r="448" spans="2:5" x14ac:dyDescent="0.25">
      <c r="B448" s="39" t="str">
        <f>IF('VISA CARDS (LIBRI CSV)'!$B448&lt;&gt;"",'VISA CARDS (LIBRI CSV)'!B448,"")</f>
        <v/>
      </c>
      <c r="C448" s="39" t="str">
        <f>IF('VISA CARDS (LIBRI CSV)'!$B448&lt;&gt;"",'VISA CARDS (LIBRI CSV)'!C448,"")</f>
        <v/>
      </c>
      <c r="D448" s="39" t="str">
        <f>IF('VISA CARDS (LIBRI CSV)'!$B448&lt;&gt;"",'VISA CARDS (LIBRI CSV)'!D448,"")</f>
        <v/>
      </c>
      <c r="E448" s="40" t="str">
        <f>IF('VISA CARDS (LIBRI CSV)'!$H448&lt;&gt;"",'VISA CARDS (LIBRI CSV)'!H448,"")</f>
        <v/>
      </c>
    </row>
    <row r="449" spans="2:5" x14ac:dyDescent="0.25">
      <c r="B449" s="39" t="str">
        <f>IF('VISA CARDS (LIBRI CSV)'!$B449&lt;&gt;"",'VISA CARDS (LIBRI CSV)'!B449,"")</f>
        <v/>
      </c>
      <c r="C449" s="39" t="str">
        <f>IF('VISA CARDS (LIBRI CSV)'!$B449&lt;&gt;"",'VISA CARDS (LIBRI CSV)'!C449,"")</f>
        <v/>
      </c>
      <c r="D449" s="39" t="str">
        <f>IF('VISA CARDS (LIBRI CSV)'!$B449&lt;&gt;"",'VISA CARDS (LIBRI CSV)'!D449,"")</f>
        <v/>
      </c>
      <c r="E449" s="40" t="str">
        <f>IF('VISA CARDS (LIBRI CSV)'!$H449&lt;&gt;"",'VISA CARDS (LIBRI CSV)'!H449,"")</f>
        <v/>
      </c>
    </row>
    <row r="450" spans="2:5" x14ac:dyDescent="0.25">
      <c r="B450" s="39" t="str">
        <f>IF('VISA CARDS (LIBRI CSV)'!$B450&lt;&gt;"",'VISA CARDS (LIBRI CSV)'!B450,"")</f>
        <v/>
      </c>
      <c r="C450" s="39" t="str">
        <f>IF('VISA CARDS (LIBRI CSV)'!$B450&lt;&gt;"",'VISA CARDS (LIBRI CSV)'!C450,"")</f>
        <v/>
      </c>
      <c r="D450" s="39" t="str">
        <f>IF('VISA CARDS (LIBRI CSV)'!$B450&lt;&gt;"",'VISA CARDS (LIBRI CSV)'!D450,"")</f>
        <v/>
      </c>
      <c r="E450" s="40" t="str">
        <f>IF('VISA CARDS (LIBRI CSV)'!$H450&lt;&gt;"",'VISA CARDS (LIBRI CSV)'!H450,"")</f>
        <v/>
      </c>
    </row>
    <row r="451" spans="2:5" x14ac:dyDescent="0.25">
      <c r="B451" s="39" t="str">
        <f>IF('VISA CARDS (LIBRI CSV)'!$B451&lt;&gt;"",'VISA CARDS (LIBRI CSV)'!B451,"")</f>
        <v/>
      </c>
      <c r="C451" s="39" t="str">
        <f>IF('VISA CARDS (LIBRI CSV)'!$B451&lt;&gt;"",'VISA CARDS (LIBRI CSV)'!C451,"")</f>
        <v/>
      </c>
      <c r="D451" s="39" t="str">
        <f>IF('VISA CARDS (LIBRI CSV)'!$B451&lt;&gt;"",'VISA CARDS (LIBRI CSV)'!D451,"")</f>
        <v/>
      </c>
      <c r="E451" s="40" t="str">
        <f>IF('VISA CARDS (LIBRI CSV)'!$H451&lt;&gt;"",'VISA CARDS (LIBRI CSV)'!H451,"")</f>
        <v/>
      </c>
    </row>
    <row r="452" spans="2:5" x14ac:dyDescent="0.25">
      <c r="B452" s="39" t="str">
        <f>IF('VISA CARDS (LIBRI CSV)'!$B452&lt;&gt;"",'VISA CARDS (LIBRI CSV)'!B452,"")</f>
        <v/>
      </c>
      <c r="C452" s="39" t="str">
        <f>IF('VISA CARDS (LIBRI CSV)'!$B452&lt;&gt;"",'VISA CARDS (LIBRI CSV)'!C452,"")</f>
        <v/>
      </c>
      <c r="D452" s="39" t="str">
        <f>IF('VISA CARDS (LIBRI CSV)'!$B452&lt;&gt;"",'VISA CARDS (LIBRI CSV)'!D452,"")</f>
        <v/>
      </c>
      <c r="E452" s="40" t="str">
        <f>IF('VISA CARDS (LIBRI CSV)'!$H452&lt;&gt;"",'VISA CARDS (LIBRI CSV)'!H452,"")</f>
        <v/>
      </c>
    </row>
    <row r="453" spans="2:5" x14ac:dyDescent="0.25">
      <c r="B453" s="39" t="str">
        <f>IF('VISA CARDS (LIBRI CSV)'!$B453&lt;&gt;"",'VISA CARDS (LIBRI CSV)'!B453,"")</f>
        <v/>
      </c>
      <c r="C453" s="39" t="str">
        <f>IF('VISA CARDS (LIBRI CSV)'!$B453&lt;&gt;"",'VISA CARDS (LIBRI CSV)'!C453,"")</f>
        <v/>
      </c>
      <c r="D453" s="39" t="str">
        <f>IF('VISA CARDS (LIBRI CSV)'!$B453&lt;&gt;"",'VISA CARDS (LIBRI CSV)'!D453,"")</f>
        <v/>
      </c>
      <c r="E453" s="40" t="str">
        <f>IF('VISA CARDS (LIBRI CSV)'!$H453&lt;&gt;"",'VISA CARDS (LIBRI CSV)'!H453,"")</f>
        <v/>
      </c>
    </row>
    <row r="454" spans="2:5" x14ac:dyDescent="0.25">
      <c r="B454" s="39" t="str">
        <f>IF('VISA CARDS (LIBRI CSV)'!$B454&lt;&gt;"",'VISA CARDS (LIBRI CSV)'!B454,"")</f>
        <v/>
      </c>
      <c r="C454" s="39" t="str">
        <f>IF('VISA CARDS (LIBRI CSV)'!$B454&lt;&gt;"",'VISA CARDS (LIBRI CSV)'!C454,"")</f>
        <v/>
      </c>
      <c r="D454" s="39" t="str">
        <f>IF('VISA CARDS (LIBRI CSV)'!$B454&lt;&gt;"",'VISA CARDS (LIBRI CSV)'!D454,"")</f>
        <v/>
      </c>
      <c r="E454" s="40" t="str">
        <f>IF('VISA CARDS (LIBRI CSV)'!$H454&lt;&gt;"",'VISA CARDS (LIBRI CSV)'!H454,"")</f>
        <v/>
      </c>
    </row>
    <row r="455" spans="2:5" x14ac:dyDescent="0.25">
      <c r="B455" s="39" t="str">
        <f>IF('VISA CARDS (LIBRI CSV)'!$B455&lt;&gt;"",'VISA CARDS (LIBRI CSV)'!B455,"")</f>
        <v/>
      </c>
      <c r="C455" s="39" t="str">
        <f>IF('VISA CARDS (LIBRI CSV)'!$B455&lt;&gt;"",'VISA CARDS (LIBRI CSV)'!C455,"")</f>
        <v/>
      </c>
      <c r="D455" s="39" t="str">
        <f>IF('VISA CARDS (LIBRI CSV)'!$B455&lt;&gt;"",'VISA CARDS (LIBRI CSV)'!D455,"")</f>
        <v/>
      </c>
      <c r="E455" s="40" t="str">
        <f>IF('VISA CARDS (LIBRI CSV)'!$H455&lt;&gt;"",'VISA CARDS (LIBRI CSV)'!H455,"")</f>
        <v/>
      </c>
    </row>
    <row r="456" spans="2:5" x14ac:dyDescent="0.25">
      <c r="B456" s="39" t="str">
        <f>IF('VISA CARDS (LIBRI CSV)'!$B456&lt;&gt;"",'VISA CARDS (LIBRI CSV)'!B456,"")</f>
        <v/>
      </c>
      <c r="C456" s="39" t="str">
        <f>IF('VISA CARDS (LIBRI CSV)'!$B456&lt;&gt;"",'VISA CARDS (LIBRI CSV)'!C456,"")</f>
        <v/>
      </c>
      <c r="D456" s="39" t="str">
        <f>IF('VISA CARDS (LIBRI CSV)'!$B456&lt;&gt;"",'VISA CARDS (LIBRI CSV)'!D456,"")</f>
        <v/>
      </c>
      <c r="E456" s="40" t="str">
        <f>IF('VISA CARDS (LIBRI CSV)'!$H456&lt;&gt;"",'VISA CARDS (LIBRI CSV)'!H456,"")</f>
        <v/>
      </c>
    </row>
    <row r="457" spans="2:5" x14ac:dyDescent="0.25">
      <c r="B457" s="39" t="str">
        <f>IF('VISA CARDS (LIBRI CSV)'!$B457&lt;&gt;"",'VISA CARDS (LIBRI CSV)'!B457,"")</f>
        <v/>
      </c>
      <c r="C457" s="39" t="str">
        <f>IF('VISA CARDS (LIBRI CSV)'!$B457&lt;&gt;"",'VISA CARDS (LIBRI CSV)'!C457,"")</f>
        <v/>
      </c>
      <c r="D457" s="39" t="str">
        <f>IF('VISA CARDS (LIBRI CSV)'!$B457&lt;&gt;"",'VISA CARDS (LIBRI CSV)'!D457,"")</f>
        <v/>
      </c>
      <c r="E457" s="40" t="str">
        <f>IF('VISA CARDS (LIBRI CSV)'!$H457&lt;&gt;"",'VISA CARDS (LIBRI CSV)'!H457,"")</f>
        <v/>
      </c>
    </row>
    <row r="458" spans="2:5" x14ac:dyDescent="0.25">
      <c r="B458" s="39" t="str">
        <f>IF('VISA CARDS (LIBRI CSV)'!$B458&lt;&gt;"",'VISA CARDS (LIBRI CSV)'!B458,"")</f>
        <v/>
      </c>
      <c r="C458" s="39" t="str">
        <f>IF('VISA CARDS (LIBRI CSV)'!$B458&lt;&gt;"",'VISA CARDS (LIBRI CSV)'!C458,"")</f>
        <v/>
      </c>
      <c r="D458" s="39" t="str">
        <f>IF('VISA CARDS (LIBRI CSV)'!$B458&lt;&gt;"",'VISA CARDS (LIBRI CSV)'!D458,"")</f>
        <v/>
      </c>
      <c r="E458" s="40" t="str">
        <f>IF('VISA CARDS (LIBRI CSV)'!$H458&lt;&gt;"",'VISA CARDS (LIBRI CSV)'!H458,"")</f>
        <v/>
      </c>
    </row>
    <row r="459" spans="2:5" x14ac:dyDescent="0.25">
      <c r="B459" s="39" t="str">
        <f>IF('VISA CARDS (LIBRI CSV)'!$B459&lt;&gt;"",'VISA CARDS (LIBRI CSV)'!B459,"")</f>
        <v/>
      </c>
      <c r="C459" s="39" t="str">
        <f>IF('VISA CARDS (LIBRI CSV)'!$B459&lt;&gt;"",'VISA CARDS (LIBRI CSV)'!C459,"")</f>
        <v/>
      </c>
      <c r="D459" s="39" t="str">
        <f>IF('VISA CARDS (LIBRI CSV)'!$B459&lt;&gt;"",'VISA CARDS (LIBRI CSV)'!D459,"")</f>
        <v/>
      </c>
      <c r="E459" s="40" t="str">
        <f>IF('VISA CARDS (LIBRI CSV)'!$H459&lt;&gt;"",'VISA CARDS (LIBRI CSV)'!H459,"")</f>
        <v/>
      </c>
    </row>
    <row r="460" spans="2:5" x14ac:dyDescent="0.25">
      <c r="B460" s="39" t="str">
        <f>IF('VISA CARDS (LIBRI CSV)'!$B460&lt;&gt;"",'VISA CARDS (LIBRI CSV)'!B460,"")</f>
        <v/>
      </c>
      <c r="C460" s="39" t="str">
        <f>IF('VISA CARDS (LIBRI CSV)'!$B460&lt;&gt;"",'VISA CARDS (LIBRI CSV)'!C460,"")</f>
        <v/>
      </c>
      <c r="D460" s="39" t="str">
        <f>IF('VISA CARDS (LIBRI CSV)'!$B460&lt;&gt;"",'VISA CARDS (LIBRI CSV)'!D460,"")</f>
        <v/>
      </c>
      <c r="E460" s="40" t="str">
        <f>IF('VISA CARDS (LIBRI CSV)'!$H460&lt;&gt;"",'VISA CARDS (LIBRI CSV)'!H460,"")</f>
        <v/>
      </c>
    </row>
    <row r="461" spans="2:5" x14ac:dyDescent="0.25">
      <c r="B461" s="39" t="str">
        <f>IF('VISA CARDS (LIBRI CSV)'!$B461&lt;&gt;"",'VISA CARDS (LIBRI CSV)'!B461,"")</f>
        <v/>
      </c>
      <c r="C461" s="39" t="str">
        <f>IF('VISA CARDS (LIBRI CSV)'!$B461&lt;&gt;"",'VISA CARDS (LIBRI CSV)'!C461,"")</f>
        <v/>
      </c>
      <c r="D461" s="39" t="str">
        <f>IF('VISA CARDS (LIBRI CSV)'!$B461&lt;&gt;"",'VISA CARDS (LIBRI CSV)'!D461,"")</f>
        <v/>
      </c>
      <c r="E461" s="40" t="str">
        <f>IF('VISA CARDS (LIBRI CSV)'!$H461&lt;&gt;"",'VISA CARDS (LIBRI CSV)'!H461,"")</f>
        <v/>
      </c>
    </row>
    <row r="462" spans="2:5" x14ac:dyDescent="0.25">
      <c r="B462" s="39" t="str">
        <f>IF('VISA CARDS (LIBRI CSV)'!$B462&lt;&gt;"",'VISA CARDS (LIBRI CSV)'!B462,"")</f>
        <v/>
      </c>
      <c r="C462" s="39" t="str">
        <f>IF('VISA CARDS (LIBRI CSV)'!$B462&lt;&gt;"",'VISA CARDS (LIBRI CSV)'!C462,"")</f>
        <v/>
      </c>
      <c r="D462" s="39" t="str">
        <f>IF('VISA CARDS (LIBRI CSV)'!$B462&lt;&gt;"",'VISA CARDS (LIBRI CSV)'!D462,"")</f>
        <v/>
      </c>
      <c r="E462" s="40" t="str">
        <f>IF('VISA CARDS (LIBRI CSV)'!$H462&lt;&gt;"",'VISA CARDS (LIBRI CSV)'!H462,"")</f>
        <v/>
      </c>
    </row>
    <row r="463" spans="2:5" x14ac:dyDescent="0.25">
      <c r="B463" s="39" t="str">
        <f>IF('VISA CARDS (LIBRI CSV)'!$B463&lt;&gt;"",'VISA CARDS (LIBRI CSV)'!B463,"")</f>
        <v/>
      </c>
      <c r="C463" s="39" t="str">
        <f>IF('VISA CARDS (LIBRI CSV)'!$B463&lt;&gt;"",'VISA CARDS (LIBRI CSV)'!C463,"")</f>
        <v/>
      </c>
      <c r="D463" s="39" t="str">
        <f>IF('VISA CARDS (LIBRI CSV)'!$B463&lt;&gt;"",'VISA CARDS (LIBRI CSV)'!D463,"")</f>
        <v/>
      </c>
      <c r="E463" s="40" t="str">
        <f>IF('VISA CARDS (LIBRI CSV)'!$H463&lt;&gt;"",'VISA CARDS (LIBRI CSV)'!H463,"")</f>
        <v/>
      </c>
    </row>
    <row r="464" spans="2:5" x14ac:dyDescent="0.25">
      <c r="B464" s="39" t="str">
        <f>IF('VISA CARDS (LIBRI CSV)'!$B464&lt;&gt;"",'VISA CARDS (LIBRI CSV)'!B464,"")</f>
        <v/>
      </c>
      <c r="C464" s="39" t="str">
        <f>IF('VISA CARDS (LIBRI CSV)'!$B464&lt;&gt;"",'VISA CARDS (LIBRI CSV)'!C464,"")</f>
        <v/>
      </c>
      <c r="D464" s="39" t="str">
        <f>IF('VISA CARDS (LIBRI CSV)'!$B464&lt;&gt;"",'VISA CARDS (LIBRI CSV)'!D464,"")</f>
        <v/>
      </c>
      <c r="E464" s="40" t="str">
        <f>IF('VISA CARDS (LIBRI CSV)'!$H464&lt;&gt;"",'VISA CARDS (LIBRI CSV)'!H464,"")</f>
        <v/>
      </c>
    </row>
    <row r="465" spans="2:5" x14ac:dyDescent="0.25">
      <c r="B465" s="39" t="str">
        <f>IF('VISA CARDS (LIBRI CSV)'!$B465&lt;&gt;"",'VISA CARDS (LIBRI CSV)'!B465,"")</f>
        <v/>
      </c>
      <c r="C465" s="39" t="str">
        <f>IF('VISA CARDS (LIBRI CSV)'!$B465&lt;&gt;"",'VISA CARDS (LIBRI CSV)'!C465,"")</f>
        <v/>
      </c>
      <c r="D465" s="39" t="str">
        <f>IF('VISA CARDS (LIBRI CSV)'!$B465&lt;&gt;"",'VISA CARDS (LIBRI CSV)'!D465,"")</f>
        <v/>
      </c>
      <c r="E465" s="40" t="str">
        <f>IF('VISA CARDS (LIBRI CSV)'!$H465&lt;&gt;"",'VISA CARDS (LIBRI CSV)'!H465,"")</f>
        <v/>
      </c>
    </row>
    <row r="466" spans="2:5" x14ac:dyDescent="0.25">
      <c r="B466" s="39" t="str">
        <f>IF('VISA CARDS (LIBRI CSV)'!$B466&lt;&gt;"",'VISA CARDS (LIBRI CSV)'!B466,"")</f>
        <v/>
      </c>
      <c r="C466" s="39" t="str">
        <f>IF('VISA CARDS (LIBRI CSV)'!$B466&lt;&gt;"",'VISA CARDS (LIBRI CSV)'!C466,"")</f>
        <v/>
      </c>
      <c r="D466" s="39" t="str">
        <f>IF('VISA CARDS (LIBRI CSV)'!$B466&lt;&gt;"",'VISA CARDS (LIBRI CSV)'!D466,"")</f>
        <v/>
      </c>
      <c r="E466" s="40" t="str">
        <f>IF('VISA CARDS (LIBRI CSV)'!$H466&lt;&gt;"",'VISA CARDS (LIBRI CSV)'!H466,"")</f>
        <v/>
      </c>
    </row>
    <row r="467" spans="2:5" x14ac:dyDescent="0.25">
      <c r="B467" s="39" t="str">
        <f>IF('VISA CARDS (LIBRI CSV)'!$B467&lt;&gt;"",'VISA CARDS (LIBRI CSV)'!B467,"")</f>
        <v/>
      </c>
      <c r="C467" s="39" t="str">
        <f>IF('VISA CARDS (LIBRI CSV)'!$B467&lt;&gt;"",'VISA CARDS (LIBRI CSV)'!C467,"")</f>
        <v/>
      </c>
      <c r="D467" s="39" t="str">
        <f>IF('VISA CARDS (LIBRI CSV)'!$B467&lt;&gt;"",'VISA CARDS (LIBRI CSV)'!D467,"")</f>
        <v/>
      </c>
      <c r="E467" s="40" t="str">
        <f>IF('VISA CARDS (LIBRI CSV)'!$H467&lt;&gt;"",'VISA CARDS (LIBRI CSV)'!H467,"")</f>
        <v/>
      </c>
    </row>
    <row r="468" spans="2:5" x14ac:dyDescent="0.25">
      <c r="B468" s="39" t="str">
        <f>IF('VISA CARDS (LIBRI CSV)'!$B468&lt;&gt;"",'VISA CARDS (LIBRI CSV)'!B468,"")</f>
        <v/>
      </c>
      <c r="C468" s="39" t="str">
        <f>IF('VISA CARDS (LIBRI CSV)'!$B468&lt;&gt;"",'VISA CARDS (LIBRI CSV)'!C468,"")</f>
        <v/>
      </c>
      <c r="D468" s="39" t="str">
        <f>IF('VISA CARDS (LIBRI CSV)'!$B468&lt;&gt;"",'VISA CARDS (LIBRI CSV)'!D468,"")</f>
        <v/>
      </c>
      <c r="E468" s="40" t="str">
        <f>IF('VISA CARDS (LIBRI CSV)'!$H468&lt;&gt;"",'VISA CARDS (LIBRI CSV)'!H468,"")</f>
        <v/>
      </c>
    </row>
    <row r="469" spans="2:5" x14ac:dyDescent="0.25">
      <c r="B469" s="39" t="str">
        <f>IF('VISA CARDS (LIBRI CSV)'!$B469&lt;&gt;"",'VISA CARDS (LIBRI CSV)'!B469,"")</f>
        <v/>
      </c>
      <c r="C469" s="39" t="str">
        <f>IF('VISA CARDS (LIBRI CSV)'!$B469&lt;&gt;"",'VISA CARDS (LIBRI CSV)'!C469,"")</f>
        <v/>
      </c>
      <c r="D469" s="39" t="str">
        <f>IF('VISA CARDS (LIBRI CSV)'!$B469&lt;&gt;"",'VISA CARDS (LIBRI CSV)'!D469,"")</f>
        <v/>
      </c>
      <c r="E469" s="40" t="str">
        <f>IF('VISA CARDS (LIBRI CSV)'!$H469&lt;&gt;"",'VISA CARDS (LIBRI CSV)'!H469,"")</f>
        <v/>
      </c>
    </row>
    <row r="470" spans="2:5" x14ac:dyDescent="0.25">
      <c r="B470" s="39" t="str">
        <f>IF('VISA CARDS (LIBRI CSV)'!$B470&lt;&gt;"",'VISA CARDS (LIBRI CSV)'!B470,"")</f>
        <v/>
      </c>
      <c r="C470" s="39" t="str">
        <f>IF('VISA CARDS (LIBRI CSV)'!$B470&lt;&gt;"",'VISA CARDS (LIBRI CSV)'!C470,"")</f>
        <v/>
      </c>
      <c r="D470" s="39" t="str">
        <f>IF('VISA CARDS (LIBRI CSV)'!$B470&lt;&gt;"",'VISA CARDS (LIBRI CSV)'!D470,"")</f>
        <v/>
      </c>
      <c r="E470" s="40" t="str">
        <f>IF('VISA CARDS (LIBRI CSV)'!$H470&lt;&gt;"",'VISA CARDS (LIBRI CSV)'!H470,"")</f>
        <v/>
      </c>
    </row>
    <row r="471" spans="2:5" x14ac:dyDescent="0.25">
      <c r="B471" s="39" t="str">
        <f>IF('VISA CARDS (LIBRI CSV)'!$B471&lt;&gt;"",'VISA CARDS (LIBRI CSV)'!B471,"")</f>
        <v/>
      </c>
      <c r="C471" s="39" t="str">
        <f>IF('VISA CARDS (LIBRI CSV)'!$B471&lt;&gt;"",'VISA CARDS (LIBRI CSV)'!C471,"")</f>
        <v/>
      </c>
      <c r="D471" s="39" t="str">
        <f>IF('VISA CARDS (LIBRI CSV)'!$B471&lt;&gt;"",'VISA CARDS (LIBRI CSV)'!D471,"")</f>
        <v/>
      </c>
      <c r="E471" s="40" t="str">
        <f>IF('VISA CARDS (LIBRI CSV)'!$H471&lt;&gt;"",'VISA CARDS (LIBRI CSV)'!H471,"")</f>
        <v/>
      </c>
    </row>
    <row r="472" spans="2:5" x14ac:dyDescent="0.25">
      <c r="B472" s="39" t="str">
        <f>IF('VISA CARDS (LIBRI CSV)'!$B472&lt;&gt;"",'VISA CARDS (LIBRI CSV)'!B472,"")</f>
        <v/>
      </c>
      <c r="C472" s="39" t="str">
        <f>IF('VISA CARDS (LIBRI CSV)'!$B472&lt;&gt;"",'VISA CARDS (LIBRI CSV)'!C472,"")</f>
        <v/>
      </c>
      <c r="D472" s="39" t="str">
        <f>IF('VISA CARDS (LIBRI CSV)'!$B472&lt;&gt;"",'VISA CARDS (LIBRI CSV)'!D472,"")</f>
        <v/>
      </c>
      <c r="E472" s="40" t="str">
        <f>IF('VISA CARDS (LIBRI CSV)'!$H472&lt;&gt;"",'VISA CARDS (LIBRI CSV)'!H472,"")</f>
        <v/>
      </c>
    </row>
    <row r="473" spans="2:5" x14ac:dyDescent="0.25">
      <c r="B473" s="39" t="str">
        <f>IF('VISA CARDS (LIBRI CSV)'!$B473&lt;&gt;"",'VISA CARDS (LIBRI CSV)'!B473,"")</f>
        <v/>
      </c>
      <c r="C473" s="39" t="str">
        <f>IF('VISA CARDS (LIBRI CSV)'!$B473&lt;&gt;"",'VISA CARDS (LIBRI CSV)'!C473,"")</f>
        <v/>
      </c>
      <c r="D473" s="39" t="str">
        <f>IF('VISA CARDS (LIBRI CSV)'!$B473&lt;&gt;"",'VISA CARDS (LIBRI CSV)'!D473,"")</f>
        <v/>
      </c>
      <c r="E473" s="40" t="str">
        <f>IF('VISA CARDS (LIBRI CSV)'!$H473&lt;&gt;"",'VISA CARDS (LIBRI CSV)'!H473,"")</f>
        <v/>
      </c>
    </row>
    <row r="474" spans="2:5" x14ac:dyDescent="0.25">
      <c r="B474" s="39" t="str">
        <f>IF('VISA CARDS (LIBRI CSV)'!$B474&lt;&gt;"",'VISA CARDS (LIBRI CSV)'!B474,"")</f>
        <v/>
      </c>
      <c r="C474" s="39" t="str">
        <f>IF('VISA CARDS (LIBRI CSV)'!$B474&lt;&gt;"",'VISA CARDS (LIBRI CSV)'!C474,"")</f>
        <v/>
      </c>
      <c r="D474" s="39" t="str">
        <f>IF('VISA CARDS (LIBRI CSV)'!$B474&lt;&gt;"",'VISA CARDS (LIBRI CSV)'!D474,"")</f>
        <v/>
      </c>
      <c r="E474" s="40" t="str">
        <f>IF('VISA CARDS (LIBRI CSV)'!$H474&lt;&gt;"",'VISA CARDS (LIBRI CSV)'!H474,"")</f>
        <v/>
      </c>
    </row>
    <row r="475" spans="2:5" x14ac:dyDescent="0.25">
      <c r="B475" s="39" t="str">
        <f>IF('VISA CARDS (LIBRI CSV)'!$B475&lt;&gt;"",'VISA CARDS (LIBRI CSV)'!B475,"")</f>
        <v/>
      </c>
      <c r="C475" s="39" t="str">
        <f>IF('VISA CARDS (LIBRI CSV)'!$B475&lt;&gt;"",'VISA CARDS (LIBRI CSV)'!C475,"")</f>
        <v/>
      </c>
      <c r="D475" s="39" t="str">
        <f>IF('VISA CARDS (LIBRI CSV)'!$B475&lt;&gt;"",'VISA CARDS (LIBRI CSV)'!D475,"")</f>
        <v/>
      </c>
      <c r="E475" s="40" t="str">
        <f>IF('VISA CARDS (LIBRI CSV)'!$H475&lt;&gt;"",'VISA CARDS (LIBRI CSV)'!H475,"")</f>
        <v/>
      </c>
    </row>
    <row r="476" spans="2:5" x14ac:dyDescent="0.25">
      <c r="B476" s="39" t="str">
        <f>IF('VISA CARDS (LIBRI CSV)'!$B476&lt;&gt;"",'VISA CARDS (LIBRI CSV)'!B476,"")</f>
        <v/>
      </c>
      <c r="C476" s="39" t="str">
        <f>IF('VISA CARDS (LIBRI CSV)'!$B476&lt;&gt;"",'VISA CARDS (LIBRI CSV)'!C476,"")</f>
        <v/>
      </c>
      <c r="D476" s="39" t="str">
        <f>IF('VISA CARDS (LIBRI CSV)'!$B476&lt;&gt;"",'VISA CARDS (LIBRI CSV)'!D476,"")</f>
        <v/>
      </c>
      <c r="E476" s="40" t="str">
        <f>IF('VISA CARDS (LIBRI CSV)'!$H476&lt;&gt;"",'VISA CARDS (LIBRI CSV)'!H476,"")</f>
        <v/>
      </c>
    </row>
    <row r="477" spans="2:5" x14ac:dyDescent="0.25">
      <c r="B477" s="39" t="str">
        <f>IF('VISA CARDS (LIBRI CSV)'!$B477&lt;&gt;"",'VISA CARDS (LIBRI CSV)'!B477,"")</f>
        <v/>
      </c>
      <c r="C477" s="39" t="str">
        <f>IF('VISA CARDS (LIBRI CSV)'!$B477&lt;&gt;"",'VISA CARDS (LIBRI CSV)'!C477,"")</f>
        <v/>
      </c>
      <c r="D477" s="39" t="str">
        <f>IF('VISA CARDS (LIBRI CSV)'!$B477&lt;&gt;"",'VISA CARDS (LIBRI CSV)'!D477,"")</f>
        <v/>
      </c>
      <c r="E477" s="40" t="str">
        <f>IF('VISA CARDS (LIBRI CSV)'!$H477&lt;&gt;"",'VISA CARDS (LIBRI CSV)'!H477,"")</f>
        <v/>
      </c>
    </row>
    <row r="478" spans="2:5" x14ac:dyDescent="0.25">
      <c r="B478" s="39" t="str">
        <f>IF('VISA CARDS (LIBRI CSV)'!$B478&lt;&gt;"",'VISA CARDS (LIBRI CSV)'!B478,"")</f>
        <v/>
      </c>
      <c r="C478" s="39" t="str">
        <f>IF('VISA CARDS (LIBRI CSV)'!$B478&lt;&gt;"",'VISA CARDS (LIBRI CSV)'!C478,"")</f>
        <v/>
      </c>
      <c r="D478" s="39" t="str">
        <f>IF('VISA CARDS (LIBRI CSV)'!$B478&lt;&gt;"",'VISA CARDS (LIBRI CSV)'!D478,"")</f>
        <v/>
      </c>
      <c r="E478" s="40" t="str">
        <f>IF('VISA CARDS (LIBRI CSV)'!$H478&lt;&gt;"",'VISA CARDS (LIBRI CSV)'!H478,"")</f>
        <v/>
      </c>
    </row>
    <row r="479" spans="2:5" x14ac:dyDescent="0.25">
      <c r="B479" s="39" t="str">
        <f>IF('VISA CARDS (LIBRI CSV)'!$B479&lt;&gt;"",'VISA CARDS (LIBRI CSV)'!B479,"")</f>
        <v/>
      </c>
      <c r="C479" s="39" t="str">
        <f>IF('VISA CARDS (LIBRI CSV)'!$B479&lt;&gt;"",'VISA CARDS (LIBRI CSV)'!C479,"")</f>
        <v/>
      </c>
      <c r="D479" s="39" t="str">
        <f>IF('VISA CARDS (LIBRI CSV)'!$B479&lt;&gt;"",'VISA CARDS (LIBRI CSV)'!D479,"")</f>
        <v/>
      </c>
      <c r="E479" s="40" t="str">
        <f>IF('VISA CARDS (LIBRI CSV)'!$H479&lt;&gt;"",'VISA CARDS (LIBRI CSV)'!H479,"")</f>
        <v/>
      </c>
    </row>
    <row r="480" spans="2:5" x14ac:dyDescent="0.25">
      <c r="B480" s="39" t="str">
        <f>IF('VISA CARDS (LIBRI CSV)'!$B480&lt;&gt;"",'VISA CARDS (LIBRI CSV)'!B480,"")</f>
        <v/>
      </c>
      <c r="C480" s="39" t="str">
        <f>IF('VISA CARDS (LIBRI CSV)'!$B480&lt;&gt;"",'VISA CARDS (LIBRI CSV)'!C480,"")</f>
        <v/>
      </c>
      <c r="D480" s="39" t="str">
        <f>IF('VISA CARDS (LIBRI CSV)'!$B480&lt;&gt;"",'VISA CARDS (LIBRI CSV)'!D480,"")</f>
        <v/>
      </c>
      <c r="E480" s="40" t="str">
        <f>IF('VISA CARDS (LIBRI CSV)'!$H480&lt;&gt;"",'VISA CARDS (LIBRI CSV)'!H480,"")</f>
        <v/>
      </c>
    </row>
    <row r="481" spans="2:5" x14ac:dyDescent="0.25">
      <c r="B481" s="39" t="str">
        <f>IF('VISA CARDS (LIBRI CSV)'!$B481&lt;&gt;"",'VISA CARDS (LIBRI CSV)'!B481,"")</f>
        <v/>
      </c>
      <c r="C481" s="39" t="str">
        <f>IF('VISA CARDS (LIBRI CSV)'!$B481&lt;&gt;"",'VISA CARDS (LIBRI CSV)'!C481,"")</f>
        <v/>
      </c>
      <c r="D481" s="39" t="str">
        <f>IF('VISA CARDS (LIBRI CSV)'!$B481&lt;&gt;"",'VISA CARDS (LIBRI CSV)'!D481,"")</f>
        <v/>
      </c>
      <c r="E481" s="40" t="str">
        <f>IF('VISA CARDS (LIBRI CSV)'!$H481&lt;&gt;"",'VISA CARDS (LIBRI CSV)'!H481,"")</f>
        <v/>
      </c>
    </row>
    <row r="482" spans="2:5" x14ac:dyDescent="0.25">
      <c r="B482" s="39" t="str">
        <f>IF('VISA CARDS (LIBRI CSV)'!$B482&lt;&gt;"",'VISA CARDS (LIBRI CSV)'!B482,"")</f>
        <v/>
      </c>
      <c r="C482" s="39" t="str">
        <f>IF('VISA CARDS (LIBRI CSV)'!$B482&lt;&gt;"",'VISA CARDS (LIBRI CSV)'!C482,"")</f>
        <v/>
      </c>
      <c r="D482" s="39" t="str">
        <f>IF('VISA CARDS (LIBRI CSV)'!$B482&lt;&gt;"",'VISA CARDS (LIBRI CSV)'!D482,"")</f>
        <v/>
      </c>
      <c r="E482" s="40" t="str">
        <f>IF('VISA CARDS (LIBRI CSV)'!$H482&lt;&gt;"",'VISA CARDS (LIBRI CSV)'!H482,"")</f>
        <v/>
      </c>
    </row>
    <row r="483" spans="2:5" x14ac:dyDescent="0.25">
      <c r="B483" s="39" t="str">
        <f>IF('VISA CARDS (LIBRI CSV)'!$B483&lt;&gt;"",'VISA CARDS (LIBRI CSV)'!B483,"")</f>
        <v/>
      </c>
      <c r="C483" s="39" t="str">
        <f>IF('VISA CARDS (LIBRI CSV)'!$B483&lt;&gt;"",'VISA CARDS (LIBRI CSV)'!C483,"")</f>
        <v/>
      </c>
      <c r="D483" s="39" t="str">
        <f>IF('VISA CARDS (LIBRI CSV)'!$B483&lt;&gt;"",'VISA CARDS (LIBRI CSV)'!D483,"")</f>
        <v/>
      </c>
      <c r="E483" s="40" t="str">
        <f>IF('VISA CARDS (LIBRI CSV)'!$H483&lt;&gt;"",'VISA CARDS (LIBRI CSV)'!H483,"")</f>
        <v/>
      </c>
    </row>
    <row r="484" spans="2:5" x14ac:dyDescent="0.25">
      <c r="B484" s="39" t="str">
        <f>IF('VISA CARDS (LIBRI CSV)'!$B484&lt;&gt;"",'VISA CARDS (LIBRI CSV)'!B484,"")</f>
        <v/>
      </c>
      <c r="C484" s="39" t="str">
        <f>IF('VISA CARDS (LIBRI CSV)'!$B484&lt;&gt;"",'VISA CARDS (LIBRI CSV)'!C484,"")</f>
        <v/>
      </c>
      <c r="D484" s="39" t="str">
        <f>IF('VISA CARDS (LIBRI CSV)'!$B484&lt;&gt;"",'VISA CARDS (LIBRI CSV)'!D484,"")</f>
        <v/>
      </c>
      <c r="E484" s="40" t="str">
        <f>IF('VISA CARDS (LIBRI CSV)'!$H484&lt;&gt;"",'VISA CARDS (LIBRI CSV)'!H484,"")</f>
        <v/>
      </c>
    </row>
    <row r="485" spans="2:5" x14ac:dyDescent="0.25">
      <c r="B485" s="39" t="str">
        <f>IF('VISA CARDS (LIBRI CSV)'!$B485&lt;&gt;"",'VISA CARDS (LIBRI CSV)'!B485,"")</f>
        <v/>
      </c>
      <c r="C485" s="39" t="str">
        <f>IF('VISA CARDS (LIBRI CSV)'!$B485&lt;&gt;"",'VISA CARDS (LIBRI CSV)'!C485,"")</f>
        <v/>
      </c>
      <c r="D485" s="39" t="str">
        <f>IF('VISA CARDS (LIBRI CSV)'!$B485&lt;&gt;"",'VISA CARDS (LIBRI CSV)'!D485,"")</f>
        <v/>
      </c>
      <c r="E485" s="40" t="str">
        <f>IF('VISA CARDS (LIBRI CSV)'!$H485&lt;&gt;"",'VISA CARDS (LIBRI CSV)'!H485,"")</f>
        <v/>
      </c>
    </row>
    <row r="486" spans="2:5" x14ac:dyDescent="0.25">
      <c r="B486" s="39" t="str">
        <f>IF('VISA CARDS (LIBRI CSV)'!$B486&lt;&gt;"",'VISA CARDS (LIBRI CSV)'!B486,"")</f>
        <v/>
      </c>
      <c r="C486" s="39" t="str">
        <f>IF('VISA CARDS (LIBRI CSV)'!$B486&lt;&gt;"",'VISA CARDS (LIBRI CSV)'!C486,"")</f>
        <v/>
      </c>
      <c r="D486" s="39" t="str">
        <f>IF('VISA CARDS (LIBRI CSV)'!$B486&lt;&gt;"",'VISA CARDS (LIBRI CSV)'!D486,"")</f>
        <v/>
      </c>
      <c r="E486" s="40" t="str">
        <f>IF('VISA CARDS (LIBRI CSV)'!$H486&lt;&gt;"",'VISA CARDS (LIBRI CSV)'!H486,"")</f>
        <v/>
      </c>
    </row>
    <row r="487" spans="2:5" x14ac:dyDescent="0.25">
      <c r="B487" s="39" t="str">
        <f>IF('VISA CARDS (LIBRI CSV)'!$B487&lt;&gt;"",'VISA CARDS (LIBRI CSV)'!B487,"")</f>
        <v/>
      </c>
      <c r="C487" s="39" t="str">
        <f>IF('VISA CARDS (LIBRI CSV)'!$B487&lt;&gt;"",'VISA CARDS (LIBRI CSV)'!C487,"")</f>
        <v/>
      </c>
      <c r="D487" s="39" t="str">
        <f>IF('VISA CARDS (LIBRI CSV)'!$B487&lt;&gt;"",'VISA CARDS (LIBRI CSV)'!D487,"")</f>
        <v/>
      </c>
      <c r="E487" s="40" t="str">
        <f>IF('VISA CARDS (LIBRI CSV)'!$H487&lt;&gt;"",'VISA CARDS (LIBRI CSV)'!H487,"")</f>
        <v/>
      </c>
    </row>
    <row r="488" spans="2:5" x14ac:dyDescent="0.25">
      <c r="B488" s="39" t="str">
        <f>IF('VISA CARDS (LIBRI CSV)'!$B488&lt;&gt;"",'VISA CARDS (LIBRI CSV)'!B488,"")</f>
        <v/>
      </c>
      <c r="C488" s="39" t="str">
        <f>IF('VISA CARDS (LIBRI CSV)'!$B488&lt;&gt;"",'VISA CARDS (LIBRI CSV)'!C488,"")</f>
        <v/>
      </c>
      <c r="D488" s="39" t="str">
        <f>IF('VISA CARDS (LIBRI CSV)'!$B488&lt;&gt;"",'VISA CARDS (LIBRI CSV)'!D488,"")</f>
        <v/>
      </c>
      <c r="E488" s="40" t="str">
        <f>IF('VISA CARDS (LIBRI CSV)'!$H488&lt;&gt;"",'VISA CARDS (LIBRI CSV)'!H488,"")</f>
        <v/>
      </c>
    </row>
    <row r="489" spans="2:5" x14ac:dyDescent="0.25">
      <c r="B489" s="39" t="str">
        <f>IF('VISA CARDS (LIBRI CSV)'!$B489&lt;&gt;"",'VISA CARDS (LIBRI CSV)'!B489,"")</f>
        <v/>
      </c>
      <c r="C489" s="39" t="str">
        <f>IF('VISA CARDS (LIBRI CSV)'!$B489&lt;&gt;"",'VISA CARDS (LIBRI CSV)'!C489,"")</f>
        <v/>
      </c>
      <c r="D489" s="39" t="str">
        <f>IF('VISA CARDS (LIBRI CSV)'!$B489&lt;&gt;"",'VISA CARDS (LIBRI CSV)'!D489,"")</f>
        <v/>
      </c>
      <c r="E489" s="40" t="str">
        <f>IF('VISA CARDS (LIBRI CSV)'!$H489&lt;&gt;"",'VISA CARDS (LIBRI CSV)'!H489,"")</f>
        <v/>
      </c>
    </row>
    <row r="490" spans="2:5" x14ac:dyDescent="0.25">
      <c r="B490" s="39" t="str">
        <f>IF('VISA CARDS (LIBRI CSV)'!$B490&lt;&gt;"",'VISA CARDS (LIBRI CSV)'!B490,"")</f>
        <v/>
      </c>
      <c r="C490" s="39" t="str">
        <f>IF('VISA CARDS (LIBRI CSV)'!$B490&lt;&gt;"",'VISA CARDS (LIBRI CSV)'!C490,"")</f>
        <v/>
      </c>
      <c r="D490" s="39" t="str">
        <f>IF('VISA CARDS (LIBRI CSV)'!$B490&lt;&gt;"",'VISA CARDS (LIBRI CSV)'!D490,"")</f>
        <v/>
      </c>
      <c r="E490" s="40" t="str">
        <f>IF('VISA CARDS (LIBRI CSV)'!$H490&lt;&gt;"",'VISA CARDS (LIBRI CSV)'!H490,"")</f>
        <v/>
      </c>
    </row>
    <row r="491" spans="2:5" x14ac:dyDescent="0.25">
      <c r="B491" s="39" t="str">
        <f>IF('VISA CARDS (LIBRI CSV)'!$B491&lt;&gt;"",'VISA CARDS (LIBRI CSV)'!B491,"")</f>
        <v/>
      </c>
      <c r="C491" s="39" t="str">
        <f>IF('VISA CARDS (LIBRI CSV)'!$B491&lt;&gt;"",'VISA CARDS (LIBRI CSV)'!C491,"")</f>
        <v/>
      </c>
      <c r="D491" s="39" t="str">
        <f>IF('VISA CARDS (LIBRI CSV)'!$B491&lt;&gt;"",'VISA CARDS (LIBRI CSV)'!D491,"")</f>
        <v/>
      </c>
      <c r="E491" s="40" t="str">
        <f>IF('VISA CARDS (LIBRI CSV)'!$H491&lt;&gt;"",'VISA CARDS (LIBRI CSV)'!H491,"")</f>
        <v/>
      </c>
    </row>
    <row r="492" spans="2:5" x14ac:dyDescent="0.25">
      <c r="B492" s="39" t="str">
        <f>IF('VISA CARDS (LIBRI CSV)'!$B492&lt;&gt;"",'VISA CARDS (LIBRI CSV)'!B492,"")</f>
        <v/>
      </c>
      <c r="C492" s="39" t="str">
        <f>IF('VISA CARDS (LIBRI CSV)'!$B492&lt;&gt;"",'VISA CARDS (LIBRI CSV)'!C492,"")</f>
        <v/>
      </c>
      <c r="D492" s="39" t="str">
        <f>IF('VISA CARDS (LIBRI CSV)'!$B492&lt;&gt;"",'VISA CARDS (LIBRI CSV)'!D492,"")</f>
        <v/>
      </c>
      <c r="E492" s="40" t="str">
        <f>IF('VISA CARDS (LIBRI CSV)'!$H492&lt;&gt;"",'VISA CARDS (LIBRI CSV)'!H492,"")</f>
        <v/>
      </c>
    </row>
    <row r="493" spans="2:5" x14ac:dyDescent="0.25">
      <c r="B493" s="39" t="str">
        <f>IF('VISA CARDS (LIBRI CSV)'!$B493&lt;&gt;"",'VISA CARDS (LIBRI CSV)'!B493,"")</f>
        <v/>
      </c>
      <c r="C493" s="39" t="str">
        <f>IF('VISA CARDS (LIBRI CSV)'!$B493&lt;&gt;"",'VISA CARDS (LIBRI CSV)'!C493,"")</f>
        <v/>
      </c>
      <c r="D493" s="39" t="str">
        <f>IF('VISA CARDS (LIBRI CSV)'!$B493&lt;&gt;"",'VISA CARDS (LIBRI CSV)'!D493,"")</f>
        <v/>
      </c>
      <c r="E493" s="40" t="str">
        <f>IF('VISA CARDS (LIBRI CSV)'!$H493&lt;&gt;"",'VISA CARDS (LIBRI CSV)'!H493,"")</f>
        <v/>
      </c>
    </row>
    <row r="494" spans="2:5" x14ac:dyDescent="0.25">
      <c r="B494" s="39" t="str">
        <f>IF('VISA CARDS (LIBRI CSV)'!$B494&lt;&gt;"",'VISA CARDS (LIBRI CSV)'!B494,"")</f>
        <v/>
      </c>
      <c r="C494" s="39" t="str">
        <f>IF('VISA CARDS (LIBRI CSV)'!$B494&lt;&gt;"",'VISA CARDS (LIBRI CSV)'!C494,"")</f>
        <v/>
      </c>
      <c r="D494" s="39" t="str">
        <f>IF('VISA CARDS (LIBRI CSV)'!$B494&lt;&gt;"",'VISA CARDS (LIBRI CSV)'!D494,"")</f>
        <v/>
      </c>
      <c r="E494" s="40" t="str">
        <f>IF('VISA CARDS (LIBRI CSV)'!$H494&lt;&gt;"",'VISA CARDS (LIBRI CSV)'!H494,"")</f>
        <v/>
      </c>
    </row>
    <row r="495" spans="2:5" x14ac:dyDescent="0.25">
      <c r="B495" s="39" t="str">
        <f>IF('VISA CARDS (LIBRI CSV)'!$B495&lt;&gt;"",'VISA CARDS (LIBRI CSV)'!B495,"")</f>
        <v/>
      </c>
      <c r="C495" s="39" t="str">
        <f>IF('VISA CARDS (LIBRI CSV)'!$B495&lt;&gt;"",'VISA CARDS (LIBRI CSV)'!C495,"")</f>
        <v/>
      </c>
      <c r="D495" s="39" t="str">
        <f>IF('VISA CARDS (LIBRI CSV)'!$B495&lt;&gt;"",'VISA CARDS (LIBRI CSV)'!D495,"")</f>
        <v/>
      </c>
      <c r="E495" s="40" t="str">
        <f>IF('VISA CARDS (LIBRI CSV)'!$H495&lt;&gt;"",'VISA CARDS (LIBRI CSV)'!H495,"")</f>
        <v/>
      </c>
    </row>
    <row r="496" spans="2:5" x14ac:dyDescent="0.25">
      <c r="B496" s="39" t="str">
        <f>IF('VISA CARDS (LIBRI CSV)'!$B496&lt;&gt;"",'VISA CARDS (LIBRI CSV)'!B496,"")</f>
        <v/>
      </c>
      <c r="C496" s="39" t="str">
        <f>IF('VISA CARDS (LIBRI CSV)'!$B496&lt;&gt;"",'VISA CARDS (LIBRI CSV)'!C496,"")</f>
        <v/>
      </c>
      <c r="D496" s="39" t="str">
        <f>IF('VISA CARDS (LIBRI CSV)'!$B496&lt;&gt;"",'VISA CARDS (LIBRI CSV)'!D496,"")</f>
        <v/>
      </c>
      <c r="E496" s="40" t="str">
        <f>IF('VISA CARDS (LIBRI CSV)'!$H496&lt;&gt;"",'VISA CARDS (LIBRI CSV)'!H496,"")</f>
        <v/>
      </c>
    </row>
    <row r="497" spans="2:5" x14ac:dyDescent="0.25">
      <c r="B497" s="39" t="str">
        <f>IF('VISA CARDS (LIBRI CSV)'!$B497&lt;&gt;"",'VISA CARDS (LIBRI CSV)'!B497,"")</f>
        <v/>
      </c>
      <c r="C497" s="39" t="str">
        <f>IF('VISA CARDS (LIBRI CSV)'!$B497&lt;&gt;"",'VISA CARDS (LIBRI CSV)'!C497,"")</f>
        <v/>
      </c>
      <c r="D497" s="39" t="str">
        <f>IF('VISA CARDS (LIBRI CSV)'!$B497&lt;&gt;"",'VISA CARDS (LIBRI CSV)'!D497,"")</f>
        <v/>
      </c>
      <c r="E497" s="40" t="str">
        <f>IF('VISA CARDS (LIBRI CSV)'!$H497&lt;&gt;"",'VISA CARDS (LIBRI CSV)'!H497,"")</f>
        <v/>
      </c>
    </row>
    <row r="498" spans="2:5" x14ac:dyDescent="0.25">
      <c r="B498" s="39" t="str">
        <f>IF('VISA CARDS (LIBRI CSV)'!$B498&lt;&gt;"",'VISA CARDS (LIBRI CSV)'!B498,"")</f>
        <v/>
      </c>
      <c r="C498" s="39" t="str">
        <f>IF('VISA CARDS (LIBRI CSV)'!$B498&lt;&gt;"",'VISA CARDS (LIBRI CSV)'!C498,"")</f>
        <v/>
      </c>
      <c r="D498" s="39" t="str">
        <f>IF('VISA CARDS (LIBRI CSV)'!$B498&lt;&gt;"",'VISA CARDS (LIBRI CSV)'!D498,"")</f>
        <v/>
      </c>
      <c r="E498" s="40" t="str">
        <f>IF('VISA CARDS (LIBRI CSV)'!$H498&lt;&gt;"",'VISA CARDS (LIBRI CSV)'!H498,"")</f>
        <v/>
      </c>
    </row>
    <row r="499" spans="2:5" x14ac:dyDescent="0.25">
      <c r="B499" s="39" t="str">
        <f>IF('VISA CARDS (LIBRI CSV)'!$B499&lt;&gt;"",'VISA CARDS (LIBRI CSV)'!B499,"")</f>
        <v/>
      </c>
      <c r="C499" s="39" t="str">
        <f>IF('VISA CARDS (LIBRI CSV)'!$B499&lt;&gt;"",'VISA CARDS (LIBRI CSV)'!C499,"")</f>
        <v/>
      </c>
      <c r="D499" s="39" t="str">
        <f>IF('VISA CARDS (LIBRI CSV)'!$B499&lt;&gt;"",'VISA CARDS (LIBRI CSV)'!D499,"")</f>
        <v/>
      </c>
      <c r="E499" s="40" t="str">
        <f>IF('VISA CARDS (LIBRI CSV)'!$H499&lt;&gt;"",'VISA CARDS (LIBRI CSV)'!H499,"")</f>
        <v/>
      </c>
    </row>
  </sheetData>
  <autoFilter ref="E3:E499"/>
  <mergeCells count="1">
    <mergeCell ref="B2:G2"/>
  </mergeCells>
  <conditionalFormatting sqref="E4:E499">
    <cfRule type="expression" dxfId="17" priority="2">
      <formula>AND($E4&gt;0,$E4&lt;&gt;"")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FD722D8-CC7B-4E44-A1A5-F9FDC18911E1}">
            <xm:f>'RAW DATA'!$G4&lt;&gt;""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B4:G499</xm:sqref>
        </x14:conditionalFormatting>
        <x14:conditionalFormatting xmlns:xm="http://schemas.microsoft.com/office/excel/2006/main">
          <x14:cfRule type="expression" priority="4" id="{8726C456-4DE1-48BA-A6A6-3A0D2BBE7ACB}">
            <xm:f>AND('RAW DATA'!$H4=1,'RAW DATA'!$B4&lt;&gt;"")</xm:f>
            <x14:dxf>
              <fill>
                <patternFill>
                  <bgColor theme="6" tint="0.79998168889431442"/>
                </patternFill>
              </fill>
            </x14:dxf>
          </x14:cfRule>
          <x14:cfRule type="expression" priority="5" id="{EB2EC4A4-1674-4E48-9D79-C0FFEC95FCF4}">
            <xm:f>AND('RAW DATA'!$H4=2,'RAW DATA'!$B4&lt;&gt;"")</xm:f>
            <x14:dxf>
              <fill>
                <patternFill>
                  <bgColor theme="4" tint="0.79998168889431442"/>
                </patternFill>
              </fill>
            </x14:dxf>
          </x14:cfRule>
          <x14:cfRule type="expression" priority="6" id="{D814C3CF-7D0B-4701-AB09-CE0CFB6B41F9}">
            <xm:f>AND('RAW DATA'!$H4=3,'RAW DATA'!$B4&lt;&gt;"")</xm:f>
            <x14:dxf>
              <fill>
                <patternFill>
                  <bgColor theme="7" tint="0.79998168889431442"/>
                </patternFill>
              </fill>
            </x14:dxf>
          </x14:cfRule>
          <xm:sqref>B4:D499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Z4"/>
  <sheetViews>
    <sheetView zoomScaleNormal="100" workbookViewId="0">
      <selection activeCell="B3" sqref="B3"/>
    </sheetView>
  </sheetViews>
  <sheetFormatPr defaultRowHeight="15" x14ac:dyDescent="0.25"/>
  <cols>
    <col min="1" max="1" width="10.7109375" customWidth="1"/>
    <col min="2" max="2" width="25.7109375" style="21" customWidth="1"/>
    <col min="3" max="4" width="20.7109375" style="21" customWidth="1"/>
    <col min="7" max="7" width="88.85546875" bestFit="1" customWidth="1"/>
  </cols>
  <sheetData>
    <row r="2" spans="1:26" ht="30" customHeight="1" x14ac:dyDescent="0.25">
      <c r="B2" s="22" t="s">
        <v>10</v>
      </c>
      <c r="C2" s="23" t="s">
        <v>11</v>
      </c>
      <c r="D2" s="21" t="s">
        <v>12</v>
      </c>
    </row>
    <row r="3" spans="1:26" x14ac:dyDescent="0.25">
      <c r="A3" s="12" t="str">
        <f>IF($B$3="Import data into this cell !!!","TITLE -&gt;","")</f>
        <v>TITLE -&gt;</v>
      </c>
      <c r="B3" s="7" t="s">
        <v>5</v>
      </c>
      <c r="C3" s="21">
        <v>1</v>
      </c>
      <c r="D3" s="21">
        <v>1</v>
      </c>
      <c r="F3" s="17" t="str">
        <f>"Title -&gt;"</f>
        <v>Title -&gt;</v>
      </c>
      <c r="G3" s="3" t="s">
        <v>13</v>
      </c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5">
      <c r="A4" s="12" t="str">
        <f>IF($B$3="Import data into this cell !!!","DATA -&gt;","")</f>
        <v>DATA -&gt;</v>
      </c>
      <c r="B4" s="7"/>
    </row>
  </sheetData>
  <conditionalFormatting sqref="B3">
    <cfRule type="expression" dxfId="12" priority="6">
      <formula>$B$3="Import data into this cell !!!"</formula>
    </cfRule>
  </conditionalFormatting>
  <conditionalFormatting sqref="A3:A4">
    <cfRule type="expression" dxfId="11" priority="7">
      <formula>$A$3="TITLE -&gt;"</formula>
    </cfRule>
  </conditionalFormatting>
  <conditionalFormatting sqref="B2:D50">
    <cfRule type="expression" dxfId="10" priority="5">
      <formula>AND($B2&lt;&gt;"", $C2&lt;&gt;"")</formula>
    </cfRule>
  </conditionalFormatting>
  <conditionalFormatting sqref="B2:D2">
    <cfRule type="expression" dxfId="9" priority="2" stopIfTrue="1">
      <formula>$B2="Locations being observed"</formula>
    </cfRule>
  </conditionalFormatting>
  <conditionalFormatting sqref="F3:G3">
    <cfRule type="expression" dxfId="8" priority="1">
      <formula>$F$3="Title -&gt;"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611"/>
  <sheetViews>
    <sheetView zoomScaleNormal="100" workbookViewId="0">
      <selection activeCell="B2" sqref="B2:D2"/>
    </sheetView>
  </sheetViews>
  <sheetFormatPr defaultRowHeight="15" x14ac:dyDescent="0.25"/>
  <cols>
    <col min="1" max="1" width="9.140625" style="17"/>
    <col min="2" max="2" width="25.7109375" style="18" customWidth="1"/>
    <col min="3" max="3" width="45.7109375" style="18" customWidth="1"/>
    <col min="4" max="4" width="25.7109375" style="19" customWidth="1"/>
  </cols>
  <sheetData>
    <row r="1" spans="2:7" s="17" customFormat="1" ht="15.75" thickBot="1" x14ac:dyDescent="0.3">
      <c r="B1" s="18"/>
      <c r="C1" s="18"/>
      <c r="D1" s="19"/>
    </row>
    <row r="2" spans="2:7" s="17" customFormat="1" ht="30" customHeight="1" x14ac:dyDescent="0.25">
      <c r="B2" s="54" t="e">
        <f>"PRISM Different Inputs per Person, X-Check for" &amp;RIGHT('RAW DATA'!$C$3,LEN('RAW DATA'!$C$3)-FIND(":",'RAW DATA'!$C$3))</f>
        <v>#VALUE!</v>
      </c>
      <c r="C2" s="55"/>
      <c r="D2" s="56"/>
      <c r="F2" s="57" t="s">
        <v>9</v>
      </c>
      <c r="G2" s="58"/>
    </row>
    <row r="3" spans="2:7" ht="20.100000000000001" customHeight="1" thickBot="1" x14ac:dyDescent="0.3">
      <c r="B3" s="20" t="s">
        <v>6</v>
      </c>
      <c r="C3" s="20" t="s">
        <v>7</v>
      </c>
      <c r="D3" s="20" t="s">
        <v>8</v>
      </c>
      <c r="F3" s="59"/>
      <c r="G3" s="60"/>
    </row>
    <row r="4" spans="2:7" x14ac:dyDescent="0.25">
      <c r="B4" s="18" t="str">
        <f>IF(AND('RAW DATA'!$L4&lt;&gt;"", 'RAW DATA'!$M4&lt;&gt;"",  'RAW DATA'!$J4="",  'RAW DATA'!$K4="", LEFT('RAW DATA'!$M4,17)&lt;&gt;"Oceanic Endeavour"), 'RAW DATA'!$L4, "")</f>
        <v/>
      </c>
      <c r="C4" s="18" t="str">
        <f>IF(AND('RAW DATA'!$L4&lt;&gt;"", 'RAW DATA'!$M4&lt;&gt;"",  'RAW DATA'!$J4="",  'RAW DATA'!$K4="", LEFT('RAW DATA'!$M4,17)&lt;&gt;"Oceanic Endeavour"), 'RAW DATA'!$M4, "")</f>
        <v/>
      </c>
      <c r="D4" s="19" t="str">
        <f>IF(AND($B4&lt;&gt;"", $C4&lt;&gt;""), COUNTIF($C$4:$C$611, $C4), "")</f>
        <v/>
      </c>
    </row>
    <row r="5" spans="2:7" x14ac:dyDescent="0.25">
      <c r="B5" s="18" t="str">
        <f>IF(AND('RAW DATA'!$L5&lt;&gt;"", 'RAW DATA'!$M5&lt;&gt;"",  'RAW DATA'!$J5="",  'RAW DATA'!$K5="", LEFT('RAW DATA'!$M5,17)&lt;&gt;"Oceanic Endeavour"), 'RAW DATA'!$L5, "")</f>
        <v/>
      </c>
      <c r="C5" s="18" t="str">
        <f>IF(AND('RAW DATA'!$L5&lt;&gt;"", 'RAW DATA'!$M5&lt;&gt;"",  'RAW DATA'!$J5="",  'RAW DATA'!$K5="", LEFT('RAW DATA'!$M5,17)&lt;&gt;"Oceanic Endeavour"), 'RAW DATA'!$M5, "")</f>
        <v/>
      </c>
      <c r="D5" s="19" t="str">
        <f t="shared" ref="D5:D68" si="0">IF(AND($B5&lt;&gt;"", $C5&lt;&gt;""), COUNTIF($C$4:$C$611, $C5), "")</f>
        <v/>
      </c>
    </row>
    <row r="6" spans="2:7" x14ac:dyDescent="0.25">
      <c r="B6" s="18" t="str">
        <f>IF(AND('RAW DATA'!$L6&lt;&gt;"", 'RAW DATA'!$M6&lt;&gt;"",  'RAW DATA'!$J6="",  'RAW DATA'!$K6="", LEFT('RAW DATA'!$M6,17)&lt;&gt;"Oceanic Endeavour"), 'RAW DATA'!$L6, "")</f>
        <v/>
      </c>
      <c r="C6" s="18" t="str">
        <f>IF(AND('RAW DATA'!$L6&lt;&gt;"", 'RAW DATA'!$M6&lt;&gt;"",  'RAW DATA'!$J6="",  'RAW DATA'!$K6="", LEFT('RAW DATA'!$M6,17)&lt;&gt;"Oceanic Endeavour"), 'RAW DATA'!$M6, "")</f>
        <v/>
      </c>
      <c r="D6" s="19" t="str">
        <f t="shared" si="0"/>
        <v/>
      </c>
    </row>
    <row r="7" spans="2:7" x14ac:dyDescent="0.25">
      <c r="B7" s="18" t="str">
        <f>IF(AND('RAW DATA'!$L7&lt;&gt;"", 'RAW DATA'!$M7&lt;&gt;"",  'RAW DATA'!$J7="",  'RAW DATA'!$K7="", LEFT('RAW DATA'!$M7,17)&lt;&gt;"Oceanic Endeavour"), 'RAW DATA'!$L7, "")</f>
        <v/>
      </c>
      <c r="C7" s="18" t="str">
        <f>IF(AND('RAW DATA'!$L7&lt;&gt;"", 'RAW DATA'!$M7&lt;&gt;"",  'RAW DATA'!$J7="",  'RAW DATA'!$K7="", LEFT('RAW DATA'!$M7,17)&lt;&gt;"Oceanic Endeavour"), 'RAW DATA'!$M7, "")</f>
        <v/>
      </c>
      <c r="D7" s="19" t="str">
        <f t="shared" si="0"/>
        <v/>
      </c>
    </row>
    <row r="8" spans="2:7" x14ac:dyDescent="0.25">
      <c r="B8" s="18" t="str">
        <f>IF(AND('RAW DATA'!$L8&lt;&gt;"", 'RAW DATA'!$M8&lt;&gt;"",  'RAW DATA'!$J8="",  'RAW DATA'!$K8="", LEFT('RAW DATA'!$M8,17)&lt;&gt;"Oceanic Endeavour"), 'RAW DATA'!$L8, "")</f>
        <v/>
      </c>
      <c r="C8" s="18" t="str">
        <f>IF(AND('RAW DATA'!$L8&lt;&gt;"", 'RAW DATA'!$M8&lt;&gt;"",  'RAW DATA'!$J8="",  'RAW DATA'!$K8="", LEFT('RAW DATA'!$M8,17)&lt;&gt;"Oceanic Endeavour"), 'RAW DATA'!$M8, "")</f>
        <v/>
      </c>
      <c r="D8" s="19" t="str">
        <f t="shared" si="0"/>
        <v/>
      </c>
    </row>
    <row r="9" spans="2:7" x14ac:dyDescent="0.25">
      <c r="B9" s="18" t="str">
        <f>IF(AND('RAW DATA'!$L9&lt;&gt;"", 'RAW DATA'!$M9&lt;&gt;"",  'RAW DATA'!$J9="",  'RAW DATA'!$K9="", LEFT('RAW DATA'!$M9,17)&lt;&gt;"Oceanic Endeavour"), 'RAW DATA'!$L9, "")</f>
        <v/>
      </c>
      <c r="C9" s="18" t="str">
        <f>IF(AND('RAW DATA'!$L9&lt;&gt;"", 'RAW DATA'!$M9&lt;&gt;"",  'RAW DATA'!$J9="",  'RAW DATA'!$K9="", LEFT('RAW DATA'!$M9,17)&lt;&gt;"Oceanic Endeavour"), 'RAW DATA'!$M9, "")</f>
        <v/>
      </c>
      <c r="D9" s="19" t="str">
        <f t="shared" si="0"/>
        <v/>
      </c>
    </row>
    <row r="10" spans="2:7" x14ac:dyDescent="0.25">
      <c r="B10" s="18" t="str">
        <f>IF(AND('RAW DATA'!$L10&lt;&gt;"", 'RAW DATA'!$M10&lt;&gt;"",  'RAW DATA'!$J10="",  'RAW DATA'!$K10="", LEFT('RAW DATA'!$M10,17)&lt;&gt;"Oceanic Endeavour"), 'RAW DATA'!$L10, "")</f>
        <v/>
      </c>
      <c r="C10" s="18" t="str">
        <f>IF(AND('RAW DATA'!$L10&lt;&gt;"", 'RAW DATA'!$M10&lt;&gt;"",  'RAW DATA'!$J10="",  'RAW DATA'!$K10="", LEFT('RAW DATA'!$M10,17)&lt;&gt;"Oceanic Endeavour"), 'RAW DATA'!$M10, "")</f>
        <v/>
      </c>
      <c r="D10" s="19" t="str">
        <f t="shared" si="0"/>
        <v/>
      </c>
    </row>
    <row r="11" spans="2:7" x14ac:dyDescent="0.25">
      <c r="B11" s="18" t="str">
        <f>IF(AND('RAW DATA'!$L11&lt;&gt;"", 'RAW DATA'!$M11&lt;&gt;"",  'RAW DATA'!$J11="",  'RAW DATA'!$K11="", LEFT('RAW DATA'!$M11,17)&lt;&gt;"Oceanic Endeavour"), 'RAW DATA'!$L11, "")</f>
        <v/>
      </c>
      <c r="C11" s="18" t="str">
        <f>IF(AND('RAW DATA'!$L11&lt;&gt;"", 'RAW DATA'!$M11&lt;&gt;"",  'RAW DATA'!$J11="",  'RAW DATA'!$K11="", LEFT('RAW DATA'!$M11,17)&lt;&gt;"Oceanic Endeavour"), 'RAW DATA'!$M11, "")</f>
        <v/>
      </c>
      <c r="D11" s="19" t="str">
        <f t="shared" si="0"/>
        <v/>
      </c>
    </row>
    <row r="12" spans="2:7" x14ac:dyDescent="0.25">
      <c r="B12" s="18" t="str">
        <f>IF(AND('RAW DATA'!$L12&lt;&gt;"", 'RAW DATA'!$M12&lt;&gt;"",  'RAW DATA'!$J12="",  'RAW DATA'!$K12="", LEFT('RAW DATA'!$M12,17)&lt;&gt;"Oceanic Endeavour"), 'RAW DATA'!$L12, "")</f>
        <v/>
      </c>
      <c r="C12" s="18" t="str">
        <f>IF(AND('RAW DATA'!$L12&lt;&gt;"", 'RAW DATA'!$M12&lt;&gt;"",  'RAW DATA'!$J12="",  'RAW DATA'!$K12="", LEFT('RAW DATA'!$M12,17)&lt;&gt;"Oceanic Endeavour"), 'RAW DATA'!$M12, "")</f>
        <v/>
      </c>
      <c r="D12" s="19" t="str">
        <f t="shared" si="0"/>
        <v/>
      </c>
    </row>
    <row r="13" spans="2:7" x14ac:dyDescent="0.25">
      <c r="B13" s="18" t="str">
        <f>IF(AND('RAW DATA'!$L13&lt;&gt;"", 'RAW DATA'!$M13&lt;&gt;"",  'RAW DATA'!$J13="",  'RAW DATA'!$K13="", LEFT('RAW DATA'!$M13,17)&lt;&gt;"Oceanic Endeavour"), 'RAW DATA'!$L13, "")</f>
        <v/>
      </c>
      <c r="C13" s="18" t="str">
        <f>IF(AND('RAW DATA'!$L13&lt;&gt;"", 'RAW DATA'!$M13&lt;&gt;"",  'RAW DATA'!$J13="",  'RAW DATA'!$K13="", LEFT('RAW DATA'!$M13,17)&lt;&gt;"Oceanic Endeavour"), 'RAW DATA'!$M13, "")</f>
        <v/>
      </c>
      <c r="D13" s="19" t="str">
        <f t="shared" si="0"/>
        <v/>
      </c>
    </row>
    <row r="14" spans="2:7" x14ac:dyDescent="0.25">
      <c r="B14" s="18" t="str">
        <f>IF(AND('RAW DATA'!$L14&lt;&gt;"", 'RAW DATA'!$M14&lt;&gt;"",  'RAW DATA'!$J14="",  'RAW DATA'!$K14="", LEFT('RAW DATA'!$M14,17)&lt;&gt;"Oceanic Endeavour"), 'RAW DATA'!$L14, "")</f>
        <v/>
      </c>
      <c r="C14" s="18" t="str">
        <f>IF(AND('RAW DATA'!$L14&lt;&gt;"", 'RAW DATA'!$M14&lt;&gt;"",  'RAW DATA'!$J14="",  'RAW DATA'!$K14="", LEFT('RAW DATA'!$M14,17)&lt;&gt;"Oceanic Endeavour"), 'RAW DATA'!$M14, "")</f>
        <v/>
      </c>
      <c r="D14" s="19" t="str">
        <f t="shared" si="0"/>
        <v/>
      </c>
    </row>
    <row r="15" spans="2:7" x14ac:dyDescent="0.25">
      <c r="B15" s="18" t="str">
        <f>IF(AND('RAW DATA'!$L15&lt;&gt;"", 'RAW DATA'!$M15&lt;&gt;"",  'RAW DATA'!$J15="",  'RAW DATA'!$K15="", LEFT('RAW DATA'!$M15,17)&lt;&gt;"Oceanic Endeavour"), 'RAW DATA'!$L15, "")</f>
        <v/>
      </c>
      <c r="C15" s="18" t="str">
        <f>IF(AND('RAW DATA'!$L15&lt;&gt;"", 'RAW DATA'!$M15&lt;&gt;"",  'RAW DATA'!$J15="",  'RAW DATA'!$K15="", LEFT('RAW DATA'!$M15,17)&lt;&gt;"Oceanic Endeavour"), 'RAW DATA'!$M15, "")</f>
        <v/>
      </c>
      <c r="D15" s="19" t="str">
        <f t="shared" si="0"/>
        <v/>
      </c>
    </row>
    <row r="16" spans="2:7" x14ac:dyDescent="0.25">
      <c r="B16" s="18" t="str">
        <f>IF(AND('RAW DATA'!$L16&lt;&gt;"", 'RAW DATA'!$M16&lt;&gt;"",  'RAW DATA'!$J16="",  'RAW DATA'!$K16="", LEFT('RAW DATA'!$M16,17)&lt;&gt;"Oceanic Endeavour"), 'RAW DATA'!$L16, "")</f>
        <v/>
      </c>
      <c r="C16" s="18" t="str">
        <f>IF(AND('RAW DATA'!$L16&lt;&gt;"", 'RAW DATA'!$M16&lt;&gt;"",  'RAW DATA'!$J16="",  'RAW DATA'!$K16="", LEFT('RAW DATA'!$M16,17)&lt;&gt;"Oceanic Endeavour"), 'RAW DATA'!$M16, "")</f>
        <v/>
      </c>
      <c r="D16" s="19" t="str">
        <f t="shared" si="0"/>
        <v/>
      </c>
    </row>
    <row r="17" spans="2:4" x14ac:dyDescent="0.25">
      <c r="B17" s="18" t="str">
        <f>IF(AND('RAW DATA'!$L17&lt;&gt;"", 'RAW DATA'!$M17&lt;&gt;"",  'RAW DATA'!$J17="",  'RAW DATA'!$K17="", LEFT('RAW DATA'!$M17,17)&lt;&gt;"Oceanic Endeavour"), 'RAW DATA'!$L17, "")</f>
        <v/>
      </c>
      <c r="C17" s="18" t="str">
        <f>IF(AND('RAW DATA'!$L17&lt;&gt;"", 'RAW DATA'!$M17&lt;&gt;"",  'RAW DATA'!$J17="",  'RAW DATA'!$K17="", LEFT('RAW DATA'!$M17,17)&lt;&gt;"Oceanic Endeavour"), 'RAW DATA'!$M17, "")</f>
        <v/>
      </c>
      <c r="D17" s="19" t="str">
        <f t="shared" si="0"/>
        <v/>
      </c>
    </row>
    <row r="18" spans="2:4" x14ac:dyDescent="0.25">
      <c r="B18" s="18" t="str">
        <f>IF(AND('RAW DATA'!$L18&lt;&gt;"", 'RAW DATA'!$M18&lt;&gt;"",  'RAW DATA'!$J18="",  'RAW DATA'!$K18="", LEFT('RAW DATA'!$M18,17)&lt;&gt;"Oceanic Endeavour"), 'RAW DATA'!$L18, "")</f>
        <v/>
      </c>
      <c r="C18" s="18" t="str">
        <f>IF(AND('RAW DATA'!$L18&lt;&gt;"", 'RAW DATA'!$M18&lt;&gt;"",  'RAW DATA'!$J18="",  'RAW DATA'!$K18="", LEFT('RAW DATA'!$M18,17)&lt;&gt;"Oceanic Endeavour"), 'RAW DATA'!$M18, "")</f>
        <v/>
      </c>
      <c r="D18" s="19" t="str">
        <f t="shared" si="0"/>
        <v/>
      </c>
    </row>
    <row r="19" spans="2:4" x14ac:dyDescent="0.25">
      <c r="B19" s="18" t="str">
        <f>IF(AND('RAW DATA'!$L19&lt;&gt;"", 'RAW DATA'!$M19&lt;&gt;"",  'RAW DATA'!$J19="",  'RAW DATA'!$K19="", LEFT('RAW DATA'!$M19,17)&lt;&gt;"Oceanic Endeavour"), 'RAW DATA'!$L19, "")</f>
        <v/>
      </c>
      <c r="C19" s="18" t="str">
        <f>IF(AND('RAW DATA'!$L19&lt;&gt;"", 'RAW DATA'!$M19&lt;&gt;"",  'RAW DATA'!$J19="",  'RAW DATA'!$K19="", LEFT('RAW DATA'!$M19,17)&lt;&gt;"Oceanic Endeavour"), 'RAW DATA'!$M19, "")</f>
        <v/>
      </c>
      <c r="D19" s="19" t="str">
        <f t="shared" si="0"/>
        <v/>
      </c>
    </row>
    <row r="20" spans="2:4" x14ac:dyDescent="0.25">
      <c r="B20" s="18" t="str">
        <f>IF(AND('RAW DATA'!$L20&lt;&gt;"", 'RAW DATA'!$M20&lt;&gt;"",  'RAW DATA'!$J20="",  'RAW DATA'!$K20="", LEFT('RAW DATA'!$M20,17)&lt;&gt;"Oceanic Endeavour"), 'RAW DATA'!$L20, "")</f>
        <v/>
      </c>
      <c r="C20" s="18" t="str">
        <f>IF(AND('RAW DATA'!$L20&lt;&gt;"", 'RAW DATA'!$M20&lt;&gt;"",  'RAW DATA'!$J20="",  'RAW DATA'!$K20="", LEFT('RAW DATA'!$M20,17)&lt;&gt;"Oceanic Endeavour"), 'RAW DATA'!$M20, "")</f>
        <v/>
      </c>
      <c r="D20" s="19" t="str">
        <f t="shared" si="0"/>
        <v/>
      </c>
    </row>
    <row r="21" spans="2:4" x14ac:dyDescent="0.25">
      <c r="B21" s="18" t="str">
        <f>IF(AND('RAW DATA'!$L21&lt;&gt;"", 'RAW DATA'!$M21&lt;&gt;"",  'RAW DATA'!$J21="",  'RAW DATA'!$K21="", LEFT('RAW DATA'!$M21,17)&lt;&gt;"Oceanic Endeavour"), 'RAW DATA'!$L21, "")</f>
        <v/>
      </c>
      <c r="C21" s="18" t="str">
        <f>IF(AND('RAW DATA'!$L21&lt;&gt;"", 'RAW DATA'!$M21&lt;&gt;"",  'RAW DATA'!$J21="",  'RAW DATA'!$K21="", LEFT('RAW DATA'!$M21,17)&lt;&gt;"Oceanic Endeavour"), 'RAW DATA'!$M21, "")</f>
        <v/>
      </c>
      <c r="D21" s="19" t="str">
        <f t="shared" si="0"/>
        <v/>
      </c>
    </row>
    <row r="22" spans="2:4" x14ac:dyDescent="0.25">
      <c r="B22" s="18" t="str">
        <f>IF(AND('RAW DATA'!$L22&lt;&gt;"", 'RAW DATA'!$M22&lt;&gt;"",  'RAW DATA'!$J22="",  'RAW DATA'!$K22="", LEFT('RAW DATA'!$M22,17)&lt;&gt;"Oceanic Endeavour"), 'RAW DATA'!$L22, "")</f>
        <v/>
      </c>
      <c r="C22" s="18" t="str">
        <f>IF(AND('RAW DATA'!$L22&lt;&gt;"", 'RAW DATA'!$M22&lt;&gt;"",  'RAW DATA'!$J22="",  'RAW DATA'!$K22="", LEFT('RAW DATA'!$M22,17)&lt;&gt;"Oceanic Endeavour"), 'RAW DATA'!$M22, "")</f>
        <v/>
      </c>
      <c r="D22" s="19" t="str">
        <f t="shared" si="0"/>
        <v/>
      </c>
    </row>
    <row r="23" spans="2:4" x14ac:dyDescent="0.25">
      <c r="B23" s="18" t="str">
        <f>IF(AND('RAW DATA'!$L23&lt;&gt;"", 'RAW DATA'!$M23&lt;&gt;"",  'RAW DATA'!$J23="",  'RAW DATA'!$K23="", LEFT('RAW DATA'!$M23,17)&lt;&gt;"Oceanic Endeavour"), 'RAW DATA'!$L23, "")</f>
        <v/>
      </c>
      <c r="C23" s="18" t="str">
        <f>IF(AND('RAW DATA'!$L23&lt;&gt;"", 'RAW DATA'!$M23&lt;&gt;"",  'RAW DATA'!$J23="",  'RAW DATA'!$K23="", LEFT('RAW DATA'!$M23,17)&lt;&gt;"Oceanic Endeavour"), 'RAW DATA'!$M23, "")</f>
        <v/>
      </c>
      <c r="D23" s="19" t="str">
        <f t="shared" si="0"/>
        <v/>
      </c>
    </row>
    <row r="24" spans="2:4" x14ac:dyDescent="0.25">
      <c r="B24" s="18" t="str">
        <f>IF(AND('RAW DATA'!$L24&lt;&gt;"", 'RAW DATA'!$M24&lt;&gt;"",  'RAW DATA'!$J24="",  'RAW DATA'!$K24="", LEFT('RAW DATA'!$M24,17)&lt;&gt;"Oceanic Endeavour"), 'RAW DATA'!$L24, "")</f>
        <v/>
      </c>
      <c r="C24" s="18" t="str">
        <f>IF(AND('RAW DATA'!$L24&lt;&gt;"", 'RAW DATA'!$M24&lt;&gt;"",  'RAW DATA'!$J24="",  'RAW DATA'!$K24="", LEFT('RAW DATA'!$M24,17)&lt;&gt;"Oceanic Endeavour"), 'RAW DATA'!$M24, "")</f>
        <v/>
      </c>
      <c r="D24" s="19" t="str">
        <f t="shared" si="0"/>
        <v/>
      </c>
    </row>
    <row r="25" spans="2:4" x14ac:dyDescent="0.25">
      <c r="B25" s="18" t="str">
        <f>IF(AND('RAW DATA'!$L25&lt;&gt;"", 'RAW DATA'!$M25&lt;&gt;"",  'RAW DATA'!$J25="",  'RAW DATA'!$K25="", LEFT('RAW DATA'!$M25,17)&lt;&gt;"Oceanic Endeavour"), 'RAW DATA'!$L25, "")</f>
        <v/>
      </c>
      <c r="C25" s="18" t="str">
        <f>IF(AND('RAW DATA'!$L25&lt;&gt;"", 'RAW DATA'!$M25&lt;&gt;"",  'RAW DATA'!$J25="",  'RAW DATA'!$K25="", LEFT('RAW DATA'!$M25,17)&lt;&gt;"Oceanic Endeavour"), 'RAW DATA'!$M25, "")</f>
        <v/>
      </c>
      <c r="D25" s="19" t="str">
        <f t="shared" si="0"/>
        <v/>
      </c>
    </row>
    <row r="26" spans="2:4" x14ac:dyDescent="0.25">
      <c r="B26" s="18" t="str">
        <f>IF(AND('RAW DATA'!$L26&lt;&gt;"", 'RAW DATA'!$M26&lt;&gt;"",  'RAW DATA'!$J26="",  'RAW DATA'!$K26="", LEFT('RAW DATA'!$M26,17)&lt;&gt;"Oceanic Endeavour"), 'RAW DATA'!$L26, "")</f>
        <v/>
      </c>
      <c r="C26" s="18" t="str">
        <f>IF(AND('RAW DATA'!$L26&lt;&gt;"", 'RAW DATA'!$M26&lt;&gt;"",  'RAW DATA'!$J26="",  'RAW DATA'!$K26="", LEFT('RAW DATA'!$M26,17)&lt;&gt;"Oceanic Endeavour"), 'RAW DATA'!$M26, "")</f>
        <v/>
      </c>
      <c r="D26" s="19" t="str">
        <f t="shared" si="0"/>
        <v/>
      </c>
    </row>
    <row r="27" spans="2:4" x14ac:dyDescent="0.25">
      <c r="B27" s="18" t="str">
        <f>IF(AND('RAW DATA'!$L27&lt;&gt;"", 'RAW DATA'!$M27&lt;&gt;"",  'RAW DATA'!$J27="",  'RAW DATA'!$K27="", LEFT('RAW DATA'!$M27,17)&lt;&gt;"Oceanic Endeavour"), 'RAW DATA'!$L27, "")</f>
        <v/>
      </c>
      <c r="C27" s="18" t="str">
        <f>IF(AND('RAW DATA'!$L27&lt;&gt;"", 'RAW DATA'!$M27&lt;&gt;"",  'RAW DATA'!$J27="",  'RAW DATA'!$K27="", LEFT('RAW DATA'!$M27,17)&lt;&gt;"Oceanic Endeavour"), 'RAW DATA'!$M27, "")</f>
        <v/>
      </c>
      <c r="D27" s="19" t="str">
        <f t="shared" si="0"/>
        <v/>
      </c>
    </row>
    <row r="28" spans="2:4" x14ac:dyDescent="0.25">
      <c r="B28" s="18" t="str">
        <f>IF(AND('RAW DATA'!$L28&lt;&gt;"", 'RAW DATA'!$M28&lt;&gt;"",  'RAW DATA'!$J28="",  'RAW DATA'!$K28="", LEFT('RAW DATA'!$M28,17)&lt;&gt;"Oceanic Endeavour"), 'RAW DATA'!$L28, "")</f>
        <v/>
      </c>
      <c r="C28" s="18" t="str">
        <f>IF(AND('RAW DATA'!$L28&lt;&gt;"", 'RAW DATA'!$M28&lt;&gt;"",  'RAW DATA'!$J28="",  'RAW DATA'!$K28="", LEFT('RAW DATA'!$M28,17)&lt;&gt;"Oceanic Endeavour"), 'RAW DATA'!$M28, "")</f>
        <v/>
      </c>
      <c r="D28" s="19" t="str">
        <f t="shared" si="0"/>
        <v/>
      </c>
    </row>
    <row r="29" spans="2:4" x14ac:dyDescent="0.25">
      <c r="B29" s="18" t="str">
        <f>IF(AND('RAW DATA'!$L29&lt;&gt;"", 'RAW DATA'!$M29&lt;&gt;"",  'RAW DATA'!$J29="",  'RAW DATA'!$K29="", LEFT('RAW DATA'!$M29,17)&lt;&gt;"Oceanic Endeavour"), 'RAW DATA'!$L29, "")</f>
        <v/>
      </c>
      <c r="C29" s="18" t="str">
        <f>IF(AND('RAW DATA'!$L29&lt;&gt;"", 'RAW DATA'!$M29&lt;&gt;"",  'RAW DATA'!$J29="",  'RAW DATA'!$K29="", LEFT('RAW DATA'!$M29,17)&lt;&gt;"Oceanic Endeavour"), 'RAW DATA'!$M29, "")</f>
        <v/>
      </c>
      <c r="D29" s="19" t="str">
        <f t="shared" si="0"/>
        <v/>
      </c>
    </row>
    <row r="30" spans="2:4" x14ac:dyDescent="0.25">
      <c r="B30" s="18" t="str">
        <f>IF(AND('RAW DATA'!$L30&lt;&gt;"", 'RAW DATA'!$M30&lt;&gt;"",  'RAW DATA'!$J30="",  'RAW DATA'!$K30="", LEFT('RAW DATA'!$M30,17)&lt;&gt;"Oceanic Endeavour"), 'RAW DATA'!$L30, "")</f>
        <v/>
      </c>
      <c r="C30" s="18" t="str">
        <f>IF(AND('RAW DATA'!$L30&lt;&gt;"", 'RAW DATA'!$M30&lt;&gt;"",  'RAW DATA'!$J30="",  'RAW DATA'!$K30="", LEFT('RAW DATA'!$M30,17)&lt;&gt;"Oceanic Endeavour"), 'RAW DATA'!$M30, "")</f>
        <v/>
      </c>
      <c r="D30" s="19" t="str">
        <f t="shared" si="0"/>
        <v/>
      </c>
    </row>
    <row r="31" spans="2:4" x14ac:dyDescent="0.25">
      <c r="B31" s="18" t="str">
        <f>IF(AND('RAW DATA'!$L31&lt;&gt;"", 'RAW DATA'!$M31&lt;&gt;"",  'RAW DATA'!$J31="",  'RAW DATA'!$K31="", LEFT('RAW DATA'!$M31,17)&lt;&gt;"Oceanic Endeavour"), 'RAW DATA'!$L31, "")</f>
        <v/>
      </c>
      <c r="C31" s="18" t="str">
        <f>IF(AND('RAW DATA'!$L31&lt;&gt;"", 'RAW DATA'!$M31&lt;&gt;"",  'RAW DATA'!$J31="",  'RAW DATA'!$K31="", LEFT('RAW DATA'!$M31,17)&lt;&gt;"Oceanic Endeavour"), 'RAW DATA'!$M31, "")</f>
        <v/>
      </c>
      <c r="D31" s="19" t="str">
        <f t="shared" si="0"/>
        <v/>
      </c>
    </row>
    <row r="32" spans="2:4" x14ac:dyDescent="0.25">
      <c r="B32" s="18" t="str">
        <f>IF(AND('RAW DATA'!$L32&lt;&gt;"", 'RAW DATA'!$M32&lt;&gt;"",  'RAW DATA'!$J32="",  'RAW DATA'!$K32="", LEFT('RAW DATA'!$M32,17)&lt;&gt;"Oceanic Endeavour"), 'RAW DATA'!$L32, "")</f>
        <v/>
      </c>
      <c r="C32" s="18" t="str">
        <f>IF(AND('RAW DATA'!$L32&lt;&gt;"", 'RAW DATA'!$M32&lt;&gt;"",  'RAW DATA'!$J32="",  'RAW DATA'!$K32="", LEFT('RAW DATA'!$M32,17)&lt;&gt;"Oceanic Endeavour"), 'RAW DATA'!$M32, "")</f>
        <v/>
      </c>
      <c r="D32" s="19" t="str">
        <f t="shared" si="0"/>
        <v/>
      </c>
    </row>
    <row r="33" spans="2:4" x14ac:dyDescent="0.25">
      <c r="B33" s="18" t="str">
        <f>IF(AND('RAW DATA'!$L33&lt;&gt;"", 'RAW DATA'!$M33&lt;&gt;"",  'RAW DATA'!$J33="",  'RAW DATA'!$K33="", LEFT('RAW DATA'!$M33,17)&lt;&gt;"Oceanic Endeavour"), 'RAW DATA'!$L33, "")</f>
        <v/>
      </c>
      <c r="C33" s="18" t="str">
        <f>IF(AND('RAW DATA'!$L33&lt;&gt;"", 'RAW DATA'!$M33&lt;&gt;"",  'RAW DATA'!$J33="",  'RAW DATA'!$K33="", LEFT('RAW DATA'!$M33,17)&lt;&gt;"Oceanic Endeavour"), 'RAW DATA'!$M33, "")</f>
        <v/>
      </c>
      <c r="D33" s="19" t="str">
        <f t="shared" si="0"/>
        <v/>
      </c>
    </row>
    <row r="34" spans="2:4" x14ac:dyDescent="0.25">
      <c r="B34" s="18" t="str">
        <f>IF(AND('RAW DATA'!$L34&lt;&gt;"", 'RAW DATA'!$M34&lt;&gt;"",  'RAW DATA'!$J34="",  'RAW DATA'!$K34="", LEFT('RAW DATA'!$M34,17)&lt;&gt;"Oceanic Endeavour"), 'RAW DATA'!$L34, "")</f>
        <v/>
      </c>
      <c r="C34" s="18" t="str">
        <f>IF(AND('RAW DATA'!$L34&lt;&gt;"", 'RAW DATA'!$M34&lt;&gt;"",  'RAW DATA'!$J34="",  'RAW DATA'!$K34="", LEFT('RAW DATA'!$M34,17)&lt;&gt;"Oceanic Endeavour"), 'RAW DATA'!$M34, "")</f>
        <v/>
      </c>
      <c r="D34" s="19" t="str">
        <f t="shared" si="0"/>
        <v/>
      </c>
    </row>
    <row r="35" spans="2:4" x14ac:dyDescent="0.25">
      <c r="B35" s="18" t="str">
        <f>IF(AND('RAW DATA'!$L35&lt;&gt;"", 'RAW DATA'!$M35&lt;&gt;"",  'RAW DATA'!$J35="",  'RAW DATA'!$K35="", LEFT('RAW DATA'!$M35,17)&lt;&gt;"Oceanic Endeavour"), 'RAW DATA'!$L35, "")</f>
        <v/>
      </c>
      <c r="C35" s="18" t="str">
        <f>IF(AND('RAW DATA'!$L35&lt;&gt;"", 'RAW DATA'!$M35&lt;&gt;"",  'RAW DATA'!$J35="",  'RAW DATA'!$K35="", LEFT('RAW DATA'!$M35,17)&lt;&gt;"Oceanic Endeavour"), 'RAW DATA'!$M35, "")</f>
        <v/>
      </c>
      <c r="D35" s="19" t="str">
        <f t="shared" si="0"/>
        <v/>
      </c>
    </row>
    <row r="36" spans="2:4" x14ac:dyDescent="0.25">
      <c r="B36" s="18" t="str">
        <f>IF(AND('RAW DATA'!$L36&lt;&gt;"", 'RAW DATA'!$M36&lt;&gt;"",  'RAW DATA'!$J36="",  'RAW DATA'!$K36="", LEFT('RAW DATA'!$M36,17)&lt;&gt;"Oceanic Endeavour"), 'RAW DATA'!$L36, "")</f>
        <v/>
      </c>
      <c r="C36" s="18" t="str">
        <f>IF(AND('RAW DATA'!$L36&lt;&gt;"", 'RAW DATA'!$M36&lt;&gt;"",  'RAW DATA'!$J36="",  'RAW DATA'!$K36="", LEFT('RAW DATA'!$M36,17)&lt;&gt;"Oceanic Endeavour"), 'RAW DATA'!$M36, "")</f>
        <v/>
      </c>
      <c r="D36" s="19" t="str">
        <f t="shared" si="0"/>
        <v/>
      </c>
    </row>
    <row r="37" spans="2:4" x14ac:dyDescent="0.25">
      <c r="B37" s="18" t="str">
        <f>IF(AND('RAW DATA'!$L37&lt;&gt;"", 'RAW DATA'!$M37&lt;&gt;"",  'RAW DATA'!$J37="",  'RAW DATA'!$K37="", LEFT('RAW DATA'!$M37,17)&lt;&gt;"Oceanic Endeavour"), 'RAW DATA'!$L37, "")</f>
        <v/>
      </c>
      <c r="C37" s="18" t="str">
        <f>IF(AND('RAW DATA'!$L37&lt;&gt;"", 'RAW DATA'!$M37&lt;&gt;"",  'RAW DATA'!$J37="",  'RAW DATA'!$K37="", LEFT('RAW DATA'!$M37,17)&lt;&gt;"Oceanic Endeavour"), 'RAW DATA'!$M37, "")</f>
        <v/>
      </c>
      <c r="D37" s="19" t="str">
        <f t="shared" si="0"/>
        <v/>
      </c>
    </row>
    <row r="38" spans="2:4" x14ac:dyDescent="0.25">
      <c r="B38" s="18" t="str">
        <f>IF(AND('RAW DATA'!$L38&lt;&gt;"", 'RAW DATA'!$M38&lt;&gt;"",  'RAW DATA'!$J38="",  'RAW DATA'!$K38="", LEFT('RAW DATA'!$M38,17)&lt;&gt;"Oceanic Endeavour"), 'RAW DATA'!$L38, "")</f>
        <v/>
      </c>
      <c r="C38" s="18" t="str">
        <f>IF(AND('RAW DATA'!$L38&lt;&gt;"", 'RAW DATA'!$M38&lt;&gt;"",  'RAW DATA'!$J38="",  'RAW DATA'!$K38="", LEFT('RAW DATA'!$M38,17)&lt;&gt;"Oceanic Endeavour"), 'RAW DATA'!$M38, "")</f>
        <v/>
      </c>
      <c r="D38" s="19" t="str">
        <f t="shared" si="0"/>
        <v/>
      </c>
    </row>
    <row r="39" spans="2:4" x14ac:dyDescent="0.25">
      <c r="B39" s="18" t="str">
        <f>IF(AND('RAW DATA'!$L39&lt;&gt;"", 'RAW DATA'!$M39&lt;&gt;"",  'RAW DATA'!$J39="",  'RAW DATA'!$K39="", LEFT('RAW DATA'!$M39,17)&lt;&gt;"Oceanic Endeavour"), 'RAW DATA'!$L39, "")</f>
        <v/>
      </c>
      <c r="C39" s="18" t="str">
        <f>IF(AND('RAW DATA'!$L39&lt;&gt;"", 'RAW DATA'!$M39&lt;&gt;"",  'RAW DATA'!$J39="",  'RAW DATA'!$K39="", LEFT('RAW DATA'!$M39,17)&lt;&gt;"Oceanic Endeavour"), 'RAW DATA'!$M39, "")</f>
        <v/>
      </c>
      <c r="D39" s="19" t="str">
        <f t="shared" si="0"/>
        <v/>
      </c>
    </row>
    <row r="40" spans="2:4" x14ac:dyDescent="0.25">
      <c r="B40" s="18" t="str">
        <f>IF(AND('RAW DATA'!$L40&lt;&gt;"", 'RAW DATA'!$M40&lt;&gt;"",  'RAW DATA'!$J40="",  'RAW DATA'!$K40="", LEFT('RAW DATA'!$M40,17)&lt;&gt;"Oceanic Endeavour"), 'RAW DATA'!$L40, "")</f>
        <v/>
      </c>
      <c r="C40" s="18" t="str">
        <f>IF(AND('RAW DATA'!$L40&lt;&gt;"", 'RAW DATA'!$M40&lt;&gt;"",  'RAW DATA'!$J40="",  'RAW DATA'!$K40="", LEFT('RAW DATA'!$M40,17)&lt;&gt;"Oceanic Endeavour"), 'RAW DATA'!$M40, "")</f>
        <v/>
      </c>
      <c r="D40" s="19" t="str">
        <f t="shared" si="0"/>
        <v/>
      </c>
    </row>
    <row r="41" spans="2:4" x14ac:dyDescent="0.25">
      <c r="B41" s="18" t="str">
        <f>IF(AND('RAW DATA'!$L41&lt;&gt;"", 'RAW DATA'!$M41&lt;&gt;"",  'RAW DATA'!$J41="",  'RAW DATA'!$K41="", LEFT('RAW DATA'!$M41,17)&lt;&gt;"Oceanic Endeavour"), 'RAW DATA'!$L41, "")</f>
        <v/>
      </c>
      <c r="C41" s="18" t="str">
        <f>IF(AND('RAW DATA'!$L41&lt;&gt;"", 'RAW DATA'!$M41&lt;&gt;"",  'RAW DATA'!$J41="",  'RAW DATA'!$K41="", LEFT('RAW DATA'!$M41,17)&lt;&gt;"Oceanic Endeavour"), 'RAW DATA'!$M41, "")</f>
        <v/>
      </c>
      <c r="D41" s="19" t="str">
        <f t="shared" si="0"/>
        <v/>
      </c>
    </row>
    <row r="42" spans="2:4" x14ac:dyDescent="0.25">
      <c r="B42" s="18" t="str">
        <f>IF(AND('RAW DATA'!$L42&lt;&gt;"", 'RAW DATA'!$M42&lt;&gt;"",  'RAW DATA'!$J42="",  'RAW DATA'!$K42="", LEFT('RAW DATA'!$M42,17)&lt;&gt;"Oceanic Endeavour"), 'RAW DATA'!$L42, "")</f>
        <v/>
      </c>
      <c r="C42" s="18" t="str">
        <f>IF(AND('RAW DATA'!$L42&lt;&gt;"", 'RAW DATA'!$M42&lt;&gt;"",  'RAW DATA'!$J42="",  'RAW DATA'!$K42="", LEFT('RAW DATA'!$M42,17)&lt;&gt;"Oceanic Endeavour"), 'RAW DATA'!$M42, "")</f>
        <v/>
      </c>
      <c r="D42" s="19" t="str">
        <f t="shared" si="0"/>
        <v/>
      </c>
    </row>
    <row r="43" spans="2:4" x14ac:dyDescent="0.25">
      <c r="B43" s="18" t="str">
        <f>IF(AND('RAW DATA'!$L43&lt;&gt;"", 'RAW DATA'!$M43&lt;&gt;"",  'RAW DATA'!$J43="",  'RAW DATA'!$K43="", LEFT('RAW DATA'!$M43,17)&lt;&gt;"Oceanic Endeavour"), 'RAW DATA'!$L43, "")</f>
        <v/>
      </c>
      <c r="C43" s="18" t="str">
        <f>IF(AND('RAW DATA'!$L43&lt;&gt;"", 'RAW DATA'!$M43&lt;&gt;"",  'RAW DATA'!$J43="",  'RAW DATA'!$K43="", LEFT('RAW DATA'!$M43,17)&lt;&gt;"Oceanic Endeavour"), 'RAW DATA'!$M43, "")</f>
        <v/>
      </c>
      <c r="D43" s="19" t="str">
        <f t="shared" si="0"/>
        <v/>
      </c>
    </row>
    <row r="44" spans="2:4" x14ac:dyDescent="0.25">
      <c r="B44" s="18" t="str">
        <f>IF(AND('RAW DATA'!$L44&lt;&gt;"", 'RAW DATA'!$M44&lt;&gt;"",  'RAW DATA'!$J44="",  'RAW DATA'!$K44="", LEFT('RAW DATA'!$M44,17)&lt;&gt;"Oceanic Endeavour"), 'RAW DATA'!$L44, "")</f>
        <v/>
      </c>
      <c r="C44" s="18" t="str">
        <f>IF(AND('RAW DATA'!$L44&lt;&gt;"", 'RAW DATA'!$M44&lt;&gt;"",  'RAW DATA'!$J44="",  'RAW DATA'!$K44="", LEFT('RAW DATA'!$M44,17)&lt;&gt;"Oceanic Endeavour"), 'RAW DATA'!$M44, "")</f>
        <v/>
      </c>
      <c r="D44" s="19" t="str">
        <f t="shared" si="0"/>
        <v/>
      </c>
    </row>
    <row r="45" spans="2:4" x14ac:dyDescent="0.25">
      <c r="B45" s="18" t="str">
        <f>IF(AND('RAW DATA'!$L45&lt;&gt;"", 'RAW DATA'!$M45&lt;&gt;"",  'RAW DATA'!$J45="",  'RAW DATA'!$K45="", LEFT('RAW DATA'!$M45,17)&lt;&gt;"Oceanic Endeavour"), 'RAW DATA'!$L45, "")</f>
        <v/>
      </c>
      <c r="C45" s="18" t="str">
        <f>IF(AND('RAW DATA'!$L45&lt;&gt;"", 'RAW DATA'!$M45&lt;&gt;"",  'RAW DATA'!$J45="",  'RAW DATA'!$K45="", LEFT('RAW DATA'!$M45,17)&lt;&gt;"Oceanic Endeavour"), 'RAW DATA'!$M45, "")</f>
        <v/>
      </c>
      <c r="D45" s="19" t="str">
        <f t="shared" si="0"/>
        <v/>
      </c>
    </row>
    <row r="46" spans="2:4" x14ac:dyDescent="0.25">
      <c r="B46" s="18" t="str">
        <f>IF(AND('RAW DATA'!$L46&lt;&gt;"", 'RAW DATA'!$M46&lt;&gt;"",  'RAW DATA'!$J46="",  'RAW DATA'!$K46="", LEFT('RAW DATA'!$M46,17)&lt;&gt;"Oceanic Endeavour"), 'RAW DATA'!$L46, "")</f>
        <v/>
      </c>
      <c r="C46" s="18" t="str">
        <f>IF(AND('RAW DATA'!$L46&lt;&gt;"", 'RAW DATA'!$M46&lt;&gt;"",  'RAW DATA'!$J46="",  'RAW DATA'!$K46="", LEFT('RAW DATA'!$M46,17)&lt;&gt;"Oceanic Endeavour"), 'RAW DATA'!$M46, "")</f>
        <v/>
      </c>
      <c r="D46" s="19" t="str">
        <f t="shared" si="0"/>
        <v/>
      </c>
    </row>
    <row r="47" spans="2:4" x14ac:dyDescent="0.25">
      <c r="B47" s="18" t="str">
        <f>IF(AND('RAW DATA'!$L47&lt;&gt;"", 'RAW DATA'!$M47&lt;&gt;"",  'RAW DATA'!$J47="",  'RAW DATA'!$K47="", LEFT('RAW DATA'!$M47,17)&lt;&gt;"Oceanic Endeavour"), 'RAW DATA'!$L47, "")</f>
        <v/>
      </c>
      <c r="C47" s="18" t="str">
        <f>IF(AND('RAW DATA'!$L47&lt;&gt;"", 'RAW DATA'!$M47&lt;&gt;"",  'RAW DATA'!$J47="",  'RAW DATA'!$K47="", LEFT('RAW DATA'!$M47,17)&lt;&gt;"Oceanic Endeavour"), 'RAW DATA'!$M47, "")</f>
        <v/>
      </c>
      <c r="D47" s="19" t="str">
        <f t="shared" si="0"/>
        <v/>
      </c>
    </row>
    <row r="48" spans="2:4" x14ac:dyDescent="0.25">
      <c r="B48" s="18" t="str">
        <f>IF(AND('RAW DATA'!$L48&lt;&gt;"", 'RAW DATA'!$M48&lt;&gt;"",  'RAW DATA'!$J48="",  'RAW DATA'!$K48="", LEFT('RAW DATA'!$M48,17)&lt;&gt;"Oceanic Endeavour"), 'RAW DATA'!$L48, "")</f>
        <v/>
      </c>
      <c r="C48" s="18" t="str">
        <f>IF(AND('RAW DATA'!$L48&lt;&gt;"", 'RAW DATA'!$M48&lt;&gt;"",  'RAW DATA'!$J48="",  'RAW DATA'!$K48="", LEFT('RAW DATA'!$M48,17)&lt;&gt;"Oceanic Endeavour"), 'RAW DATA'!$M48, "")</f>
        <v/>
      </c>
      <c r="D48" s="19" t="str">
        <f t="shared" si="0"/>
        <v/>
      </c>
    </row>
    <row r="49" spans="2:4" x14ac:dyDescent="0.25">
      <c r="B49" s="18" t="str">
        <f>IF(AND('RAW DATA'!$L49&lt;&gt;"", 'RAW DATA'!$M49&lt;&gt;"",  'RAW DATA'!$J49="",  'RAW DATA'!$K49="", LEFT('RAW DATA'!$M49,17)&lt;&gt;"Oceanic Endeavour"), 'RAW DATA'!$L49, "")</f>
        <v/>
      </c>
      <c r="C49" s="18" t="str">
        <f>IF(AND('RAW DATA'!$L49&lt;&gt;"", 'RAW DATA'!$M49&lt;&gt;"",  'RAW DATA'!$J49="",  'RAW DATA'!$K49="", LEFT('RAW DATA'!$M49,17)&lt;&gt;"Oceanic Endeavour"), 'RAW DATA'!$M49, "")</f>
        <v/>
      </c>
      <c r="D49" s="19" t="str">
        <f t="shared" si="0"/>
        <v/>
      </c>
    </row>
    <row r="50" spans="2:4" x14ac:dyDescent="0.25">
      <c r="B50" s="18" t="str">
        <f>IF(AND('RAW DATA'!$L50&lt;&gt;"", 'RAW DATA'!$M50&lt;&gt;"",  'RAW DATA'!$J50="",  'RAW DATA'!$K50="", LEFT('RAW DATA'!$M50,17)&lt;&gt;"Oceanic Endeavour"), 'RAW DATA'!$L50, "")</f>
        <v/>
      </c>
      <c r="C50" s="18" t="str">
        <f>IF(AND('RAW DATA'!$L50&lt;&gt;"", 'RAW DATA'!$M50&lt;&gt;"",  'RAW DATA'!$J50="",  'RAW DATA'!$K50="", LEFT('RAW DATA'!$M50,17)&lt;&gt;"Oceanic Endeavour"), 'RAW DATA'!$M50, "")</f>
        <v/>
      </c>
      <c r="D50" s="19" t="str">
        <f t="shared" si="0"/>
        <v/>
      </c>
    </row>
    <row r="51" spans="2:4" x14ac:dyDescent="0.25">
      <c r="B51" s="18" t="str">
        <f>IF(AND('RAW DATA'!$L51&lt;&gt;"", 'RAW DATA'!$M51&lt;&gt;"",  'RAW DATA'!$J51="",  'RAW DATA'!$K51="", LEFT('RAW DATA'!$M51,17)&lt;&gt;"Oceanic Endeavour"), 'RAW DATA'!$L51, "")</f>
        <v/>
      </c>
      <c r="C51" s="18" t="str">
        <f>IF(AND('RAW DATA'!$L51&lt;&gt;"", 'RAW DATA'!$M51&lt;&gt;"",  'RAW DATA'!$J51="",  'RAW DATA'!$K51="", LEFT('RAW DATA'!$M51,17)&lt;&gt;"Oceanic Endeavour"), 'RAW DATA'!$M51, "")</f>
        <v/>
      </c>
      <c r="D51" s="19" t="str">
        <f t="shared" si="0"/>
        <v/>
      </c>
    </row>
    <row r="52" spans="2:4" x14ac:dyDescent="0.25">
      <c r="B52" s="18" t="str">
        <f>IF(AND('RAW DATA'!$L52&lt;&gt;"", 'RAW DATA'!$M52&lt;&gt;"",  'RAW DATA'!$J52="",  'RAW DATA'!$K52="", LEFT('RAW DATA'!$M52,17)&lt;&gt;"Oceanic Endeavour"), 'RAW DATA'!$L52, "")</f>
        <v/>
      </c>
      <c r="C52" s="18" t="str">
        <f>IF(AND('RAW DATA'!$L52&lt;&gt;"", 'RAW DATA'!$M52&lt;&gt;"",  'RAW DATA'!$J52="",  'RAW DATA'!$K52="", LEFT('RAW DATA'!$M52,17)&lt;&gt;"Oceanic Endeavour"), 'RAW DATA'!$M52, "")</f>
        <v/>
      </c>
      <c r="D52" s="19" t="str">
        <f t="shared" si="0"/>
        <v/>
      </c>
    </row>
    <row r="53" spans="2:4" x14ac:dyDescent="0.25">
      <c r="B53" s="18" t="str">
        <f>IF(AND('RAW DATA'!$L53&lt;&gt;"", 'RAW DATA'!$M53&lt;&gt;"",  'RAW DATA'!$J53="",  'RAW DATA'!$K53="", LEFT('RAW DATA'!$M53,17)&lt;&gt;"Oceanic Endeavour"), 'RAW DATA'!$L53, "")</f>
        <v/>
      </c>
      <c r="C53" s="18" t="str">
        <f>IF(AND('RAW DATA'!$L53&lt;&gt;"", 'RAW DATA'!$M53&lt;&gt;"",  'RAW DATA'!$J53="",  'RAW DATA'!$K53="", LEFT('RAW DATA'!$M53,17)&lt;&gt;"Oceanic Endeavour"), 'RAW DATA'!$M53, "")</f>
        <v/>
      </c>
      <c r="D53" s="19" t="str">
        <f t="shared" si="0"/>
        <v/>
      </c>
    </row>
    <row r="54" spans="2:4" x14ac:dyDescent="0.25">
      <c r="B54" s="18" t="str">
        <f>IF(AND('RAW DATA'!$L54&lt;&gt;"", 'RAW DATA'!$M54&lt;&gt;"",  'RAW DATA'!$J54="",  'RAW DATA'!$K54="", LEFT('RAW DATA'!$M54,17)&lt;&gt;"Oceanic Endeavour"), 'RAW DATA'!$L54, "")</f>
        <v/>
      </c>
      <c r="C54" s="18" t="str">
        <f>IF(AND('RAW DATA'!$L54&lt;&gt;"", 'RAW DATA'!$M54&lt;&gt;"",  'RAW DATA'!$J54="",  'RAW DATA'!$K54="", LEFT('RAW DATA'!$M54,17)&lt;&gt;"Oceanic Endeavour"), 'RAW DATA'!$M54, "")</f>
        <v/>
      </c>
      <c r="D54" s="19" t="str">
        <f t="shared" si="0"/>
        <v/>
      </c>
    </row>
    <row r="55" spans="2:4" x14ac:dyDescent="0.25">
      <c r="B55" s="18" t="str">
        <f>IF(AND('RAW DATA'!$L55&lt;&gt;"", 'RAW DATA'!$M55&lt;&gt;"",  'RAW DATA'!$J55="",  'RAW DATA'!$K55="", LEFT('RAW DATA'!$M55,17)&lt;&gt;"Oceanic Endeavour"), 'RAW DATA'!$L55, "")</f>
        <v/>
      </c>
      <c r="C55" s="18" t="str">
        <f>IF(AND('RAW DATA'!$L55&lt;&gt;"", 'RAW DATA'!$M55&lt;&gt;"",  'RAW DATA'!$J55="",  'RAW DATA'!$K55="", LEFT('RAW DATA'!$M55,17)&lt;&gt;"Oceanic Endeavour"), 'RAW DATA'!$M55, "")</f>
        <v/>
      </c>
      <c r="D55" s="19" t="str">
        <f t="shared" si="0"/>
        <v/>
      </c>
    </row>
    <row r="56" spans="2:4" x14ac:dyDescent="0.25">
      <c r="B56" s="18" t="str">
        <f>IF(AND('RAW DATA'!$L56&lt;&gt;"", 'RAW DATA'!$M56&lt;&gt;"",  'RAW DATA'!$J56="",  'RAW DATA'!$K56="", LEFT('RAW DATA'!$M56,17)&lt;&gt;"Oceanic Endeavour"), 'RAW DATA'!$L56, "")</f>
        <v/>
      </c>
      <c r="C56" s="18" t="str">
        <f>IF(AND('RAW DATA'!$L56&lt;&gt;"", 'RAW DATA'!$M56&lt;&gt;"",  'RAW DATA'!$J56="",  'RAW DATA'!$K56="", LEFT('RAW DATA'!$M56,17)&lt;&gt;"Oceanic Endeavour"), 'RAW DATA'!$M56, "")</f>
        <v/>
      </c>
      <c r="D56" s="19" t="str">
        <f t="shared" si="0"/>
        <v/>
      </c>
    </row>
    <row r="57" spans="2:4" x14ac:dyDescent="0.25">
      <c r="B57" s="18" t="str">
        <f>IF(AND('RAW DATA'!$L57&lt;&gt;"", 'RAW DATA'!$M57&lt;&gt;"",  'RAW DATA'!$J57="",  'RAW DATA'!$K57="", LEFT('RAW DATA'!$M57,17)&lt;&gt;"Oceanic Endeavour"), 'RAW DATA'!$L57, "")</f>
        <v/>
      </c>
      <c r="C57" s="18" t="str">
        <f>IF(AND('RAW DATA'!$L57&lt;&gt;"", 'RAW DATA'!$M57&lt;&gt;"",  'RAW DATA'!$J57="",  'RAW DATA'!$K57="", LEFT('RAW DATA'!$M57,17)&lt;&gt;"Oceanic Endeavour"), 'RAW DATA'!$M57, "")</f>
        <v/>
      </c>
      <c r="D57" s="19" t="str">
        <f t="shared" si="0"/>
        <v/>
      </c>
    </row>
    <row r="58" spans="2:4" x14ac:dyDescent="0.25">
      <c r="B58" s="18" t="str">
        <f>IF(AND('RAW DATA'!$L58&lt;&gt;"", 'RAW DATA'!$M58&lt;&gt;"",  'RAW DATA'!$J58="",  'RAW DATA'!$K58="", LEFT('RAW DATA'!$M58,17)&lt;&gt;"Oceanic Endeavour"), 'RAW DATA'!$L58, "")</f>
        <v/>
      </c>
      <c r="C58" s="18" t="str">
        <f>IF(AND('RAW DATA'!$L58&lt;&gt;"", 'RAW DATA'!$M58&lt;&gt;"",  'RAW DATA'!$J58="",  'RAW DATA'!$K58="", LEFT('RAW DATA'!$M58,17)&lt;&gt;"Oceanic Endeavour"), 'RAW DATA'!$M58, "")</f>
        <v/>
      </c>
      <c r="D58" s="19" t="str">
        <f t="shared" si="0"/>
        <v/>
      </c>
    </row>
    <row r="59" spans="2:4" x14ac:dyDescent="0.25">
      <c r="B59" s="18" t="str">
        <f>IF(AND('RAW DATA'!$L59&lt;&gt;"", 'RAW DATA'!$M59&lt;&gt;"",  'RAW DATA'!$J59="",  'RAW DATA'!$K59="", LEFT('RAW DATA'!$M59,17)&lt;&gt;"Oceanic Endeavour"), 'RAW DATA'!$L59, "")</f>
        <v/>
      </c>
      <c r="C59" s="18" t="str">
        <f>IF(AND('RAW DATA'!$L59&lt;&gt;"", 'RAW DATA'!$M59&lt;&gt;"",  'RAW DATA'!$J59="",  'RAW DATA'!$K59="", LEFT('RAW DATA'!$M59,17)&lt;&gt;"Oceanic Endeavour"), 'RAW DATA'!$M59, "")</f>
        <v/>
      </c>
      <c r="D59" s="19" t="str">
        <f t="shared" si="0"/>
        <v/>
      </c>
    </row>
    <row r="60" spans="2:4" x14ac:dyDescent="0.25">
      <c r="B60" s="18" t="str">
        <f>IF(AND('RAW DATA'!$L60&lt;&gt;"", 'RAW DATA'!$M60&lt;&gt;"",  'RAW DATA'!$J60="",  'RAW DATA'!$K60="", LEFT('RAW DATA'!$M60,17)&lt;&gt;"Oceanic Endeavour"), 'RAW DATA'!$L60, "")</f>
        <v/>
      </c>
      <c r="C60" s="18" t="str">
        <f>IF(AND('RAW DATA'!$L60&lt;&gt;"", 'RAW DATA'!$M60&lt;&gt;"",  'RAW DATA'!$J60="",  'RAW DATA'!$K60="", LEFT('RAW DATA'!$M60,17)&lt;&gt;"Oceanic Endeavour"), 'RAW DATA'!$M60, "")</f>
        <v/>
      </c>
      <c r="D60" s="19" t="str">
        <f t="shared" si="0"/>
        <v/>
      </c>
    </row>
    <row r="61" spans="2:4" x14ac:dyDescent="0.25">
      <c r="B61" s="18" t="str">
        <f>IF(AND('RAW DATA'!$L61&lt;&gt;"", 'RAW DATA'!$M61&lt;&gt;"",  'RAW DATA'!$J61="",  'RAW DATA'!$K61="", LEFT('RAW DATA'!$M61,17)&lt;&gt;"Oceanic Endeavour"), 'RAW DATA'!$L61, "")</f>
        <v/>
      </c>
      <c r="C61" s="18" t="str">
        <f>IF(AND('RAW DATA'!$L61&lt;&gt;"", 'RAW DATA'!$M61&lt;&gt;"",  'RAW DATA'!$J61="",  'RAW DATA'!$K61="", LEFT('RAW DATA'!$M61,17)&lt;&gt;"Oceanic Endeavour"), 'RAW DATA'!$M61, "")</f>
        <v/>
      </c>
      <c r="D61" s="19" t="str">
        <f t="shared" si="0"/>
        <v/>
      </c>
    </row>
    <row r="62" spans="2:4" x14ac:dyDescent="0.25">
      <c r="B62" s="18" t="str">
        <f>IF(AND('RAW DATA'!$L62&lt;&gt;"", 'RAW DATA'!$M62&lt;&gt;"",  'RAW DATA'!$J62="",  'RAW DATA'!$K62="", LEFT('RAW DATA'!$M62,17)&lt;&gt;"Oceanic Endeavour"), 'RAW DATA'!$L62, "")</f>
        <v/>
      </c>
      <c r="C62" s="18" t="str">
        <f>IF(AND('RAW DATA'!$L62&lt;&gt;"", 'RAW DATA'!$M62&lt;&gt;"",  'RAW DATA'!$J62="",  'RAW DATA'!$K62="", LEFT('RAW DATA'!$M62,17)&lt;&gt;"Oceanic Endeavour"), 'RAW DATA'!$M62, "")</f>
        <v/>
      </c>
      <c r="D62" s="19" t="str">
        <f t="shared" si="0"/>
        <v/>
      </c>
    </row>
    <row r="63" spans="2:4" x14ac:dyDescent="0.25">
      <c r="B63" s="18" t="str">
        <f>IF(AND('RAW DATA'!$L63&lt;&gt;"", 'RAW DATA'!$M63&lt;&gt;"",  'RAW DATA'!$J63="",  'RAW DATA'!$K63="", LEFT('RAW DATA'!$M63,17)&lt;&gt;"Oceanic Endeavour"), 'RAW DATA'!$L63, "")</f>
        <v/>
      </c>
      <c r="C63" s="18" t="str">
        <f>IF(AND('RAW DATA'!$L63&lt;&gt;"", 'RAW DATA'!$M63&lt;&gt;"",  'RAW DATA'!$J63="",  'RAW DATA'!$K63="", LEFT('RAW DATA'!$M63,17)&lt;&gt;"Oceanic Endeavour"), 'RAW DATA'!$M63, "")</f>
        <v/>
      </c>
      <c r="D63" s="19" t="str">
        <f t="shared" si="0"/>
        <v/>
      </c>
    </row>
    <row r="64" spans="2:4" x14ac:dyDescent="0.25">
      <c r="B64" s="18" t="str">
        <f>IF(AND('RAW DATA'!$L64&lt;&gt;"", 'RAW DATA'!$M64&lt;&gt;"",  'RAW DATA'!$J64="",  'RAW DATA'!$K64="", LEFT('RAW DATA'!$M64,17)&lt;&gt;"Oceanic Endeavour"), 'RAW DATA'!$L64, "")</f>
        <v/>
      </c>
      <c r="C64" s="18" t="str">
        <f>IF(AND('RAW DATA'!$L64&lt;&gt;"", 'RAW DATA'!$M64&lt;&gt;"",  'RAW DATA'!$J64="",  'RAW DATA'!$K64="", LEFT('RAW DATA'!$M64,17)&lt;&gt;"Oceanic Endeavour"), 'RAW DATA'!$M64, "")</f>
        <v/>
      </c>
      <c r="D64" s="19" t="str">
        <f t="shared" si="0"/>
        <v/>
      </c>
    </row>
    <row r="65" spans="2:4" x14ac:dyDescent="0.25">
      <c r="B65" s="18" t="str">
        <f>IF(AND('RAW DATA'!$L65&lt;&gt;"", 'RAW DATA'!$M65&lt;&gt;"",  'RAW DATA'!$J65="",  'RAW DATA'!$K65="", LEFT('RAW DATA'!$M65,17)&lt;&gt;"Oceanic Endeavour"), 'RAW DATA'!$L65, "")</f>
        <v/>
      </c>
      <c r="C65" s="18" t="str">
        <f>IF(AND('RAW DATA'!$L65&lt;&gt;"", 'RAW DATA'!$M65&lt;&gt;"",  'RAW DATA'!$J65="",  'RAW DATA'!$K65="", LEFT('RAW DATA'!$M65,17)&lt;&gt;"Oceanic Endeavour"), 'RAW DATA'!$M65, "")</f>
        <v/>
      </c>
      <c r="D65" s="19" t="str">
        <f t="shared" si="0"/>
        <v/>
      </c>
    </row>
    <row r="66" spans="2:4" x14ac:dyDescent="0.25">
      <c r="B66" s="18" t="str">
        <f>IF(AND('RAW DATA'!$L66&lt;&gt;"", 'RAW DATA'!$M66&lt;&gt;"",  'RAW DATA'!$J66="",  'RAW DATA'!$K66="", LEFT('RAW DATA'!$M66,17)&lt;&gt;"Oceanic Endeavour"), 'RAW DATA'!$L66, "")</f>
        <v/>
      </c>
      <c r="C66" s="18" t="str">
        <f>IF(AND('RAW DATA'!$L66&lt;&gt;"", 'RAW DATA'!$M66&lt;&gt;"",  'RAW DATA'!$J66="",  'RAW DATA'!$K66="", LEFT('RAW DATA'!$M66,17)&lt;&gt;"Oceanic Endeavour"), 'RAW DATA'!$M66, "")</f>
        <v/>
      </c>
      <c r="D66" s="19" t="str">
        <f t="shared" si="0"/>
        <v/>
      </c>
    </row>
    <row r="67" spans="2:4" x14ac:dyDescent="0.25">
      <c r="B67" s="18" t="str">
        <f>IF(AND('RAW DATA'!$L67&lt;&gt;"", 'RAW DATA'!$M67&lt;&gt;"",  'RAW DATA'!$J67="",  'RAW DATA'!$K67="", LEFT('RAW DATA'!$M67,17)&lt;&gt;"Oceanic Endeavour"), 'RAW DATA'!$L67, "")</f>
        <v/>
      </c>
      <c r="C67" s="18" t="str">
        <f>IF(AND('RAW DATA'!$L67&lt;&gt;"", 'RAW DATA'!$M67&lt;&gt;"",  'RAW DATA'!$J67="",  'RAW DATA'!$K67="", LEFT('RAW DATA'!$M67,17)&lt;&gt;"Oceanic Endeavour"), 'RAW DATA'!$M67, "")</f>
        <v/>
      </c>
      <c r="D67" s="19" t="str">
        <f t="shared" si="0"/>
        <v/>
      </c>
    </row>
    <row r="68" spans="2:4" x14ac:dyDescent="0.25">
      <c r="B68" s="18" t="str">
        <f>IF(AND('RAW DATA'!$L68&lt;&gt;"", 'RAW DATA'!$M68&lt;&gt;"",  'RAW DATA'!$J68="",  'RAW DATA'!$K68="", LEFT('RAW DATA'!$M68,17)&lt;&gt;"Oceanic Endeavour"), 'RAW DATA'!$L68, "")</f>
        <v/>
      </c>
      <c r="C68" s="18" t="str">
        <f>IF(AND('RAW DATA'!$L68&lt;&gt;"", 'RAW DATA'!$M68&lt;&gt;"",  'RAW DATA'!$J68="",  'RAW DATA'!$K68="", LEFT('RAW DATA'!$M68,17)&lt;&gt;"Oceanic Endeavour"), 'RAW DATA'!$M68, "")</f>
        <v/>
      </c>
      <c r="D68" s="19" t="str">
        <f t="shared" si="0"/>
        <v/>
      </c>
    </row>
    <row r="69" spans="2:4" x14ac:dyDescent="0.25">
      <c r="B69" s="18" t="str">
        <f>IF(AND('RAW DATA'!$L69&lt;&gt;"", 'RAW DATA'!$M69&lt;&gt;"",  'RAW DATA'!$J69="",  'RAW DATA'!$K69="", LEFT('RAW DATA'!$M69,17)&lt;&gt;"Oceanic Endeavour"), 'RAW DATA'!$L69, "")</f>
        <v/>
      </c>
      <c r="C69" s="18" t="str">
        <f>IF(AND('RAW DATA'!$L69&lt;&gt;"", 'RAW DATA'!$M69&lt;&gt;"",  'RAW DATA'!$J69="",  'RAW DATA'!$K69="", LEFT('RAW DATA'!$M69,17)&lt;&gt;"Oceanic Endeavour"), 'RAW DATA'!$M69, "")</f>
        <v/>
      </c>
      <c r="D69" s="19" t="str">
        <f t="shared" ref="D69:D132" si="1">IF(AND($B69&lt;&gt;"", $C69&lt;&gt;""), COUNTIF($C$4:$C$611, $C69), "")</f>
        <v/>
      </c>
    </row>
    <row r="70" spans="2:4" x14ac:dyDescent="0.25">
      <c r="B70" s="18" t="str">
        <f>IF(AND('RAW DATA'!$L70&lt;&gt;"", 'RAW DATA'!$M70&lt;&gt;"",  'RAW DATA'!$J70="",  'RAW DATA'!$K70="", LEFT('RAW DATA'!$M70,17)&lt;&gt;"Oceanic Endeavour"), 'RAW DATA'!$L70, "")</f>
        <v/>
      </c>
      <c r="C70" s="18" t="str">
        <f>IF(AND('RAW DATA'!$L70&lt;&gt;"", 'RAW DATA'!$M70&lt;&gt;"",  'RAW DATA'!$J70="",  'RAW DATA'!$K70="", LEFT('RAW DATA'!$M70,17)&lt;&gt;"Oceanic Endeavour"), 'RAW DATA'!$M70, "")</f>
        <v/>
      </c>
      <c r="D70" s="19" t="str">
        <f t="shared" si="1"/>
        <v/>
      </c>
    </row>
    <row r="71" spans="2:4" x14ac:dyDescent="0.25">
      <c r="B71" s="18" t="str">
        <f>IF(AND('RAW DATA'!$L71&lt;&gt;"", 'RAW DATA'!$M71&lt;&gt;"",  'RAW DATA'!$J71="",  'RAW DATA'!$K71="", LEFT('RAW DATA'!$M71,17)&lt;&gt;"Oceanic Endeavour"), 'RAW DATA'!$L71, "")</f>
        <v/>
      </c>
      <c r="C71" s="18" t="str">
        <f>IF(AND('RAW DATA'!$L71&lt;&gt;"", 'RAW DATA'!$M71&lt;&gt;"",  'RAW DATA'!$J71="",  'RAW DATA'!$K71="", LEFT('RAW DATA'!$M71,17)&lt;&gt;"Oceanic Endeavour"), 'RAW DATA'!$M71, "")</f>
        <v/>
      </c>
      <c r="D71" s="19" t="str">
        <f t="shared" si="1"/>
        <v/>
      </c>
    </row>
    <row r="72" spans="2:4" x14ac:dyDescent="0.25">
      <c r="B72" s="18" t="str">
        <f>IF(AND('RAW DATA'!$L72&lt;&gt;"", 'RAW DATA'!$M72&lt;&gt;"",  'RAW DATA'!$J72="",  'RAW DATA'!$K72="", LEFT('RAW DATA'!$M72,17)&lt;&gt;"Oceanic Endeavour"), 'RAW DATA'!$L72, "")</f>
        <v/>
      </c>
      <c r="C72" s="18" t="str">
        <f>IF(AND('RAW DATA'!$L72&lt;&gt;"", 'RAW DATA'!$M72&lt;&gt;"",  'RAW DATA'!$J72="",  'RAW DATA'!$K72="", LEFT('RAW DATA'!$M72,17)&lt;&gt;"Oceanic Endeavour"), 'RAW DATA'!$M72, "")</f>
        <v/>
      </c>
      <c r="D72" s="19" t="str">
        <f t="shared" si="1"/>
        <v/>
      </c>
    </row>
    <row r="73" spans="2:4" x14ac:dyDescent="0.25">
      <c r="B73" s="18" t="str">
        <f>IF(AND('RAW DATA'!$L73&lt;&gt;"", 'RAW DATA'!$M73&lt;&gt;"",  'RAW DATA'!$J73="",  'RAW DATA'!$K73="", LEFT('RAW DATA'!$M73,17)&lt;&gt;"Oceanic Endeavour"), 'RAW DATA'!$L73, "")</f>
        <v/>
      </c>
      <c r="C73" s="18" t="str">
        <f>IF(AND('RAW DATA'!$L73&lt;&gt;"", 'RAW DATA'!$M73&lt;&gt;"",  'RAW DATA'!$J73="",  'RAW DATA'!$K73="", LEFT('RAW DATA'!$M73,17)&lt;&gt;"Oceanic Endeavour"), 'RAW DATA'!$M73, "")</f>
        <v/>
      </c>
      <c r="D73" s="19" t="str">
        <f t="shared" si="1"/>
        <v/>
      </c>
    </row>
    <row r="74" spans="2:4" x14ac:dyDescent="0.25">
      <c r="B74" s="18" t="str">
        <f>IF(AND('RAW DATA'!$L74&lt;&gt;"", 'RAW DATA'!$M74&lt;&gt;"",  'RAW DATA'!$J74="",  'RAW DATA'!$K74="", LEFT('RAW DATA'!$M74,17)&lt;&gt;"Oceanic Endeavour"), 'RAW DATA'!$L74, "")</f>
        <v/>
      </c>
      <c r="C74" s="18" t="str">
        <f>IF(AND('RAW DATA'!$L74&lt;&gt;"", 'RAW DATA'!$M74&lt;&gt;"",  'RAW DATA'!$J74="",  'RAW DATA'!$K74="", LEFT('RAW DATA'!$M74,17)&lt;&gt;"Oceanic Endeavour"), 'RAW DATA'!$M74, "")</f>
        <v/>
      </c>
      <c r="D74" s="19" t="str">
        <f t="shared" si="1"/>
        <v/>
      </c>
    </row>
    <row r="75" spans="2:4" x14ac:dyDescent="0.25">
      <c r="B75" s="18" t="str">
        <f>IF(AND('RAW DATA'!$L75&lt;&gt;"", 'RAW DATA'!$M75&lt;&gt;"",  'RAW DATA'!$J75="",  'RAW DATA'!$K75="", LEFT('RAW DATA'!$M75,17)&lt;&gt;"Oceanic Endeavour"), 'RAW DATA'!$L75, "")</f>
        <v/>
      </c>
      <c r="C75" s="18" t="str">
        <f>IF(AND('RAW DATA'!$L75&lt;&gt;"", 'RAW DATA'!$M75&lt;&gt;"",  'RAW DATA'!$J75="",  'RAW DATA'!$K75="", LEFT('RAW DATA'!$M75,17)&lt;&gt;"Oceanic Endeavour"), 'RAW DATA'!$M75, "")</f>
        <v/>
      </c>
      <c r="D75" s="19" t="str">
        <f t="shared" si="1"/>
        <v/>
      </c>
    </row>
    <row r="76" spans="2:4" x14ac:dyDescent="0.25">
      <c r="B76" s="18" t="str">
        <f>IF(AND('RAW DATA'!$L76&lt;&gt;"", 'RAW DATA'!$M76&lt;&gt;"",  'RAW DATA'!$J76="",  'RAW DATA'!$K76="", LEFT('RAW DATA'!$M76,17)&lt;&gt;"Oceanic Endeavour"), 'RAW DATA'!$L76, "")</f>
        <v/>
      </c>
      <c r="C76" s="18" t="str">
        <f>IF(AND('RAW DATA'!$L76&lt;&gt;"", 'RAW DATA'!$M76&lt;&gt;"",  'RAW DATA'!$J76="",  'RAW DATA'!$K76="", LEFT('RAW DATA'!$M76,17)&lt;&gt;"Oceanic Endeavour"), 'RAW DATA'!$M76, "")</f>
        <v/>
      </c>
      <c r="D76" s="19" t="str">
        <f t="shared" si="1"/>
        <v/>
      </c>
    </row>
    <row r="77" spans="2:4" x14ac:dyDescent="0.25">
      <c r="B77" s="18" t="str">
        <f>IF(AND('RAW DATA'!$L77&lt;&gt;"", 'RAW DATA'!$M77&lt;&gt;"",  'RAW DATA'!$J77="",  'RAW DATA'!$K77="", LEFT('RAW DATA'!$M77,17)&lt;&gt;"Oceanic Endeavour"), 'RAW DATA'!$L77, "")</f>
        <v/>
      </c>
      <c r="C77" s="18" t="str">
        <f>IF(AND('RAW DATA'!$L77&lt;&gt;"", 'RAW DATA'!$M77&lt;&gt;"",  'RAW DATA'!$J77="",  'RAW DATA'!$K77="", LEFT('RAW DATA'!$M77,17)&lt;&gt;"Oceanic Endeavour"), 'RAW DATA'!$M77, "")</f>
        <v/>
      </c>
      <c r="D77" s="19" t="str">
        <f t="shared" si="1"/>
        <v/>
      </c>
    </row>
    <row r="78" spans="2:4" x14ac:dyDescent="0.25">
      <c r="B78" s="18" t="str">
        <f>IF(AND('RAW DATA'!$L78&lt;&gt;"", 'RAW DATA'!$M78&lt;&gt;"",  'RAW DATA'!$J78="",  'RAW DATA'!$K78="", LEFT('RAW DATA'!$M78,17)&lt;&gt;"Oceanic Endeavour"), 'RAW DATA'!$L78, "")</f>
        <v/>
      </c>
      <c r="C78" s="18" t="str">
        <f>IF(AND('RAW DATA'!$L78&lt;&gt;"", 'RAW DATA'!$M78&lt;&gt;"",  'RAW DATA'!$J78="",  'RAW DATA'!$K78="", LEFT('RAW DATA'!$M78,17)&lt;&gt;"Oceanic Endeavour"), 'RAW DATA'!$M78, "")</f>
        <v/>
      </c>
      <c r="D78" s="19" t="str">
        <f t="shared" si="1"/>
        <v/>
      </c>
    </row>
    <row r="79" spans="2:4" x14ac:dyDescent="0.25">
      <c r="B79" s="18" t="str">
        <f>IF(AND('RAW DATA'!$L79&lt;&gt;"", 'RAW DATA'!$M79&lt;&gt;"",  'RAW DATA'!$J79="",  'RAW DATA'!$K79="", LEFT('RAW DATA'!$M79,17)&lt;&gt;"Oceanic Endeavour"), 'RAW DATA'!$L79, "")</f>
        <v/>
      </c>
      <c r="C79" s="18" t="str">
        <f>IF(AND('RAW DATA'!$L79&lt;&gt;"", 'RAW DATA'!$M79&lt;&gt;"",  'RAW DATA'!$J79="",  'RAW DATA'!$K79="", LEFT('RAW DATA'!$M79,17)&lt;&gt;"Oceanic Endeavour"), 'RAW DATA'!$M79, "")</f>
        <v/>
      </c>
      <c r="D79" s="19" t="str">
        <f t="shared" si="1"/>
        <v/>
      </c>
    </row>
    <row r="80" spans="2:4" x14ac:dyDescent="0.25">
      <c r="B80" s="18" t="str">
        <f>IF(AND('RAW DATA'!$L80&lt;&gt;"", 'RAW DATA'!$M80&lt;&gt;"",  'RAW DATA'!$J80="",  'RAW DATA'!$K80="", LEFT('RAW DATA'!$M80,17)&lt;&gt;"Oceanic Endeavour"), 'RAW DATA'!$L80, "")</f>
        <v/>
      </c>
      <c r="C80" s="18" t="str">
        <f>IF(AND('RAW DATA'!$L80&lt;&gt;"", 'RAW DATA'!$M80&lt;&gt;"",  'RAW DATA'!$J80="",  'RAW DATA'!$K80="", LEFT('RAW DATA'!$M80,17)&lt;&gt;"Oceanic Endeavour"), 'RAW DATA'!$M80, "")</f>
        <v/>
      </c>
      <c r="D80" s="19" t="str">
        <f t="shared" si="1"/>
        <v/>
      </c>
    </row>
    <row r="81" spans="2:4" x14ac:dyDescent="0.25">
      <c r="B81" s="18" t="str">
        <f>IF(AND('RAW DATA'!$L81&lt;&gt;"", 'RAW DATA'!$M81&lt;&gt;"",  'RAW DATA'!$J81="",  'RAW DATA'!$K81="", LEFT('RAW DATA'!$M81,17)&lt;&gt;"Oceanic Endeavour"), 'RAW DATA'!$L81, "")</f>
        <v/>
      </c>
      <c r="C81" s="18" t="str">
        <f>IF(AND('RAW DATA'!$L81&lt;&gt;"", 'RAW DATA'!$M81&lt;&gt;"",  'RAW DATA'!$J81="",  'RAW DATA'!$K81="", LEFT('RAW DATA'!$M81,17)&lt;&gt;"Oceanic Endeavour"), 'RAW DATA'!$M81, "")</f>
        <v/>
      </c>
      <c r="D81" s="19" t="str">
        <f t="shared" si="1"/>
        <v/>
      </c>
    </row>
    <row r="82" spans="2:4" x14ac:dyDescent="0.25">
      <c r="B82" s="18" t="str">
        <f>IF(AND('RAW DATA'!$L82&lt;&gt;"", 'RAW DATA'!$M82&lt;&gt;"",  'RAW DATA'!$J82="",  'RAW DATA'!$K82="", LEFT('RAW DATA'!$M82,17)&lt;&gt;"Oceanic Endeavour"), 'RAW DATA'!$L82, "")</f>
        <v/>
      </c>
      <c r="C82" s="18" t="str">
        <f>IF(AND('RAW DATA'!$L82&lt;&gt;"", 'RAW DATA'!$M82&lt;&gt;"",  'RAW DATA'!$J82="",  'RAW DATA'!$K82="", LEFT('RAW DATA'!$M82,17)&lt;&gt;"Oceanic Endeavour"), 'RAW DATA'!$M82, "")</f>
        <v/>
      </c>
      <c r="D82" s="19" t="str">
        <f t="shared" si="1"/>
        <v/>
      </c>
    </row>
    <row r="83" spans="2:4" x14ac:dyDescent="0.25">
      <c r="B83" s="18" t="str">
        <f>IF(AND('RAW DATA'!$L83&lt;&gt;"", 'RAW DATA'!$M83&lt;&gt;"",  'RAW DATA'!$J83="",  'RAW DATA'!$K83="", LEFT('RAW DATA'!$M83,17)&lt;&gt;"Oceanic Endeavour"), 'RAW DATA'!$L83, "")</f>
        <v/>
      </c>
      <c r="C83" s="18" t="str">
        <f>IF(AND('RAW DATA'!$L83&lt;&gt;"", 'RAW DATA'!$M83&lt;&gt;"",  'RAW DATA'!$J83="",  'RAW DATA'!$K83="", LEFT('RAW DATA'!$M83,17)&lt;&gt;"Oceanic Endeavour"), 'RAW DATA'!$M83, "")</f>
        <v/>
      </c>
      <c r="D83" s="19" t="str">
        <f t="shared" si="1"/>
        <v/>
      </c>
    </row>
    <row r="84" spans="2:4" x14ac:dyDescent="0.25">
      <c r="B84" s="18" t="str">
        <f>IF(AND('RAW DATA'!$L84&lt;&gt;"", 'RAW DATA'!$M84&lt;&gt;"",  'RAW DATA'!$J84="",  'RAW DATA'!$K84="", LEFT('RAW DATA'!$M84,17)&lt;&gt;"Oceanic Endeavour"), 'RAW DATA'!$L84, "")</f>
        <v/>
      </c>
      <c r="C84" s="18" t="str">
        <f>IF(AND('RAW DATA'!$L84&lt;&gt;"", 'RAW DATA'!$M84&lt;&gt;"",  'RAW DATA'!$J84="",  'RAW DATA'!$K84="", LEFT('RAW DATA'!$M84,17)&lt;&gt;"Oceanic Endeavour"), 'RAW DATA'!$M84, "")</f>
        <v/>
      </c>
      <c r="D84" s="19" t="str">
        <f t="shared" si="1"/>
        <v/>
      </c>
    </row>
    <row r="85" spans="2:4" x14ac:dyDescent="0.25">
      <c r="B85" s="18" t="str">
        <f>IF(AND('RAW DATA'!$L85&lt;&gt;"", 'RAW DATA'!$M85&lt;&gt;"",  'RAW DATA'!$J85="",  'RAW DATA'!$K85="", LEFT('RAW DATA'!$M85,17)&lt;&gt;"Oceanic Endeavour"), 'RAW DATA'!$L85, "")</f>
        <v/>
      </c>
      <c r="C85" s="18" t="str">
        <f>IF(AND('RAW DATA'!$L85&lt;&gt;"", 'RAW DATA'!$M85&lt;&gt;"",  'RAW DATA'!$J85="",  'RAW DATA'!$K85="", LEFT('RAW DATA'!$M85,17)&lt;&gt;"Oceanic Endeavour"), 'RAW DATA'!$M85, "")</f>
        <v/>
      </c>
      <c r="D85" s="19" t="str">
        <f t="shared" si="1"/>
        <v/>
      </c>
    </row>
    <row r="86" spans="2:4" x14ac:dyDescent="0.25">
      <c r="B86" s="18" t="str">
        <f>IF(AND('RAW DATA'!$L86&lt;&gt;"", 'RAW DATA'!$M86&lt;&gt;"",  'RAW DATA'!$J86="",  'RAW DATA'!$K86="", LEFT('RAW DATA'!$M86,17)&lt;&gt;"Oceanic Endeavour"), 'RAW DATA'!$L86, "")</f>
        <v/>
      </c>
      <c r="C86" s="18" t="str">
        <f>IF(AND('RAW DATA'!$L86&lt;&gt;"", 'RAW DATA'!$M86&lt;&gt;"",  'RAW DATA'!$J86="",  'RAW DATA'!$K86="", LEFT('RAW DATA'!$M86,17)&lt;&gt;"Oceanic Endeavour"), 'RAW DATA'!$M86, "")</f>
        <v/>
      </c>
      <c r="D86" s="19" t="str">
        <f t="shared" si="1"/>
        <v/>
      </c>
    </row>
    <row r="87" spans="2:4" x14ac:dyDescent="0.25">
      <c r="B87" s="18" t="str">
        <f>IF(AND('RAW DATA'!$L87&lt;&gt;"", 'RAW DATA'!$M87&lt;&gt;"",  'RAW DATA'!$J87="",  'RAW DATA'!$K87="", LEFT('RAW DATA'!$M87,17)&lt;&gt;"Oceanic Endeavour"), 'RAW DATA'!$L87, "")</f>
        <v/>
      </c>
      <c r="C87" s="18" t="str">
        <f>IF(AND('RAW DATA'!$L87&lt;&gt;"", 'RAW DATA'!$M87&lt;&gt;"",  'RAW DATA'!$J87="",  'RAW DATA'!$K87="", LEFT('RAW DATA'!$M87,17)&lt;&gt;"Oceanic Endeavour"), 'RAW DATA'!$M87, "")</f>
        <v/>
      </c>
      <c r="D87" s="19" t="str">
        <f t="shared" si="1"/>
        <v/>
      </c>
    </row>
    <row r="88" spans="2:4" x14ac:dyDescent="0.25">
      <c r="B88" s="18" t="str">
        <f>IF(AND('RAW DATA'!$L88&lt;&gt;"", 'RAW DATA'!$M88&lt;&gt;"",  'RAW DATA'!$J88="",  'RAW DATA'!$K88="", LEFT('RAW DATA'!$M88,17)&lt;&gt;"Oceanic Endeavour"), 'RAW DATA'!$L88, "")</f>
        <v/>
      </c>
      <c r="C88" s="18" t="str">
        <f>IF(AND('RAW DATA'!$L88&lt;&gt;"", 'RAW DATA'!$M88&lt;&gt;"",  'RAW DATA'!$J88="",  'RAW DATA'!$K88="", LEFT('RAW DATA'!$M88,17)&lt;&gt;"Oceanic Endeavour"), 'RAW DATA'!$M88, "")</f>
        <v/>
      </c>
      <c r="D88" s="19" t="str">
        <f t="shared" si="1"/>
        <v/>
      </c>
    </row>
    <row r="89" spans="2:4" x14ac:dyDescent="0.25">
      <c r="B89" s="18" t="str">
        <f>IF(AND('RAW DATA'!$L89&lt;&gt;"", 'RAW DATA'!$M89&lt;&gt;"",  'RAW DATA'!$J89="",  'RAW DATA'!$K89="", LEFT('RAW DATA'!$M89,17)&lt;&gt;"Oceanic Endeavour"), 'RAW DATA'!$L89, "")</f>
        <v/>
      </c>
      <c r="C89" s="18" t="str">
        <f>IF(AND('RAW DATA'!$L89&lt;&gt;"", 'RAW DATA'!$M89&lt;&gt;"",  'RAW DATA'!$J89="",  'RAW DATA'!$K89="", LEFT('RAW DATA'!$M89,17)&lt;&gt;"Oceanic Endeavour"), 'RAW DATA'!$M89, "")</f>
        <v/>
      </c>
      <c r="D89" s="19" t="str">
        <f t="shared" si="1"/>
        <v/>
      </c>
    </row>
    <row r="90" spans="2:4" x14ac:dyDescent="0.25">
      <c r="B90" s="18" t="str">
        <f>IF(AND('RAW DATA'!$L90&lt;&gt;"", 'RAW DATA'!$M90&lt;&gt;"",  'RAW DATA'!$J90="",  'RAW DATA'!$K90="", LEFT('RAW DATA'!$M90,17)&lt;&gt;"Oceanic Endeavour"), 'RAW DATA'!$L90, "")</f>
        <v/>
      </c>
      <c r="C90" s="18" t="str">
        <f>IF(AND('RAW DATA'!$L90&lt;&gt;"", 'RAW DATA'!$M90&lt;&gt;"",  'RAW DATA'!$J90="",  'RAW DATA'!$K90="", LEFT('RAW DATA'!$M90,17)&lt;&gt;"Oceanic Endeavour"), 'RAW DATA'!$M90, "")</f>
        <v/>
      </c>
      <c r="D90" s="19" t="str">
        <f t="shared" si="1"/>
        <v/>
      </c>
    </row>
    <row r="91" spans="2:4" x14ac:dyDescent="0.25">
      <c r="B91" s="18" t="str">
        <f>IF(AND('RAW DATA'!$L91&lt;&gt;"", 'RAW DATA'!$M91&lt;&gt;"",  'RAW DATA'!$J91="",  'RAW DATA'!$K91="", LEFT('RAW DATA'!$M91,17)&lt;&gt;"Oceanic Endeavour"), 'RAW DATA'!$L91, "")</f>
        <v/>
      </c>
      <c r="C91" s="18" t="str">
        <f>IF(AND('RAW DATA'!$L91&lt;&gt;"", 'RAW DATA'!$M91&lt;&gt;"",  'RAW DATA'!$J91="",  'RAW DATA'!$K91="", LEFT('RAW DATA'!$M91,17)&lt;&gt;"Oceanic Endeavour"), 'RAW DATA'!$M91, "")</f>
        <v/>
      </c>
      <c r="D91" s="19" t="str">
        <f t="shared" si="1"/>
        <v/>
      </c>
    </row>
    <row r="92" spans="2:4" x14ac:dyDescent="0.25">
      <c r="B92" s="18" t="str">
        <f>IF(AND('RAW DATA'!$L92&lt;&gt;"", 'RAW DATA'!$M92&lt;&gt;"",  'RAW DATA'!$J92="",  'RAW DATA'!$K92="", LEFT('RAW DATA'!$M92,17)&lt;&gt;"Oceanic Endeavour"), 'RAW DATA'!$L92, "")</f>
        <v/>
      </c>
      <c r="C92" s="18" t="str">
        <f>IF(AND('RAW DATA'!$L92&lt;&gt;"", 'RAW DATA'!$M92&lt;&gt;"",  'RAW DATA'!$J92="",  'RAW DATA'!$K92="", LEFT('RAW DATA'!$M92,17)&lt;&gt;"Oceanic Endeavour"), 'RAW DATA'!$M92, "")</f>
        <v/>
      </c>
      <c r="D92" s="19" t="str">
        <f t="shared" si="1"/>
        <v/>
      </c>
    </row>
    <row r="93" spans="2:4" x14ac:dyDescent="0.25">
      <c r="B93" s="18" t="str">
        <f>IF(AND('RAW DATA'!$L93&lt;&gt;"", 'RAW DATA'!$M93&lt;&gt;"",  'RAW DATA'!$J93="",  'RAW DATA'!$K93="", LEFT('RAW DATA'!$M93,17)&lt;&gt;"Oceanic Endeavour"), 'RAW DATA'!$L93, "")</f>
        <v/>
      </c>
      <c r="C93" s="18" t="str">
        <f>IF(AND('RAW DATA'!$L93&lt;&gt;"", 'RAW DATA'!$M93&lt;&gt;"",  'RAW DATA'!$J93="",  'RAW DATA'!$K93="", LEFT('RAW DATA'!$M93,17)&lt;&gt;"Oceanic Endeavour"), 'RAW DATA'!$M93, "")</f>
        <v/>
      </c>
      <c r="D93" s="19" t="str">
        <f t="shared" si="1"/>
        <v/>
      </c>
    </row>
    <row r="94" spans="2:4" x14ac:dyDescent="0.25">
      <c r="B94" s="18" t="str">
        <f>IF(AND('RAW DATA'!$L94&lt;&gt;"", 'RAW DATA'!$M94&lt;&gt;"",  'RAW DATA'!$J94="",  'RAW DATA'!$K94="", LEFT('RAW DATA'!$M94,17)&lt;&gt;"Oceanic Endeavour"), 'RAW DATA'!$L94, "")</f>
        <v/>
      </c>
      <c r="C94" s="18" t="str">
        <f>IF(AND('RAW DATA'!$L94&lt;&gt;"", 'RAW DATA'!$M94&lt;&gt;"",  'RAW DATA'!$J94="",  'RAW DATA'!$K94="", LEFT('RAW DATA'!$M94,17)&lt;&gt;"Oceanic Endeavour"), 'RAW DATA'!$M94, "")</f>
        <v/>
      </c>
      <c r="D94" s="19" t="str">
        <f t="shared" si="1"/>
        <v/>
      </c>
    </row>
    <row r="95" spans="2:4" x14ac:dyDescent="0.25">
      <c r="B95" s="18" t="str">
        <f>IF(AND('RAW DATA'!$L95&lt;&gt;"", 'RAW DATA'!$M95&lt;&gt;"",  'RAW DATA'!$J95="",  'RAW DATA'!$K95="", LEFT('RAW DATA'!$M95,17)&lt;&gt;"Oceanic Endeavour"), 'RAW DATA'!$L95, "")</f>
        <v/>
      </c>
      <c r="C95" s="18" t="str">
        <f>IF(AND('RAW DATA'!$L95&lt;&gt;"", 'RAW DATA'!$M95&lt;&gt;"",  'RAW DATA'!$J95="",  'RAW DATA'!$K95="", LEFT('RAW DATA'!$M95,17)&lt;&gt;"Oceanic Endeavour"), 'RAW DATA'!$M95, "")</f>
        <v/>
      </c>
      <c r="D95" s="19" t="str">
        <f t="shared" si="1"/>
        <v/>
      </c>
    </row>
    <row r="96" spans="2:4" x14ac:dyDescent="0.25">
      <c r="B96" s="18" t="str">
        <f>IF(AND('RAW DATA'!$L96&lt;&gt;"", 'RAW DATA'!$M96&lt;&gt;"",  'RAW DATA'!$J96="",  'RAW DATA'!$K96="", LEFT('RAW DATA'!$M96,17)&lt;&gt;"Oceanic Endeavour"), 'RAW DATA'!$L96, "")</f>
        <v/>
      </c>
      <c r="C96" s="18" t="str">
        <f>IF(AND('RAW DATA'!$L96&lt;&gt;"", 'RAW DATA'!$M96&lt;&gt;"",  'RAW DATA'!$J96="",  'RAW DATA'!$K96="", LEFT('RAW DATA'!$M96,17)&lt;&gt;"Oceanic Endeavour"), 'RAW DATA'!$M96, "")</f>
        <v/>
      </c>
      <c r="D96" s="19" t="str">
        <f t="shared" si="1"/>
        <v/>
      </c>
    </row>
    <row r="97" spans="2:4" x14ac:dyDescent="0.25">
      <c r="B97" s="18" t="str">
        <f>IF(AND('RAW DATA'!$L97&lt;&gt;"", 'RAW DATA'!$M97&lt;&gt;"",  'RAW DATA'!$J97="",  'RAW DATA'!$K97="", LEFT('RAW DATA'!$M97,17)&lt;&gt;"Oceanic Endeavour"), 'RAW DATA'!$L97, "")</f>
        <v/>
      </c>
      <c r="C97" s="18" t="str">
        <f>IF(AND('RAW DATA'!$L97&lt;&gt;"", 'RAW DATA'!$M97&lt;&gt;"",  'RAW DATA'!$J97="",  'RAW DATA'!$K97="", LEFT('RAW DATA'!$M97,17)&lt;&gt;"Oceanic Endeavour"), 'RAW DATA'!$M97, "")</f>
        <v/>
      </c>
      <c r="D97" s="19" t="str">
        <f t="shared" si="1"/>
        <v/>
      </c>
    </row>
    <row r="98" spans="2:4" x14ac:dyDescent="0.25">
      <c r="B98" s="18" t="str">
        <f>IF(AND('RAW DATA'!$L98&lt;&gt;"", 'RAW DATA'!$M98&lt;&gt;"",  'RAW DATA'!$J98="",  'RAW DATA'!$K98="", LEFT('RAW DATA'!$M98,17)&lt;&gt;"Oceanic Endeavour"), 'RAW DATA'!$L98, "")</f>
        <v/>
      </c>
      <c r="C98" s="18" t="str">
        <f>IF(AND('RAW DATA'!$L98&lt;&gt;"", 'RAW DATA'!$M98&lt;&gt;"",  'RAW DATA'!$J98="",  'RAW DATA'!$K98="", LEFT('RAW DATA'!$M98,17)&lt;&gt;"Oceanic Endeavour"), 'RAW DATA'!$M98, "")</f>
        <v/>
      </c>
      <c r="D98" s="19" t="str">
        <f t="shared" si="1"/>
        <v/>
      </c>
    </row>
    <row r="99" spans="2:4" x14ac:dyDescent="0.25">
      <c r="B99" s="18" t="str">
        <f>IF(AND('RAW DATA'!$L99&lt;&gt;"", 'RAW DATA'!$M99&lt;&gt;"",  'RAW DATA'!$J99="",  'RAW DATA'!$K99="", LEFT('RAW DATA'!$M99,17)&lt;&gt;"Oceanic Endeavour"), 'RAW DATA'!$L99, "")</f>
        <v/>
      </c>
      <c r="C99" s="18" t="str">
        <f>IF(AND('RAW DATA'!$L99&lt;&gt;"", 'RAW DATA'!$M99&lt;&gt;"",  'RAW DATA'!$J99="",  'RAW DATA'!$K99="", LEFT('RAW DATA'!$M99,17)&lt;&gt;"Oceanic Endeavour"), 'RAW DATA'!$M99, "")</f>
        <v/>
      </c>
      <c r="D99" s="19" t="str">
        <f t="shared" si="1"/>
        <v/>
      </c>
    </row>
    <row r="100" spans="2:4" x14ac:dyDescent="0.25">
      <c r="B100" s="18" t="str">
        <f>IF(AND('RAW DATA'!$L100&lt;&gt;"", 'RAW DATA'!$M100&lt;&gt;"",  'RAW DATA'!$J100="",  'RAW DATA'!$K100="", LEFT('RAW DATA'!$M100,17)&lt;&gt;"Oceanic Endeavour"), 'RAW DATA'!$L100, "")</f>
        <v/>
      </c>
      <c r="C100" s="18" t="str">
        <f>IF(AND('RAW DATA'!$L100&lt;&gt;"", 'RAW DATA'!$M100&lt;&gt;"",  'RAW DATA'!$J100="",  'RAW DATA'!$K100="", LEFT('RAW DATA'!$M100,17)&lt;&gt;"Oceanic Endeavour"), 'RAW DATA'!$M100, "")</f>
        <v/>
      </c>
      <c r="D100" s="19" t="str">
        <f t="shared" si="1"/>
        <v/>
      </c>
    </row>
    <row r="101" spans="2:4" x14ac:dyDescent="0.25">
      <c r="B101" s="18" t="str">
        <f>IF(AND('RAW DATA'!$L101&lt;&gt;"", 'RAW DATA'!$M101&lt;&gt;"",  'RAW DATA'!$J101="",  'RAW DATA'!$K101="", LEFT('RAW DATA'!$M101,17)&lt;&gt;"Oceanic Endeavour"), 'RAW DATA'!$L101, "")</f>
        <v/>
      </c>
      <c r="C101" s="18" t="str">
        <f>IF(AND('RAW DATA'!$L101&lt;&gt;"", 'RAW DATA'!$M101&lt;&gt;"",  'RAW DATA'!$J101="",  'RAW DATA'!$K101="", LEFT('RAW DATA'!$M101,17)&lt;&gt;"Oceanic Endeavour"), 'RAW DATA'!$M101, "")</f>
        <v/>
      </c>
      <c r="D101" s="19" t="str">
        <f t="shared" si="1"/>
        <v/>
      </c>
    </row>
    <row r="102" spans="2:4" x14ac:dyDescent="0.25">
      <c r="B102" s="18" t="str">
        <f>IF(AND('RAW DATA'!$L102&lt;&gt;"", 'RAW DATA'!$M102&lt;&gt;"",  'RAW DATA'!$J102="",  'RAW DATA'!$K102="", LEFT('RAW DATA'!$M102,17)&lt;&gt;"Oceanic Endeavour"), 'RAW DATA'!$L102, "")</f>
        <v/>
      </c>
      <c r="C102" s="18" t="str">
        <f>IF(AND('RAW DATA'!$L102&lt;&gt;"", 'RAW DATA'!$M102&lt;&gt;"",  'RAW DATA'!$J102="",  'RAW DATA'!$K102="", LEFT('RAW DATA'!$M102,17)&lt;&gt;"Oceanic Endeavour"), 'RAW DATA'!$M102, "")</f>
        <v/>
      </c>
      <c r="D102" s="19" t="str">
        <f t="shared" si="1"/>
        <v/>
      </c>
    </row>
    <row r="103" spans="2:4" x14ac:dyDescent="0.25">
      <c r="B103" s="18" t="str">
        <f>IF(AND('RAW DATA'!$L103&lt;&gt;"", 'RAW DATA'!$M103&lt;&gt;"",  'RAW DATA'!$J103="",  'RAW DATA'!$K103="", LEFT('RAW DATA'!$M103,17)&lt;&gt;"Oceanic Endeavour"), 'RAW DATA'!$L103, "")</f>
        <v/>
      </c>
      <c r="C103" s="18" t="str">
        <f>IF(AND('RAW DATA'!$L103&lt;&gt;"", 'RAW DATA'!$M103&lt;&gt;"",  'RAW DATA'!$J103="",  'RAW DATA'!$K103="", LEFT('RAW DATA'!$M103,17)&lt;&gt;"Oceanic Endeavour"), 'RAW DATA'!$M103, "")</f>
        <v/>
      </c>
      <c r="D103" s="19" t="str">
        <f t="shared" si="1"/>
        <v/>
      </c>
    </row>
    <row r="104" spans="2:4" x14ac:dyDescent="0.25">
      <c r="B104" s="18" t="str">
        <f>IF(AND('RAW DATA'!$L104&lt;&gt;"", 'RAW DATA'!$M104&lt;&gt;"",  'RAW DATA'!$J104="",  'RAW DATA'!$K104="", LEFT('RAW DATA'!$M104,17)&lt;&gt;"Oceanic Endeavour"), 'RAW DATA'!$L104, "")</f>
        <v/>
      </c>
      <c r="C104" s="18" t="str">
        <f>IF(AND('RAW DATA'!$L104&lt;&gt;"", 'RAW DATA'!$M104&lt;&gt;"",  'RAW DATA'!$J104="",  'RAW DATA'!$K104="", LEFT('RAW DATA'!$M104,17)&lt;&gt;"Oceanic Endeavour"), 'RAW DATA'!$M104, "")</f>
        <v/>
      </c>
      <c r="D104" s="19" t="str">
        <f t="shared" si="1"/>
        <v/>
      </c>
    </row>
    <row r="105" spans="2:4" x14ac:dyDescent="0.25">
      <c r="B105" s="18" t="str">
        <f>IF(AND('RAW DATA'!$L105&lt;&gt;"", 'RAW DATA'!$M105&lt;&gt;"",  'RAW DATA'!$J105="",  'RAW DATA'!$K105="", LEFT('RAW DATA'!$M105,17)&lt;&gt;"Oceanic Endeavour"), 'RAW DATA'!$L105, "")</f>
        <v/>
      </c>
      <c r="C105" s="18" t="str">
        <f>IF(AND('RAW DATA'!$L105&lt;&gt;"", 'RAW DATA'!$M105&lt;&gt;"",  'RAW DATA'!$J105="",  'RAW DATA'!$K105="", LEFT('RAW DATA'!$M105,17)&lt;&gt;"Oceanic Endeavour"), 'RAW DATA'!$M105, "")</f>
        <v/>
      </c>
      <c r="D105" s="19" t="str">
        <f t="shared" si="1"/>
        <v/>
      </c>
    </row>
    <row r="106" spans="2:4" x14ac:dyDescent="0.25">
      <c r="B106" s="18" t="str">
        <f>IF(AND('RAW DATA'!$L106&lt;&gt;"", 'RAW DATA'!$M106&lt;&gt;"",  'RAW DATA'!$J106="",  'RAW DATA'!$K106="", LEFT('RAW DATA'!$M106,17)&lt;&gt;"Oceanic Endeavour"), 'RAW DATA'!$L106, "")</f>
        <v/>
      </c>
      <c r="C106" s="18" t="str">
        <f>IF(AND('RAW DATA'!$L106&lt;&gt;"", 'RAW DATA'!$M106&lt;&gt;"",  'RAW DATA'!$J106="",  'RAW DATA'!$K106="", LEFT('RAW DATA'!$M106,17)&lt;&gt;"Oceanic Endeavour"), 'RAW DATA'!$M106, "")</f>
        <v/>
      </c>
      <c r="D106" s="19" t="str">
        <f t="shared" si="1"/>
        <v/>
      </c>
    </row>
    <row r="107" spans="2:4" x14ac:dyDescent="0.25">
      <c r="B107" s="18" t="str">
        <f>IF(AND('RAW DATA'!$L107&lt;&gt;"", 'RAW DATA'!$M107&lt;&gt;"",  'RAW DATA'!$J107="",  'RAW DATA'!$K107="", LEFT('RAW DATA'!$M107,17)&lt;&gt;"Oceanic Endeavour"), 'RAW DATA'!$L107, "")</f>
        <v/>
      </c>
      <c r="C107" s="18" t="str">
        <f>IF(AND('RAW DATA'!$L107&lt;&gt;"", 'RAW DATA'!$M107&lt;&gt;"",  'RAW DATA'!$J107="",  'RAW DATA'!$K107="", LEFT('RAW DATA'!$M107,17)&lt;&gt;"Oceanic Endeavour"), 'RAW DATA'!$M107, "")</f>
        <v/>
      </c>
      <c r="D107" s="19" t="str">
        <f t="shared" si="1"/>
        <v/>
      </c>
    </row>
    <row r="108" spans="2:4" x14ac:dyDescent="0.25">
      <c r="B108" s="18" t="str">
        <f>IF(AND('RAW DATA'!$L108&lt;&gt;"", 'RAW DATA'!$M108&lt;&gt;"",  'RAW DATA'!$J108="",  'RAW DATA'!$K108="", LEFT('RAW DATA'!$M108,17)&lt;&gt;"Oceanic Endeavour"), 'RAW DATA'!$L108, "")</f>
        <v/>
      </c>
      <c r="C108" s="18" t="str">
        <f>IF(AND('RAW DATA'!$L108&lt;&gt;"", 'RAW DATA'!$M108&lt;&gt;"",  'RAW DATA'!$J108="",  'RAW DATA'!$K108="", LEFT('RAW DATA'!$M108,17)&lt;&gt;"Oceanic Endeavour"), 'RAW DATA'!$M108, "")</f>
        <v/>
      </c>
      <c r="D108" s="19" t="str">
        <f t="shared" si="1"/>
        <v/>
      </c>
    </row>
    <row r="109" spans="2:4" x14ac:dyDescent="0.25">
      <c r="B109" s="18" t="str">
        <f>IF(AND('RAW DATA'!$L109&lt;&gt;"", 'RAW DATA'!$M109&lt;&gt;"",  'RAW DATA'!$J109="",  'RAW DATA'!$K109="", LEFT('RAW DATA'!$M109,17)&lt;&gt;"Oceanic Endeavour"), 'RAW DATA'!$L109, "")</f>
        <v/>
      </c>
      <c r="C109" s="18" t="str">
        <f>IF(AND('RAW DATA'!$L109&lt;&gt;"", 'RAW DATA'!$M109&lt;&gt;"",  'RAW DATA'!$J109="",  'RAW DATA'!$K109="", LEFT('RAW DATA'!$M109,17)&lt;&gt;"Oceanic Endeavour"), 'RAW DATA'!$M109, "")</f>
        <v/>
      </c>
      <c r="D109" s="19" t="str">
        <f t="shared" si="1"/>
        <v/>
      </c>
    </row>
    <row r="110" spans="2:4" x14ac:dyDescent="0.25">
      <c r="B110" s="18" t="str">
        <f>IF(AND('RAW DATA'!$L110&lt;&gt;"", 'RAW DATA'!$M110&lt;&gt;"",  'RAW DATA'!$J110="",  'RAW DATA'!$K110="", LEFT('RAW DATA'!$M110,17)&lt;&gt;"Oceanic Endeavour"), 'RAW DATA'!$L110, "")</f>
        <v/>
      </c>
      <c r="C110" s="18" t="str">
        <f>IF(AND('RAW DATA'!$L110&lt;&gt;"", 'RAW DATA'!$M110&lt;&gt;"",  'RAW DATA'!$J110="",  'RAW DATA'!$K110="", LEFT('RAW DATA'!$M110,17)&lt;&gt;"Oceanic Endeavour"), 'RAW DATA'!$M110, "")</f>
        <v/>
      </c>
      <c r="D110" s="19" t="str">
        <f t="shared" si="1"/>
        <v/>
      </c>
    </row>
    <row r="111" spans="2:4" x14ac:dyDescent="0.25">
      <c r="B111" s="18" t="str">
        <f>IF(AND('RAW DATA'!$L111&lt;&gt;"", 'RAW DATA'!$M111&lt;&gt;"",  'RAW DATA'!$J111="",  'RAW DATA'!$K111="", LEFT('RAW DATA'!$M111,17)&lt;&gt;"Oceanic Endeavour"), 'RAW DATA'!$L111, "")</f>
        <v/>
      </c>
      <c r="C111" s="18" t="str">
        <f>IF(AND('RAW DATA'!$L111&lt;&gt;"", 'RAW DATA'!$M111&lt;&gt;"",  'RAW DATA'!$J111="",  'RAW DATA'!$K111="", LEFT('RAW DATA'!$M111,17)&lt;&gt;"Oceanic Endeavour"), 'RAW DATA'!$M111, "")</f>
        <v/>
      </c>
      <c r="D111" s="19" t="str">
        <f t="shared" si="1"/>
        <v/>
      </c>
    </row>
    <row r="112" spans="2:4" x14ac:dyDescent="0.25">
      <c r="B112" s="18" t="str">
        <f>IF(AND('RAW DATA'!$L112&lt;&gt;"", 'RAW DATA'!$M112&lt;&gt;"",  'RAW DATA'!$J112="",  'RAW DATA'!$K112="", LEFT('RAW DATA'!$M112,17)&lt;&gt;"Oceanic Endeavour"), 'RAW DATA'!$L112, "")</f>
        <v/>
      </c>
      <c r="C112" s="18" t="str">
        <f>IF(AND('RAW DATA'!$L112&lt;&gt;"", 'RAW DATA'!$M112&lt;&gt;"",  'RAW DATA'!$J112="",  'RAW DATA'!$K112="", LEFT('RAW DATA'!$M112,17)&lt;&gt;"Oceanic Endeavour"), 'RAW DATA'!$M112, "")</f>
        <v/>
      </c>
      <c r="D112" s="19" t="str">
        <f t="shared" si="1"/>
        <v/>
      </c>
    </row>
    <row r="113" spans="2:4" x14ac:dyDescent="0.25">
      <c r="B113" s="18" t="str">
        <f>IF(AND('RAW DATA'!$L113&lt;&gt;"", 'RAW DATA'!$M113&lt;&gt;"",  'RAW DATA'!$J113="",  'RAW DATA'!$K113="", LEFT('RAW DATA'!$M113,17)&lt;&gt;"Oceanic Endeavour"), 'RAW DATA'!$L113, "")</f>
        <v/>
      </c>
      <c r="C113" s="18" t="str">
        <f>IF(AND('RAW DATA'!$L113&lt;&gt;"", 'RAW DATA'!$M113&lt;&gt;"",  'RAW DATA'!$J113="",  'RAW DATA'!$K113="", LEFT('RAW DATA'!$M113,17)&lt;&gt;"Oceanic Endeavour"), 'RAW DATA'!$M113, "")</f>
        <v/>
      </c>
      <c r="D113" s="19" t="str">
        <f t="shared" si="1"/>
        <v/>
      </c>
    </row>
    <row r="114" spans="2:4" x14ac:dyDescent="0.25">
      <c r="B114" s="18" t="str">
        <f>IF(AND('RAW DATA'!$L114&lt;&gt;"", 'RAW DATA'!$M114&lt;&gt;"",  'RAW DATA'!$J114="",  'RAW DATA'!$K114="", LEFT('RAW DATA'!$M114,17)&lt;&gt;"Oceanic Endeavour"), 'RAW DATA'!$L114, "")</f>
        <v/>
      </c>
      <c r="C114" s="18" t="str">
        <f>IF(AND('RAW DATA'!$L114&lt;&gt;"", 'RAW DATA'!$M114&lt;&gt;"",  'RAW DATA'!$J114="",  'RAW DATA'!$K114="", LEFT('RAW DATA'!$M114,17)&lt;&gt;"Oceanic Endeavour"), 'RAW DATA'!$M114, "")</f>
        <v/>
      </c>
      <c r="D114" s="19" t="str">
        <f t="shared" si="1"/>
        <v/>
      </c>
    </row>
    <row r="115" spans="2:4" x14ac:dyDescent="0.25">
      <c r="B115" s="18" t="str">
        <f>IF(AND('RAW DATA'!$L115&lt;&gt;"", 'RAW DATA'!$M115&lt;&gt;"",  'RAW DATA'!$J115="",  'RAW DATA'!$K115="", LEFT('RAW DATA'!$M115,17)&lt;&gt;"Oceanic Endeavour"), 'RAW DATA'!$L115, "")</f>
        <v/>
      </c>
      <c r="C115" s="18" t="str">
        <f>IF(AND('RAW DATA'!$L115&lt;&gt;"", 'RAW DATA'!$M115&lt;&gt;"",  'RAW DATA'!$J115="",  'RAW DATA'!$K115="", LEFT('RAW DATA'!$M115,17)&lt;&gt;"Oceanic Endeavour"), 'RAW DATA'!$M115, "")</f>
        <v/>
      </c>
      <c r="D115" s="19" t="str">
        <f t="shared" si="1"/>
        <v/>
      </c>
    </row>
    <row r="116" spans="2:4" x14ac:dyDescent="0.25">
      <c r="B116" s="18" t="str">
        <f>IF(AND('RAW DATA'!$L116&lt;&gt;"", 'RAW DATA'!$M116&lt;&gt;"",  'RAW DATA'!$J116="",  'RAW DATA'!$K116="", LEFT('RAW DATA'!$M116,17)&lt;&gt;"Oceanic Endeavour"), 'RAW DATA'!$L116, "")</f>
        <v/>
      </c>
      <c r="C116" s="18" t="str">
        <f>IF(AND('RAW DATA'!$L116&lt;&gt;"", 'RAW DATA'!$M116&lt;&gt;"",  'RAW DATA'!$J116="",  'RAW DATA'!$K116="", LEFT('RAW DATA'!$M116,17)&lt;&gt;"Oceanic Endeavour"), 'RAW DATA'!$M116, "")</f>
        <v/>
      </c>
      <c r="D116" s="19" t="str">
        <f t="shared" si="1"/>
        <v/>
      </c>
    </row>
    <row r="117" spans="2:4" x14ac:dyDescent="0.25">
      <c r="B117" s="18" t="str">
        <f>IF(AND('RAW DATA'!$L117&lt;&gt;"", 'RAW DATA'!$M117&lt;&gt;"",  'RAW DATA'!$J117="",  'RAW DATA'!$K117="", LEFT('RAW DATA'!$M117,17)&lt;&gt;"Oceanic Endeavour"), 'RAW DATA'!$L117, "")</f>
        <v/>
      </c>
      <c r="C117" s="18" t="str">
        <f>IF(AND('RAW DATA'!$L117&lt;&gt;"", 'RAW DATA'!$M117&lt;&gt;"",  'RAW DATA'!$J117="",  'RAW DATA'!$K117="", LEFT('RAW DATA'!$M117,17)&lt;&gt;"Oceanic Endeavour"), 'RAW DATA'!$M117, "")</f>
        <v/>
      </c>
      <c r="D117" s="19" t="str">
        <f t="shared" si="1"/>
        <v/>
      </c>
    </row>
    <row r="118" spans="2:4" x14ac:dyDescent="0.25">
      <c r="B118" s="18" t="str">
        <f>IF(AND('RAW DATA'!$L118&lt;&gt;"", 'RAW DATA'!$M118&lt;&gt;"",  'RAW DATA'!$J118="",  'RAW DATA'!$K118="", LEFT('RAW DATA'!$M118,17)&lt;&gt;"Oceanic Endeavour"), 'RAW DATA'!$L118, "")</f>
        <v/>
      </c>
      <c r="C118" s="18" t="str">
        <f>IF(AND('RAW DATA'!$L118&lt;&gt;"", 'RAW DATA'!$M118&lt;&gt;"",  'RAW DATA'!$J118="",  'RAW DATA'!$K118="", LEFT('RAW DATA'!$M118,17)&lt;&gt;"Oceanic Endeavour"), 'RAW DATA'!$M118, "")</f>
        <v/>
      </c>
      <c r="D118" s="19" t="str">
        <f t="shared" si="1"/>
        <v/>
      </c>
    </row>
    <row r="119" spans="2:4" x14ac:dyDescent="0.25">
      <c r="B119" s="18" t="str">
        <f>IF(AND('RAW DATA'!$L119&lt;&gt;"", 'RAW DATA'!$M119&lt;&gt;"",  'RAW DATA'!$J119="",  'RAW DATA'!$K119="", LEFT('RAW DATA'!$M119,17)&lt;&gt;"Oceanic Endeavour"), 'RAW DATA'!$L119, "")</f>
        <v/>
      </c>
      <c r="C119" s="18" t="str">
        <f>IF(AND('RAW DATA'!$L119&lt;&gt;"", 'RAW DATA'!$M119&lt;&gt;"",  'RAW DATA'!$J119="",  'RAW DATA'!$K119="", LEFT('RAW DATA'!$M119,17)&lt;&gt;"Oceanic Endeavour"), 'RAW DATA'!$M119, "")</f>
        <v/>
      </c>
      <c r="D119" s="19" t="str">
        <f t="shared" si="1"/>
        <v/>
      </c>
    </row>
    <row r="120" spans="2:4" x14ac:dyDescent="0.25">
      <c r="B120" s="18" t="str">
        <f>IF(AND('RAW DATA'!$L120&lt;&gt;"", 'RAW DATA'!$M120&lt;&gt;"",  'RAW DATA'!$J120="",  'RAW DATA'!$K120="", LEFT('RAW DATA'!$M120,17)&lt;&gt;"Oceanic Endeavour"), 'RAW DATA'!$L120, "")</f>
        <v/>
      </c>
      <c r="C120" s="18" t="str">
        <f>IF(AND('RAW DATA'!$L120&lt;&gt;"", 'RAW DATA'!$M120&lt;&gt;"",  'RAW DATA'!$J120="",  'RAW DATA'!$K120="", LEFT('RAW DATA'!$M120,17)&lt;&gt;"Oceanic Endeavour"), 'RAW DATA'!$M120, "")</f>
        <v/>
      </c>
      <c r="D120" s="19" t="str">
        <f t="shared" si="1"/>
        <v/>
      </c>
    </row>
    <row r="121" spans="2:4" x14ac:dyDescent="0.25">
      <c r="B121" s="18" t="str">
        <f>IF(AND('RAW DATA'!$L121&lt;&gt;"", 'RAW DATA'!$M121&lt;&gt;"",  'RAW DATA'!$J121="",  'RAW DATA'!$K121="", LEFT('RAW DATA'!$M121,17)&lt;&gt;"Oceanic Endeavour"), 'RAW DATA'!$L121, "")</f>
        <v/>
      </c>
      <c r="C121" s="18" t="str">
        <f>IF(AND('RAW DATA'!$L121&lt;&gt;"", 'RAW DATA'!$M121&lt;&gt;"",  'RAW DATA'!$J121="",  'RAW DATA'!$K121="", LEFT('RAW DATA'!$M121,17)&lt;&gt;"Oceanic Endeavour"), 'RAW DATA'!$M121, "")</f>
        <v/>
      </c>
      <c r="D121" s="19" t="str">
        <f t="shared" si="1"/>
        <v/>
      </c>
    </row>
    <row r="122" spans="2:4" x14ac:dyDescent="0.25">
      <c r="B122" s="18" t="str">
        <f>IF(AND('RAW DATA'!$L122&lt;&gt;"", 'RAW DATA'!$M122&lt;&gt;"",  'RAW DATA'!$J122="",  'RAW DATA'!$K122="", LEFT('RAW DATA'!$M122,17)&lt;&gt;"Oceanic Endeavour"), 'RAW DATA'!$L122, "")</f>
        <v/>
      </c>
      <c r="C122" s="18" t="str">
        <f>IF(AND('RAW DATA'!$L122&lt;&gt;"", 'RAW DATA'!$M122&lt;&gt;"",  'RAW DATA'!$J122="",  'RAW DATA'!$K122="", LEFT('RAW DATA'!$M122,17)&lt;&gt;"Oceanic Endeavour"), 'RAW DATA'!$M122, "")</f>
        <v/>
      </c>
      <c r="D122" s="19" t="str">
        <f t="shared" si="1"/>
        <v/>
      </c>
    </row>
    <row r="123" spans="2:4" x14ac:dyDescent="0.25">
      <c r="B123" s="18" t="str">
        <f>IF(AND('RAW DATA'!$L123&lt;&gt;"", 'RAW DATA'!$M123&lt;&gt;"",  'RAW DATA'!$J123="",  'RAW DATA'!$K123="", LEFT('RAW DATA'!$M123,17)&lt;&gt;"Oceanic Endeavour"), 'RAW DATA'!$L123, "")</f>
        <v/>
      </c>
      <c r="C123" s="18" t="str">
        <f>IF(AND('RAW DATA'!$L123&lt;&gt;"", 'RAW DATA'!$M123&lt;&gt;"",  'RAW DATA'!$J123="",  'RAW DATA'!$K123="", LEFT('RAW DATA'!$M123,17)&lt;&gt;"Oceanic Endeavour"), 'RAW DATA'!$M123, "")</f>
        <v/>
      </c>
      <c r="D123" s="19" t="str">
        <f t="shared" si="1"/>
        <v/>
      </c>
    </row>
    <row r="124" spans="2:4" x14ac:dyDescent="0.25">
      <c r="B124" s="18" t="str">
        <f>IF(AND('RAW DATA'!$L124&lt;&gt;"", 'RAW DATA'!$M124&lt;&gt;"",  'RAW DATA'!$J124="",  'RAW DATA'!$K124="", LEFT('RAW DATA'!$M124,17)&lt;&gt;"Oceanic Endeavour"), 'RAW DATA'!$L124, "")</f>
        <v/>
      </c>
      <c r="C124" s="18" t="str">
        <f>IF(AND('RAW DATA'!$L124&lt;&gt;"", 'RAW DATA'!$M124&lt;&gt;"",  'RAW DATA'!$J124="",  'RAW DATA'!$K124="", LEFT('RAW DATA'!$M124,17)&lt;&gt;"Oceanic Endeavour"), 'RAW DATA'!$M124, "")</f>
        <v/>
      </c>
      <c r="D124" s="19" t="str">
        <f t="shared" si="1"/>
        <v/>
      </c>
    </row>
    <row r="125" spans="2:4" x14ac:dyDescent="0.25">
      <c r="B125" s="18" t="str">
        <f>IF(AND('RAW DATA'!$L125&lt;&gt;"", 'RAW DATA'!$M125&lt;&gt;"",  'RAW DATA'!$J125="",  'RAW DATA'!$K125="", LEFT('RAW DATA'!$M125,17)&lt;&gt;"Oceanic Endeavour"), 'RAW DATA'!$L125, "")</f>
        <v/>
      </c>
      <c r="C125" s="18" t="str">
        <f>IF(AND('RAW DATA'!$L125&lt;&gt;"", 'RAW DATA'!$M125&lt;&gt;"",  'RAW DATA'!$J125="",  'RAW DATA'!$K125="", LEFT('RAW DATA'!$M125,17)&lt;&gt;"Oceanic Endeavour"), 'RAW DATA'!$M125, "")</f>
        <v/>
      </c>
      <c r="D125" s="19" t="str">
        <f t="shared" si="1"/>
        <v/>
      </c>
    </row>
    <row r="126" spans="2:4" x14ac:dyDescent="0.25">
      <c r="B126" s="18" t="str">
        <f>IF(AND('RAW DATA'!$L126&lt;&gt;"", 'RAW DATA'!$M126&lt;&gt;"",  'RAW DATA'!$J126="",  'RAW DATA'!$K126="", LEFT('RAW DATA'!$M126,17)&lt;&gt;"Oceanic Endeavour"), 'RAW DATA'!$L126, "")</f>
        <v/>
      </c>
      <c r="C126" s="18" t="str">
        <f>IF(AND('RAW DATA'!$L126&lt;&gt;"", 'RAW DATA'!$M126&lt;&gt;"",  'RAW DATA'!$J126="",  'RAW DATA'!$K126="", LEFT('RAW DATA'!$M126,17)&lt;&gt;"Oceanic Endeavour"), 'RAW DATA'!$M126, "")</f>
        <v/>
      </c>
      <c r="D126" s="19" t="str">
        <f t="shared" si="1"/>
        <v/>
      </c>
    </row>
    <row r="127" spans="2:4" x14ac:dyDescent="0.25">
      <c r="B127" s="18" t="str">
        <f>IF(AND('RAW DATA'!$L127&lt;&gt;"", 'RAW DATA'!$M127&lt;&gt;"",  'RAW DATA'!$J127="",  'RAW DATA'!$K127="", LEFT('RAW DATA'!$M127,17)&lt;&gt;"Oceanic Endeavour"), 'RAW DATA'!$L127, "")</f>
        <v/>
      </c>
      <c r="C127" s="18" t="str">
        <f>IF(AND('RAW DATA'!$L127&lt;&gt;"", 'RAW DATA'!$M127&lt;&gt;"",  'RAW DATA'!$J127="",  'RAW DATA'!$K127="", LEFT('RAW DATA'!$M127,17)&lt;&gt;"Oceanic Endeavour"), 'RAW DATA'!$M127, "")</f>
        <v/>
      </c>
      <c r="D127" s="19" t="str">
        <f t="shared" si="1"/>
        <v/>
      </c>
    </row>
    <row r="128" spans="2:4" x14ac:dyDescent="0.25">
      <c r="B128" s="18" t="str">
        <f>IF(AND('RAW DATA'!$L128&lt;&gt;"", 'RAW DATA'!$M128&lt;&gt;"",  'RAW DATA'!$J128="",  'RAW DATA'!$K128="", LEFT('RAW DATA'!$M128,17)&lt;&gt;"Oceanic Endeavour"), 'RAW DATA'!$L128, "")</f>
        <v/>
      </c>
      <c r="C128" s="18" t="str">
        <f>IF(AND('RAW DATA'!$L128&lt;&gt;"", 'RAW DATA'!$M128&lt;&gt;"",  'RAW DATA'!$J128="",  'RAW DATA'!$K128="", LEFT('RAW DATA'!$M128,17)&lt;&gt;"Oceanic Endeavour"), 'RAW DATA'!$M128, "")</f>
        <v/>
      </c>
      <c r="D128" s="19" t="str">
        <f t="shared" si="1"/>
        <v/>
      </c>
    </row>
    <row r="129" spans="2:4" x14ac:dyDescent="0.25">
      <c r="B129" s="18" t="str">
        <f>IF(AND('RAW DATA'!$L129&lt;&gt;"", 'RAW DATA'!$M129&lt;&gt;"",  'RAW DATA'!$J129="",  'RAW DATA'!$K129="", LEFT('RAW DATA'!$M129,17)&lt;&gt;"Oceanic Endeavour"), 'RAW DATA'!$L129, "")</f>
        <v/>
      </c>
      <c r="C129" s="18" t="str">
        <f>IF(AND('RAW DATA'!$L129&lt;&gt;"", 'RAW DATA'!$M129&lt;&gt;"",  'RAW DATA'!$J129="",  'RAW DATA'!$K129="", LEFT('RAW DATA'!$M129,17)&lt;&gt;"Oceanic Endeavour"), 'RAW DATA'!$M129, "")</f>
        <v/>
      </c>
      <c r="D129" s="19" t="str">
        <f t="shared" si="1"/>
        <v/>
      </c>
    </row>
    <row r="130" spans="2:4" x14ac:dyDescent="0.25">
      <c r="B130" s="18" t="str">
        <f>IF(AND('RAW DATA'!$L130&lt;&gt;"", 'RAW DATA'!$M130&lt;&gt;"",  'RAW DATA'!$J130="",  'RAW DATA'!$K130="", LEFT('RAW DATA'!$M130,17)&lt;&gt;"Oceanic Endeavour"), 'RAW DATA'!$L130, "")</f>
        <v/>
      </c>
      <c r="C130" s="18" t="str">
        <f>IF(AND('RAW DATA'!$L130&lt;&gt;"", 'RAW DATA'!$M130&lt;&gt;"",  'RAW DATA'!$J130="",  'RAW DATA'!$K130="", LEFT('RAW DATA'!$M130,17)&lt;&gt;"Oceanic Endeavour"), 'RAW DATA'!$M130, "")</f>
        <v/>
      </c>
      <c r="D130" s="19" t="str">
        <f t="shared" si="1"/>
        <v/>
      </c>
    </row>
    <row r="131" spans="2:4" x14ac:dyDescent="0.25">
      <c r="B131" s="18" t="str">
        <f>IF(AND('RAW DATA'!$L131&lt;&gt;"", 'RAW DATA'!$M131&lt;&gt;"",  'RAW DATA'!$J131="",  'RAW DATA'!$K131="", LEFT('RAW DATA'!$M131,17)&lt;&gt;"Oceanic Endeavour"), 'RAW DATA'!$L131, "")</f>
        <v/>
      </c>
      <c r="C131" s="18" t="str">
        <f>IF(AND('RAW DATA'!$L131&lt;&gt;"", 'RAW DATA'!$M131&lt;&gt;"",  'RAW DATA'!$J131="",  'RAW DATA'!$K131="", LEFT('RAW DATA'!$M131,17)&lt;&gt;"Oceanic Endeavour"), 'RAW DATA'!$M131, "")</f>
        <v/>
      </c>
      <c r="D131" s="19" t="str">
        <f t="shared" si="1"/>
        <v/>
      </c>
    </row>
    <row r="132" spans="2:4" x14ac:dyDescent="0.25">
      <c r="B132" s="18" t="str">
        <f>IF(AND('RAW DATA'!$L132&lt;&gt;"", 'RAW DATA'!$M132&lt;&gt;"",  'RAW DATA'!$J132="",  'RAW DATA'!$K132="", LEFT('RAW DATA'!$M132,17)&lt;&gt;"Oceanic Endeavour"), 'RAW DATA'!$L132, "")</f>
        <v/>
      </c>
      <c r="C132" s="18" t="str">
        <f>IF(AND('RAW DATA'!$L132&lt;&gt;"", 'RAW DATA'!$M132&lt;&gt;"",  'RAW DATA'!$J132="",  'RAW DATA'!$K132="", LEFT('RAW DATA'!$M132,17)&lt;&gt;"Oceanic Endeavour"), 'RAW DATA'!$M132, "")</f>
        <v/>
      </c>
      <c r="D132" s="19" t="str">
        <f t="shared" si="1"/>
        <v/>
      </c>
    </row>
    <row r="133" spans="2:4" x14ac:dyDescent="0.25">
      <c r="B133" s="18" t="str">
        <f>IF(AND('RAW DATA'!$L133&lt;&gt;"", 'RAW DATA'!$M133&lt;&gt;"",  'RAW DATA'!$J133="",  'RAW DATA'!$K133="", LEFT('RAW DATA'!$M133,17)&lt;&gt;"Oceanic Endeavour"), 'RAW DATA'!$L133, "")</f>
        <v/>
      </c>
      <c r="C133" s="18" t="str">
        <f>IF(AND('RAW DATA'!$L133&lt;&gt;"", 'RAW DATA'!$M133&lt;&gt;"",  'RAW DATA'!$J133="",  'RAW DATA'!$K133="", LEFT('RAW DATA'!$M133,17)&lt;&gt;"Oceanic Endeavour"), 'RAW DATA'!$M133, "")</f>
        <v/>
      </c>
      <c r="D133" s="19" t="str">
        <f t="shared" ref="D133:D196" si="2">IF(AND($B133&lt;&gt;"", $C133&lt;&gt;""), COUNTIF($C$4:$C$611, $C133), "")</f>
        <v/>
      </c>
    </row>
    <row r="134" spans="2:4" x14ac:dyDescent="0.25">
      <c r="B134" s="18" t="str">
        <f>IF(AND('RAW DATA'!$L134&lt;&gt;"", 'RAW DATA'!$M134&lt;&gt;"",  'RAW DATA'!$J134="",  'RAW DATA'!$K134="", LEFT('RAW DATA'!$M134,17)&lt;&gt;"Oceanic Endeavour"), 'RAW DATA'!$L134, "")</f>
        <v/>
      </c>
      <c r="C134" s="18" t="str">
        <f>IF(AND('RAW DATA'!$L134&lt;&gt;"", 'RAW DATA'!$M134&lt;&gt;"",  'RAW DATA'!$J134="",  'RAW DATA'!$K134="", LEFT('RAW DATA'!$M134,17)&lt;&gt;"Oceanic Endeavour"), 'RAW DATA'!$M134, "")</f>
        <v/>
      </c>
      <c r="D134" s="19" t="str">
        <f t="shared" si="2"/>
        <v/>
      </c>
    </row>
    <row r="135" spans="2:4" x14ac:dyDescent="0.25">
      <c r="B135" s="18" t="str">
        <f>IF(AND('RAW DATA'!$L135&lt;&gt;"", 'RAW DATA'!$M135&lt;&gt;"",  'RAW DATA'!$J135="",  'RAW DATA'!$K135="", LEFT('RAW DATA'!$M135,17)&lt;&gt;"Oceanic Endeavour"), 'RAW DATA'!$L135, "")</f>
        <v/>
      </c>
      <c r="C135" s="18" t="str">
        <f>IF(AND('RAW DATA'!$L135&lt;&gt;"", 'RAW DATA'!$M135&lt;&gt;"",  'RAW DATA'!$J135="",  'RAW DATA'!$K135="", LEFT('RAW DATA'!$M135,17)&lt;&gt;"Oceanic Endeavour"), 'RAW DATA'!$M135, "")</f>
        <v/>
      </c>
      <c r="D135" s="19" t="str">
        <f t="shared" si="2"/>
        <v/>
      </c>
    </row>
    <row r="136" spans="2:4" x14ac:dyDescent="0.25">
      <c r="B136" s="18" t="str">
        <f>IF(AND('RAW DATA'!$L136&lt;&gt;"", 'RAW DATA'!$M136&lt;&gt;"",  'RAW DATA'!$J136="",  'RAW DATA'!$K136="", LEFT('RAW DATA'!$M136,17)&lt;&gt;"Oceanic Endeavour"), 'RAW DATA'!$L136, "")</f>
        <v/>
      </c>
      <c r="C136" s="18" t="str">
        <f>IF(AND('RAW DATA'!$L136&lt;&gt;"", 'RAW DATA'!$M136&lt;&gt;"",  'RAW DATA'!$J136="",  'RAW DATA'!$K136="", LEFT('RAW DATA'!$M136,17)&lt;&gt;"Oceanic Endeavour"), 'RAW DATA'!$M136, "")</f>
        <v/>
      </c>
      <c r="D136" s="19" t="str">
        <f t="shared" si="2"/>
        <v/>
      </c>
    </row>
    <row r="137" spans="2:4" x14ac:dyDescent="0.25">
      <c r="B137" s="18" t="str">
        <f>IF(AND('RAW DATA'!$L137&lt;&gt;"", 'RAW DATA'!$M137&lt;&gt;"",  'RAW DATA'!$J137="",  'RAW DATA'!$K137="", LEFT('RAW DATA'!$M137,17)&lt;&gt;"Oceanic Endeavour"), 'RAW DATA'!$L137, "")</f>
        <v/>
      </c>
      <c r="C137" s="18" t="str">
        <f>IF(AND('RAW DATA'!$L137&lt;&gt;"", 'RAW DATA'!$M137&lt;&gt;"",  'RAW DATA'!$J137="",  'RAW DATA'!$K137="", LEFT('RAW DATA'!$M137,17)&lt;&gt;"Oceanic Endeavour"), 'RAW DATA'!$M137, "")</f>
        <v/>
      </c>
      <c r="D137" s="19" t="str">
        <f t="shared" si="2"/>
        <v/>
      </c>
    </row>
    <row r="138" spans="2:4" x14ac:dyDescent="0.25">
      <c r="B138" s="18" t="str">
        <f>IF(AND('RAW DATA'!$L138&lt;&gt;"", 'RAW DATA'!$M138&lt;&gt;"",  'RAW DATA'!$J138="",  'RAW DATA'!$K138="", LEFT('RAW DATA'!$M138,17)&lt;&gt;"Oceanic Endeavour"), 'RAW DATA'!$L138, "")</f>
        <v/>
      </c>
      <c r="C138" s="18" t="str">
        <f>IF(AND('RAW DATA'!$L138&lt;&gt;"", 'RAW DATA'!$M138&lt;&gt;"",  'RAW DATA'!$J138="",  'RAW DATA'!$K138="", LEFT('RAW DATA'!$M138,17)&lt;&gt;"Oceanic Endeavour"), 'RAW DATA'!$M138, "")</f>
        <v/>
      </c>
      <c r="D138" s="19" t="str">
        <f t="shared" si="2"/>
        <v/>
      </c>
    </row>
    <row r="139" spans="2:4" x14ac:dyDescent="0.25">
      <c r="B139" s="18" t="str">
        <f>IF(AND('RAW DATA'!$L139&lt;&gt;"", 'RAW DATA'!$M139&lt;&gt;"",  'RAW DATA'!$J139="",  'RAW DATA'!$K139="", LEFT('RAW DATA'!$M139,17)&lt;&gt;"Oceanic Endeavour"), 'RAW DATA'!$L139, "")</f>
        <v/>
      </c>
      <c r="C139" s="18" t="str">
        <f>IF(AND('RAW DATA'!$L139&lt;&gt;"", 'RAW DATA'!$M139&lt;&gt;"",  'RAW DATA'!$J139="",  'RAW DATA'!$K139="", LEFT('RAW DATA'!$M139,17)&lt;&gt;"Oceanic Endeavour"), 'RAW DATA'!$M139, "")</f>
        <v/>
      </c>
      <c r="D139" s="19" t="str">
        <f t="shared" si="2"/>
        <v/>
      </c>
    </row>
    <row r="140" spans="2:4" x14ac:dyDescent="0.25">
      <c r="B140" s="18" t="str">
        <f>IF(AND('RAW DATA'!$L140&lt;&gt;"", 'RAW DATA'!$M140&lt;&gt;"",  'RAW DATA'!$J140="",  'RAW DATA'!$K140="", LEFT('RAW DATA'!$M140,17)&lt;&gt;"Oceanic Endeavour"), 'RAW DATA'!$L140, "")</f>
        <v/>
      </c>
      <c r="C140" s="18" t="str">
        <f>IF(AND('RAW DATA'!$L140&lt;&gt;"", 'RAW DATA'!$M140&lt;&gt;"",  'RAW DATA'!$J140="",  'RAW DATA'!$K140="", LEFT('RAW DATA'!$M140,17)&lt;&gt;"Oceanic Endeavour"), 'RAW DATA'!$M140, "")</f>
        <v/>
      </c>
      <c r="D140" s="19" t="str">
        <f t="shared" si="2"/>
        <v/>
      </c>
    </row>
    <row r="141" spans="2:4" x14ac:dyDescent="0.25">
      <c r="B141" s="18" t="str">
        <f>IF(AND('RAW DATA'!$L141&lt;&gt;"", 'RAW DATA'!$M141&lt;&gt;"",  'RAW DATA'!$J141="",  'RAW DATA'!$K141="", LEFT('RAW DATA'!$M141,17)&lt;&gt;"Oceanic Endeavour"), 'RAW DATA'!$L141, "")</f>
        <v/>
      </c>
      <c r="C141" s="18" t="str">
        <f>IF(AND('RAW DATA'!$L141&lt;&gt;"", 'RAW DATA'!$M141&lt;&gt;"",  'RAW DATA'!$J141="",  'RAW DATA'!$K141="", LEFT('RAW DATA'!$M141,17)&lt;&gt;"Oceanic Endeavour"), 'RAW DATA'!$M141, "")</f>
        <v/>
      </c>
      <c r="D141" s="19" t="str">
        <f t="shared" si="2"/>
        <v/>
      </c>
    </row>
    <row r="142" spans="2:4" x14ac:dyDescent="0.25">
      <c r="B142" s="18" t="str">
        <f>IF(AND('RAW DATA'!$L142&lt;&gt;"", 'RAW DATA'!$M142&lt;&gt;"",  'RAW DATA'!$J142="",  'RAW DATA'!$K142="", LEFT('RAW DATA'!$M142,17)&lt;&gt;"Oceanic Endeavour"), 'RAW DATA'!$L142, "")</f>
        <v/>
      </c>
      <c r="C142" s="18" t="str">
        <f>IF(AND('RAW DATA'!$L142&lt;&gt;"", 'RAW DATA'!$M142&lt;&gt;"",  'RAW DATA'!$J142="",  'RAW DATA'!$K142="", LEFT('RAW DATA'!$M142,17)&lt;&gt;"Oceanic Endeavour"), 'RAW DATA'!$M142, "")</f>
        <v/>
      </c>
      <c r="D142" s="19" t="str">
        <f t="shared" si="2"/>
        <v/>
      </c>
    </row>
    <row r="143" spans="2:4" x14ac:dyDescent="0.25">
      <c r="B143" s="18" t="str">
        <f>IF(AND('RAW DATA'!$L143&lt;&gt;"", 'RAW DATA'!$M143&lt;&gt;"",  'RAW DATA'!$J143="",  'RAW DATA'!$K143="", LEFT('RAW DATA'!$M143,17)&lt;&gt;"Oceanic Endeavour"), 'RAW DATA'!$L143, "")</f>
        <v/>
      </c>
      <c r="C143" s="18" t="str">
        <f>IF(AND('RAW DATA'!$L143&lt;&gt;"", 'RAW DATA'!$M143&lt;&gt;"",  'RAW DATA'!$J143="",  'RAW DATA'!$K143="", LEFT('RAW DATA'!$M143,17)&lt;&gt;"Oceanic Endeavour"), 'RAW DATA'!$M143, "")</f>
        <v/>
      </c>
      <c r="D143" s="19" t="str">
        <f t="shared" si="2"/>
        <v/>
      </c>
    </row>
    <row r="144" spans="2:4" x14ac:dyDescent="0.25">
      <c r="B144" s="18" t="str">
        <f>IF(AND('RAW DATA'!$L144&lt;&gt;"", 'RAW DATA'!$M144&lt;&gt;"",  'RAW DATA'!$J144="",  'RAW DATA'!$K144="", LEFT('RAW DATA'!$M144,17)&lt;&gt;"Oceanic Endeavour"), 'RAW DATA'!$L144, "")</f>
        <v/>
      </c>
      <c r="C144" s="18" t="str">
        <f>IF(AND('RAW DATA'!$L144&lt;&gt;"", 'RAW DATA'!$M144&lt;&gt;"",  'RAW DATA'!$J144="",  'RAW DATA'!$K144="", LEFT('RAW DATA'!$M144,17)&lt;&gt;"Oceanic Endeavour"), 'RAW DATA'!$M144, "")</f>
        <v/>
      </c>
      <c r="D144" s="19" t="str">
        <f t="shared" si="2"/>
        <v/>
      </c>
    </row>
    <row r="145" spans="2:4" x14ac:dyDescent="0.25">
      <c r="B145" s="18" t="str">
        <f>IF(AND('RAW DATA'!$L145&lt;&gt;"", 'RAW DATA'!$M145&lt;&gt;"",  'RAW DATA'!$J145="",  'RAW DATA'!$K145="", LEFT('RAW DATA'!$M145,17)&lt;&gt;"Oceanic Endeavour"), 'RAW DATA'!$L145, "")</f>
        <v/>
      </c>
      <c r="C145" s="18" t="str">
        <f>IF(AND('RAW DATA'!$L145&lt;&gt;"", 'RAW DATA'!$M145&lt;&gt;"",  'RAW DATA'!$J145="",  'RAW DATA'!$K145="", LEFT('RAW DATA'!$M145,17)&lt;&gt;"Oceanic Endeavour"), 'RAW DATA'!$M145, "")</f>
        <v/>
      </c>
      <c r="D145" s="19" t="str">
        <f t="shared" si="2"/>
        <v/>
      </c>
    </row>
    <row r="146" spans="2:4" x14ac:dyDescent="0.25">
      <c r="B146" s="18" t="str">
        <f>IF(AND('RAW DATA'!$L146&lt;&gt;"", 'RAW DATA'!$M146&lt;&gt;"",  'RAW DATA'!$J146="",  'RAW DATA'!$K146="", LEFT('RAW DATA'!$M146,17)&lt;&gt;"Oceanic Endeavour"), 'RAW DATA'!$L146, "")</f>
        <v/>
      </c>
      <c r="C146" s="18" t="str">
        <f>IF(AND('RAW DATA'!$L146&lt;&gt;"", 'RAW DATA'!$M146&lt;&gt;"",  'RAW DATA'!$J146="",  'RAW DATA'!$K146="", LEFT('RAW DATA'!$M146,17)&lt;&gt;"Oceanic Endeavour"), 'RAW DATA'!$M146, "")</f>
        <v/>
      </c>
      <c r="D146" s="19" t="str">
        <f t="shared" si="2"/>
        <v/>
      </c>
    </row>
    <row r="147" spans="2:4" x14ac:dyDescent="0.25">
      <c r="B147" s="18" t="str">
        <f>IF(AND('RAW DATA'!$L147&lt;&gt;"", 'RAW DATA'!$M147&lt;&gt;"",  'RAW DATA'!$J147="",  'RAW DATA'!$K147="", LEFT('RAW DATA'!$M147,17)&lt;&gt;"Oceanic Endeavour"), 'RAW DATA'!$L147, "")</f>
        <v/>
      </c>
      <c r="C147" s="18" t="str">
        <f>IF(AND('RAW DATA'!$L147&lt;&gt;"", 'RAW DATA'!$M147&lt;&gt;"",  'RAW DATA'!$J147="",  'RAW DATA'!$K147="", LEFT('RAW DATA'!$M147,17)&lt;&gt;"Oceanic Endeavour"), 'RAW DATA'!$M147, "")</f>
        <v/>
      </c>
      <c r="D147" s="19" t="str">
        <f t="shared" si="2"/>
        <v/>
      </c>
    </row>
    <row r="148" spans="2:4" x14ac:dyDescent="0.25">
      <c r="B148" s="18" t="str">
        <f>IF(AND('RAW DATA'!$L148&lt;&gt;"", 'RAW DATA'!$M148&lt;&gt;"",  'RAW DATA'!$J148="",  'RAW DATA'!$K148="", LEFT('RAW DATA'!$M148,17)&lt;&gt;"Oceanic Endeavour"), 'RAW DATA'!$L148, "")</f>
        <v/>
      </c>
      <c r="C148" s="18" t="str">
        <f>IF(AND('RAW DATA'!$L148&lt;&gt;"", 'RAW DATA'!$M148&lt;&gt;"",  'RAW DATA'!$J148="",  'RAW DATA'!$K148="", LEFT('RAW DATA'!$M148,17)&lt;&gt;"Oceanic Endeavour"), 'RAW DATA'!$M148, "")</f>
        <v/>
      </c>
      <c r="D148" s="19" t="str">
        <f t="shared" si="2"/>
        <v/>
      </c>
    </row>
    <row r="149" spans="2:4" x14ac:dyDescent="0.25">
      <c r="B149" s="18" t="str">
        <f>IF(AND('RAW DATA'!$L149&lt;&gt;"", 'RAW DATA'!$M149&lt;&gt;"",  'RAW DATA'!$J149="",  'RAW DATA'!$K149="", LEFT('RAW DATA'!$M149,17)&lt;&gt;"Oceanic Endeavour"), 'RAW DATA'!$L149, "")</f>
        <v/>
      </c>
      <c r="C149" s="18" t="str">
        <f>IF(AND('RAW DATA'!$L149&lt;&gt;"", 'RAW DATA'!$M149&lt;&gt;"",  'RAW DATA'!$J149="",  'RAW DATA'!$K149="", LEFT('RAW DATA'!$M149,17)&lt;&gt;"Oceanic Endeavour"), 'RAW DATA'!$M149, "")</f>
        <v/>
      </c>
      <c r="D149" s="19" t="str">
        <f t="shared" si="2"/>
        <v/>
      </c>
    </row>
    <row r="150" spans="2:4" x14ac:dyDescent="0.25">
      <c r="B150" s="18" t="str">
        <f>IF(AND('RAW DATA'!$L150&lt;&gt;"", 'RAW DATA'!$M150&lt;&gt;"",  'RAW DATA'!$J150="",  'RAW DATA'!$K150="", LEFT('RAW DATA'!$M150,17)&lt;&gt;"Oceanic Endeavour"), 'RAW DATA'!$L150, "")</f>
        <v/>
      </c>
      <c r="C150" s="18" t="str">
        <f>IF(AND('RAW DATA'!$L150&lt;&gt;"", 'RAW DATA'!$M150&lt;&gt;"",  'RAW DATA'!$J150="",  'RAW DATA'!$K150="", LEFT('RAW DATA'!$M150,17)&lt;&gt;"Oceanic Endeavour"), 'RAW DATA'!$M150, "")</f>
        <v/>
      </c>
      <c r="D150" s="19" t="str">
        <f t="shared" si="2"/>
        <v/>
      </c>
    </row>
    <row r="151" spans="2:4" x14ac:dyDescent="0.25">
      <c r="B151" s="18" t="str">
        <f>IF(AND('RAW DATA'!$L151&lt;&gt;"", 'RAW DATA'!$M151&lt;&gt;"",  'RAW DATA'!$J151="",  'RAW DATA'!$K151="", LEFT('RAW DATA'!$M151,17)&lt;&gt;"Oceanic Endeavour"), 'RAW DATA'!$L151, "")</f>
        <v/>
      </c>
      <c r="C151" s="18" t="str">
        <f>IF(AND('RAW DATA'!$L151&lt;&gt;"", 'RAW DATA'!$M151&lt;&gt;"",  'RAW DATA'!$J151="",  'RAW DATA'!$K151="", LEFT('RAW DATA'!$M151,17)&lt;&gt;"Oceanic Endeavour"), 'RAW DATA'!$M151, "")</f>
        <v/>
      </c>
      <c r="D151" s="19" t="str">
        <f t="shared" si="2"/>
        <v/>
      </c>
    </row>
    <row r="152" spans="2:4" x14ac:dyDescent="0.25">
      <c r="B152" s="18" t="str">
        <f>IF(AND('RAW DATA'!$L152&lt;&gt;"", 'RAW DATA'!$M152&lt;&gt;"",  'RAW DATA'!$J152="",  'RAW DATA'!$K152="", LEFT('RAW DATA'!$M152,17)&lt;&gt;"Oceanic Endeavour"), 'RAW DATA'!$L152, "")</f>
        <v/>
      </c>
      <c r="C152" s="18" t="str">
        <f>IF(AND('RAW DATA'!$L152&lt;&gt;"", 'RAW DATA'!$M152&lt;&gt;"",  'RAW DATA'!$J152="",  'RAW DATA'!$K152="", LEFT('RAW DATA'!$M152,17)&lt;&gt;"Oceanic Endeavour"), 'RAW DATA'!$M152, "")</f>
        <v/>
      </c>
      <c r="D152" s="19" t="str">
        <f t="shared" si="2"/>
        <v/>
      </c>
    </row>
    <row r="153" spans="2:4" x14ac:dyDescent="0.25">
      <c r="B153" s="18" t="str">
        <f>IF(AND('RAW DATA'!$L153&lt;&gt;"", 'RAW DATA'!$M153&lt;&gt;"",  'RAW DATA'!$J153="",  'RAW DATA'!$K153="", LEFT('RAW DATA'!$M153,17)&lt;&gt;"Oceanic Endeavour"), 'RAW DATA'!$L153, "")</f>
        <v/>
      </c>
      <c r="C153" s="18" t="str">
        <f>IF(AND('RAW DATA'!$L153&lt;&gt;"", 'RAW DATA'!$M153&lt;&gt;"",  'RAW DATA'!$J153="",  'RAW DATA'!$K153="", LEFT('RAW DATA'!$M153,17)&lt;&gt;"Oceanic Endeavour"), 'RAW DATA'!$M153, "")</f>
        <v/>
      </c>
      <c r="D153" s="19" t="str">
        <f t="shared" si="2"/>
        <v/>
      </c>
    </row>
    <row r="154" spans="2:4" x14ac:dyDescent="0.25">
      <c r="B154" s="18" t="str">
        <f>IF(AND('RAW DATA'!$L154&lt;&gt;"", 'RAW DATA'!$M154&lt;&gt;"",  'RAW DATA'!$J154="",  'RAW DATA'!$K154="", LEFT('RAW DATA'!$M154,17)&lt;&gt;"Oceanic Endeavour"), 'RAW DATA'!$L154, "")</f>
        <v/>
      </c>
      <c r="C154" s="18" t="str">
        <f>IF(AND('RAW DATA'!$L154&lt;&gt;"", 'RAW DATA'!$M154&lt;&gt;"",  'RAW DATA'!$J154="",  'RAW DATA'!$K154="", LEFT('RAW DATA'!$M154,17)&lt;&gt;"Oceanic Endeavour"), 'RAW DATA'!$M154, "")</f>
        <v/>
      </c>
      <c r="D154" s="19" t="str">
        <f t="shared" si="2"/>
        <v/>
      </c>
    </row>
    <row r="155" spans="2:4" x14ac:dyDescent="0.25">
      <c r="B155" s="18" t="str">
        <f>IF(AND('RAW DATA'!$L155&lt;&gt;"", 'RAW DATA'!$M155&lt;&gt;"",  'RAW DATA'!$J155="",  'RAW DATA'!$K155="", LEFT('RAW DATA'!$M155,17)&lt;&gt;"Oceanic Endeavour"), 'RAW DATA'!$L155, "")</f>
        <v/>
      </c>
      <c r="C155" s="18" t="str">
        <f>IF(AND('RAW DATA'!$L155&lt;&gt;"", 'RAW DATA'!$M155&lt;&gt;"",  'RAW DATA'!$J155="",  'RAW DATA'!$K155="", LEFT('RAW DATA'!$M155,17)&lt;&gt;"Oceanic Endeavour"), 'RAW DATA'!$M155, "")</f>
        <v/>
      </c>
      <c r="D155" s="19" t="str">
        <f t="shared" si="2"/>
        <v/>
      </c>
    </row>
    <row r="156" spans="2:4" x14ac:dyDescent="0.25">
      <c r="B156" s="18" t="str">
        <f>IF(AND('RAW DATA'!$L156&lt;&gt;"", 'RAW DATA'!$M156&lt;&gt;"",  'RAW DATA'!$J156="",  'RAW DATA'!$K156="", LEFT('RAW DATA'!$M156,17)&lt;&gt;"Oceanic Endeavour"), 'RAW DATA'!$L156, "")</f>
        <v/>
      </c>
      <c r="C156" s="18" t="str">
        <f>IF(AND('RAW DATA'!$L156&lt;&gt;"", 'RAW DATA'!$M156&lt;&gt;"",  'RAW DATA'!$J156="",  'RAW DATA'!$K156="", LEFT('RAW DATA'!$M156,17)&lt;&gt;"Oceanic Endeavour"), 'RAW DATA'!$M156, "")</f>
        <v/>
      </c>
      <c r="D156" s="19" t="str">
        <f t="shared" si="2"/>
        <v/>
      </c>
    </row>
    <row r="157" spans="2:4" x14ac:dyDescent="0.25">
      <c r="B157" s="18" t="str">
        <f>IF(AND('RAW DATA'!$L157&lt;&gt;"", 'RAW DATA'!$M157&lt;&gt;"",  'RAW DATA'!$J157="",  'RAW DATA'!$K157="", LEFT('RAW DATA'!$M157,17)&lt;&gt;"Oceanic Endeavour"), 'RAW DATA'!$L157, "")</f>
        <v/>
      </c>
      <c r="C157" s="18" t="str">
        <f>IF(AND('RAW DATA'!$L157&lt;&gt;"", 'RAW DATA'!$M157&lt;&gt;"",  'RAW DATA'!$J157="",  'RAW DATA'!$K157="", LEFT('RAW DATA'!$M157,17)&lt;&gt;"Oceanic Endeavour"), 'RAW DATA'!$M157, "")</f>
        <v/>
      </c>
      <c r="D157" s="19" t="str">
        <f t="shared" si="2"/>
        <v/>
      </c>
    </row>
    <row r="158" spans="2:4" x14ac:dyDescent="0.25">
      <c r="B158" s="18" t="str">
        <f>IF(AND('RAW DATA'!$L158&lt;&gt;"", 'RAW DATA'!$M158&lt;&gt;"",  'RAW DATA'!$J158="",  'RAW DATA'!$K158="", LEFT('RAW DATA'!$M158,17)&lt;&gt;"Oceanic Endeavour"), 'RAW DATA'!$L158, "")</f>
        <v/>
      </c>
      <c r="C158" s="18" t="str">
        <f>IF(AND('RAW DATA'!$L158&lt;&gt;"", 'RAW DATA'!$M158&lt;&gt;"",  'RAW DATA'!$J158="",  'RAW DATA'!$K158="", LEFT('RAW DATA'!$M158,17)&lt;&gt;"Oceanic Endeavour"), 'RAW DATA'!$M158, "")</f>
        <v/>
      </c>
      <c r="D158" s="19" t="str">
        <f t="shared" si="2"/>
        <v/>
      </c>
    </row>
    <row r="159" spans="2:4" x14ac:dyDescent="0.25">
      <c r="B159" s="18" t="str">
        <f>IF(AND('RAW DATA'!$L159&lt;&gt;"", 'RAW DATA'!$M159&lt;&gt;"",  'RAW DATA'!$J159="",  'RAW DATA'!$K159="", LEFT('RAW DATA'!$M159,17)&lt;&gt;"Oceanic Endeavour"), 'RAW DATA'!$L159, "")</f>
        <v/>
      </c>
      <c r="C159" s="18" t="str">
        <f>IF(AND('RAW DATA'!$L159&lt;&gt;"", 'RAW DATA'!$M159&lt;&gt;"",  'RAW DATA'!$J159="",  'RAW DATA'!$K159="", LEFT('RAW DATA'!$M159,17)&lt;&gt;"Oceanic Endeavour"), 'RAW DATA'!$M159, "")</f>
        <v/>
      </c>
      <c r="D159" s="19" t="str">
        <f t="shared" si="2"/>
        <v/>
      </c>
    </row>
    <row r="160" spans="2:4" x14ac:dyDescent="0.25">
      <c r="B160" s="18" t="str">
        <f>IF(AND('RAW DATA'!$L160&lt;&gt;"", 'RAW DATA'!$M160&lt;&gt;"",  'RAW DATA'!$J160="",  'RAW DATA'!$K160="", LEFT('RAW DATA'!$M160,17)&lt;&gt;"Oceanic Endeavour"), 'RAW DATA'!$L160, "")</f>
        <v/>
      </c>
      <c r="C160" s="18" t="str">
        <f>IF(AND('RAW DATA'!$L160&lt;&gt;"", 'RAW DATA'!$M160&lt;&gt;"",  'RAW DATA'!$J160="",  'RAW DATA'!$K160="", LEFT('RAW DATA'!$M160,17)&lt;&gt;"Oceanic Endeavour"), 'RAW DATA'!$M160, "")</f>
        <v/>
      </c>
      <c r="D160" s="19" t="str">
        <f t="shared" si="2"/>
        <v/>
      </c>
    </row>
    <row r="161" spans="2:4" x14ac:dyDescent="0.25">
      <c r="B161" s="18" t="str">
        <f>IF(AND('RAW DATA'!$L161&lt;&gt;"", 'RAW DATA'!$M161&lt;&gt;"",  'RAW DATA'!$J161="",  'RAW DATA'!$K161="", LEFT('RAW DATA'!$M161,17)&lt;&gt;"Oceanic Endeavour"), 'RAW DATA'!$L161, "")</f>
        <v/>
      </c>
      <c r="C161" s="18" t="str">
        <f>IF(AND('RAW DATA'!$L161&lt;&gt;"", 'RAW DATA'!$M161&lt;&gt;"",  'RAW DATA'!$J161="",  'RAW DATA'!$K161="", LEFT('RAW DATA'!$M161,17)&lt;&gt;"Oceanic Endeavour"), 'RAW DATA'!$M161, "")</f>
        <v/>
      </c>
      <c r="D161" s="19" t="str">
        <f t="shared" si="2"/>
        <v/>
      </c>
    </row>
    <row r="162" spans="2:4" x14ac:dyDescent="0.25">
      <c r="B162" s="18" t="str">
        <f>IF(AND('RAW DATA'!$L162&lt;&gt;"", 'RAW DATA'!$M162&lt;&gt;"",  'RAW DATA'!$J162="",  'RAW DATA'!$K162="", LEFT('RAW DATA'!$M162,17)&lt;&gt;"Oceanic Endeavour"), 'RAW DATA'!$L162, "")</f>
        <v/>
      </c>
      <c r="C162" s="18" t="str">
        <f>IF(AND('RAW DATA'!$L162&lt;&gt;"", 'RAW DATA'!$M162&lt;&gt;"",  'RAW DATA'!$J162="",  'RAW DATA'!$K162="", LEFT('RAW DATA'!$M162,17)&lt;&gt;"Oceanic Endeavour"), 'RAW DATA'!$M162, "")</f>
        <v/>
      </c>
      <c r="D162" s="19" t="str">
        <f t="shared" si="2"/>
        <v/>
      </c>
    </row>
    <row r="163" spans="2:4" x14ac:dyDescent="0.25">
      <c r="B163" s="18" t="str">
        <f>IF(AND('RAW DATA'!$L163&lt;&gt;"", 'RAW DATA'!$M163&lt;&gt;"",  'RAW DATA'!$J163="",  'RAW DATA'!$K163="", LEFT('RAW DATA'!$M163,17)&lt;&gt;"Oceanic Endeavour"), 'RAW DATA'!$L163, "")</f>
        <v/>
      </c>
      <c r="C163" s="18" t="str">
        <f>IF(AND('RAW DATA'!$L163&lt;&gt;"", 'RAW DATA'!$M163&lt;&gt;"",  'RAW DATA'!$J163="",  'RAW DATA'!$K163="", LEFT('RAW DATA'!$M163,17)&lt;&gt;"Oceanic Endeavour"), 'RAW DATA'!$M163, "")</f>
        <v/>
      </c>
      <c r="D163" s="19" t="str">
        <f t="shared" si="2"/>
        <v/>
      </c>
    </row>
    <row r="164" spans="2:4" x14ac:dyDescent="0.25">
      <c r="B164" s="18" t="str">
        <f>IF(AND('RAW DATA'!$L164&lt;&gt;"", 'RAW DATA'!$M164&lt;&gt;"",  'RAW DATA'!$J164="",  'RAW DATA'!$K164="", LEFT('RAW DATA'!$M164,17)&lt;&gt;"Oceanic Endeavour"), 'RAW DATA'!$L164, "")</f>
        <v/>
      </c>
      <c r="C164" s="18" t="str">
        <f>IF(AND('RAW DATA'!$L164&lt;&gt;"", 'RAW DATA'!$M164&lt;&gt;"",  'RAW DATA'!$J164="",  'RAW DATA'!$K164="", LEFT('RAW DATA'!$M164,17)&lt;&gt;"Oceanic Endeavour"), 'RAW DATA'!$M164, "")</f>
        <v/>
      </c>
      <c r="D164" s="19" t="str">
        <f t="shared" si="2"/>
        <v/>
      </c>
    </row>
    <row r="165" spans="2:4" x14ac:dyDescent="0.25">
      <c r="B165" s="18" t="str">
        <f>IF(AND('RAW DATA'!$L165&lt;&gt;"", 'RAW DATA'!$M165&lt;&gt;"",  'RAW DATA'!$J165="",  'RAW DATA'!$K165="", LEFT('RAW DATA'!$M165,17)&lt;&gt;"Oceanic Endeavour"), 'RAW DATA'!$L165, "")</f>
        <v/>
      </c>
      <c r="C165" s="18" t="str">
        <f>IF(AND('RAW DATA'!$L165&lt;&gt;"", 'RAW DATA'!$M165&lt;&gt;"",  'RAW DATA'!$J165="",  'RAW DATA'!$K165="", LEFT('RAW DATA'!$M165,17)&lt;&gt;"Oceanic Endeavour"), 'RAW DATA'!$M165, "")</f>
        <v/>
      </c>
      <c r="D165" s="19" t="str">
        <f t="shared" si="2"/>
        <v/>
      </c>
    </row>
    <row r="166" spans="2:4" x14ac:dyDescent="0.25">
      <c r="B166" s="18" t="str">
        <f>IF(AND('RAW DATA'!$L166&lt;&gt;"", 'RAW DATA'!$M166&lt;&gt;"",  'RAW DATA'!$J166="",  'RAW DATA'!$K166="", LEFT('RAW DATA'!$M166,17)&lt;&gt;"Oceanic Endeavour"), 'RAW DATA'!$L166, "")</f>
        <v/>
      </c>
      <c r="C166" s="18" t="str">
        <f>IF(AND('RAW DATA'!$L166&lt;&gt;"", 'RAW DATA'!$M166&lt;&gt;"",  'RAW DATA'!$J166="",  'RAW DATA'!$K166="", LEFT('RAW DATA'!$M166,17)&lt;&gt;"Oceanic Endeavour"), 'RAW DATA'!$M166, "")</f>
        <v/>
      </c>
      <c r="D166" s="19" t="str">
        <f t="shared" si="2"/>
        <v/>
      </c>
    </row>
    <row r="167" spans="2:4" x14ac:dyDescent="0.25">
      <c r="B167" s="18" t="str">
        <f>IF(AND('RAW DATA'!$L167&lt;&gt;"", 'RAW DATA'!$M167&lt;&gt;"",  'RAW DATA'!$J167="",  'RAW DATA'!$K167="", LEFT('RAW DATA'!$M167,17)&lt;&gt;"Oceanic Endeavour"), 'RAW DATA'!$L167, "")</f>
        <v/>
      </c>
      <c r="C167" s="18" t="str">
        <f>IF(AND('RAW DATA'!$L167&lt;&gt;"", 'RAW DATA'!$M167&lt;&gt;"",  'RAW DATA'!$J167="",  'RAW DATA'!$K167="", LEFT('RAW DATA'!$M167,17)&lt;&gt;"Oceanic Endeavour"), 'RAW DATA'!$M167, "")</f>
        <v/>
      </c>
      <c r="D167" s="19" t="str">
        <f t="shared" si="2"/>
        <v/>
      </c>
    </row>
    <row r="168" spans="2:4" x14ac:dyDescent="0.25">
      <c r="B168" s="18" t="str">
        <f>IF(AND('RAW DATA'!$L168&lt;&gt;"", 'RAW DATA'!$M168&lt;&gt;"",  'RAW DATA'!$J168="",  'RAW DATA'!$K168="", LEFT('RAW DATA'!$M168,17)&lt;&gt;"Oceanic Endeavour"), 'RAW DATA'!$L168, "")</f>
        <v/>
      </c>
      <c r="C168" s="18" t="str">
        <f>IF(AND('RAW DATA'!$L168&lt;&gt;"", 'RAW DATA'!$M168&lt;&gt;"",  'RAW DATA'!$J168="",  'RAW DATA'!$K168="", LEFT('RAW DATA'!$M168,17)&lt;&gt;"Oceanic Endeavour"), 'RAW DATA'!$M168, "")</f>
        <v/>
      </c>
      <c r="D168" s="19" t="str">
        <f t="shared" si="2"/>
        <v/>
      </c>
    </row>
    <row r="169" spans="2:4" x14ac:dyDescent="0.25">
      <c r="B169" s="18" t="str">
        <f>IF(AND('RAW DATA'!$L169&lt;&gt;"", 'RAW DATA'!$M169&lt;&gt;"",  'RAW DATA'!$J169="",  'RAW DATA'!$K169="", LEFT('RAW DATA'!$M169,17)&lt;&gt;"Oceanic Endeavour"), 'RAW DATA'!$L169, "")</f>
        <v/>
      </c>
      <c r="C169" s="18" t="str">
        <f>IF(AND('RAW DATA'!$L169&lt;&gt;"", 'RAW DATA'!$M169&lt;&gt;"",  'RAW DATA'!$J169="",  'RAW DATA'!$K169="", LEFT('RAW DATA'!$M169,17)&lt;&gt;"Oceanic Endeavour"), 'RAW DATA'!$M169, "")</f>
        <v/>
      </c>
      <c r="D169" s="19" t="str">
        <f t="shared" si="2"/>
        <v/>
      </c>
    </row>
    <row r="170" spans="2:4" x14ac:dyDescent="0.25">
      <c r="B170" s="18" t="str">
        <f>IF(AND('RAW DATA'!$L170&lt;&gt;"", 'RAW DATA'!$M170&lt;&gt;"",  'RAW DATA'!$J170="",  'RAW DATA'!$K170="", LEFT('RAW DATA'!$M170,17)&lt;&gt;"Oceanic Endeavour"), 'RAW DATA'!$L170, "")</f>
        <v/>
      </c>
      <c r="C170" s="18" t="str">
        <f>IF(AND('RAW DATA'!$L170&lt;&gt;"", 'RAW DATA'!$M170&lt;&gt;"",  'RAW DATA'!$J170="",  'RAW DATA'!$K170="", LEFT('RAW DATA'!$M170,17)&lt;&gt;"Oceanic Endeavour"), 'RAW DATA'!$M170, "")</f>
        <v/>
      </c>
      <c r="D170" s="19" t="str">
        <f t="shared" si="2"/>
        <v/>
      </c>
    </row>
    <row r="171" spans="2:4" x14ac:dyDescent="0.25">
      <c r="B171" s="18" t="str">
        <f>IF(AND('RAW DATA'!$L171&lt;&gt;"", 'RAW DATA'!$M171&lt;&gt;"",  'RAW DATA'!$J171="",  'RAW DATA'!$K171="", LEFT('RAW DATA'!$M171,17)&lt;&gt;"Oceanic Endeavour"), 'RAW DATA'!$L171, "")</f>
        <v/>
      </c>
      <c r="C171" s="18" t="str">
        <f>IF(AND('RAW DATA'!$L171&lt;&gt;"", 'RAW DATA'!$M171&lt;&gt;"",  'RAW DATA'!$J171="",  'RAW DATA'!$K171="", LEFT('RAW DATA'!$M171,17)&lt;&gt;"Oceanic Endeavour"), 'RAW DATA'!$M171, "")</f>
        <v/>
      </c>
      <c r="D171" s="19" t="str">
        <f t="shared" si="2"/>
        <v/>
      </c>
    </row>
    <row r="172" spans="2:4" x14ac:dyDescent="0.25">
      <c r="B172" s="18" t="str">
        <f>IF(AND('RAW DATA'!$L172&lt;&gt;"", 'RAW DATA'!$M172&lt;&gt;"",  'RAW DATA'!$J172="",  'RAW DATA'!$K172="", LEFT('RAW DATA'!$M172,17)&lt;&gt;"Oceanic Endeavour"), 'RAW DATA'!$L172, "")</f>
        <v/>
      </c>
      <c r="C172" s="18" t="str">
        <f>IF(AND('RAW DATA'!$L172&lt;&gt;"", 'RAW DATA'!$M172&lt;&gt;"",  'RAW DATA'!$J172="",  'RAW DATA'!$K172="", LEFT('RAW DATA'!$M172,17)&lt;&gt;"Oceanic Endeavour"), 'RAW DATA'!$M172, "")</f>
        <v/>
      </c>
      <c r="D172" s="19" t="str">
        <f t="shared" si="2"/>
        <v/>
      </c>
    </row>
    <row r="173" spans="2:4" x14ac:dyDescent="0.25">
      <c r="B173" s="18" t="str">
        <f>IF(AND('RAW DATA'!$L173&lt;&gt;"", 'RAW DATA'!$M173&lt;&gt;"",  'RAW DATA'!$J173="",  'RAW DATA'!$K173="", LEFT('RAW DATA'!$M173,17)&lt;&gt;"Oceanic Endeavour"), 'RAW DATA'!$L173, "")</f>
        <v/>
      </c>
      <c r="C173" s="18" t="str">
        <f>IF(AND('RAW DATA'!$L173&lt;&gt;"", 'RAW DATA'!$M173&lt;&gt;"",  'RAW DATA'!$J173="",  'RAW DATA'!$K173="", LEFT('RAW DATA'!$M173,17)&lt;&gt;"Oceanic Endeavour"), 'RAW DATA'!$M173, "")</f>
        <v/>
      </c>
      <c r="D173" s="19" t="str">
        <f t="shared" si="2"/>
        <v/>
      </c>
    </row>
    <row r="174" spans="2:4" x14ac:dyDescent="0.25">
      <c r="B174" s="18" t="str">
        <f>IF(AND('RAW DATA'!$L174&lt;&gt;"", 'RAW DATA'!$M174&lt;&gt;"",  'RAW DATA'!$J174="",  'RAW DATA'!$K174="", LEFT('RAW DATA'!$M174,17)&lt;&gt;"Oceanic Endeavour"), 'RAW DATA'!$L174, "")</f>
        <v/>
      </c>
      <c r="C174" s="18" t="str">
        <f>IF(AND('RAW DATA'!$L174&lt;&gt;"", 'RAW DATA'!$M174&lt;&gt;"",  'RAW DATA'!$J174="",  'RAW DATA'!$K174="", LEFT('RAW DATA'!$M174,17)&lt;&gt;"Oceanic Endeavour"), 'RAW DATA'!$M174, "")</f>
        <v/>
      </c>
      <c r="D174" s="19" t="str">
        <f t="shared" si="2"/>
        <v/>
      </c>
    </row>
    <row r="175" spans="2:4" x14ac:dyDescent="0.25">
      <c r="B175" s="18" t="str">
        <f>IF(AND('RAW DATA'!$L175&lt;&gt;"", 'RAW DATA'!$M175&lt;&gt;"",  'RAW DATA'!$J175="",  'RAW DATA'!$K175="", LEFT('RAW DATA'!$M175,17)&lt;&gt;"Oceanic Endeavour"), 'RAW DATA'!$L175, "")</f>
        <v/>
      </c>
      <c r="C175" s="18" t="str">
        <f>IF(AND('RAW DATA'!$L175&lt;&gt;"", 'RAW DATA'!$M175&lt;&gt;"",  'RAW DATA'!$J175="",  'RAW DATA'!$K175="", LEFT('RAW DATA'!$M175,17)&lt;&gt;"Oceanic Endeavour"), 'RAW DATA'!$M175, "")</f>
        <v/>
      </c>
      <c r="D175" s="19" t="str">
        <f t="shared" si="2"/>
        <v/>
      </c>
    </row>
    <row r="176" spans="2:4" x14ac:dyDescent="0.25">
      <c r="B176" s="18" t="str">
        <f>IF(AND('RAW DATA'!$L176&lt;&gt;"", 'RAW DATA'!$M176&lt;&gt;"",  'RAW DATA'!$J176="",  'RAW DATA'!$K176="", LEFT('RAW DATA'!$M176,17)&lt;&gt;"Oceanic Endeavour"), 'RAW DATA'!$L176, "")</f>
        <v/>
      </c>
      <c r="C176" s="18" t="str">
        <f>IF(AND('RAW DATA'!$L176&lt;&gt;"", 'RAW DATA'!$M176&lt;&gt;"",  'RAW DATA'!$J176="",  'RAW DATA'!$K176="", LEFT('RAW DATA'!$M176,17)&lt;&gt;"Oceanic Endeavour"), 'RAW DATA'!$M176, "")</f>
        <v/>
      </c>
      <c r="D176" s="19" t="str">
        <f t="shared" si="2"/>
        <v/>
      </c>
    </row>
    <row r="177" spans="2:4" x14ac:dyDescent="0.25">
      <c r="B177" s="18" t="str">
        <f>IF(AND('RAW DATA'!$L177&lt;&gt;"", 'RAW DATA'!$M177&lt;&gt;"",  'RAW DATA'!$J177="",  'RAW DATA'!$K177="", LEFT('RAW DATA'!$M177,17)&lt;&gt;"Oceanic Endeavour"), 'RAW DATA'!$L177, "")</f>
        <v/>
      </c>
      <c r="C177" s="18" t="str">
        <f>IF(AND('RAW DATA'!$L177&lt;&gt;"", 'RAW DATA'!$M177&lt;&gt;"",  'RAW DATA'!$J177="",  'RAW DATA'!$K177="", LEFT('RAW DATA'!$M177,17)&lt;&gt;"Oceanic Endeavour"), 'RAW DATA'!$M177, "")</f>
        <v/>
      </c>
      <c r="D177" s="19" t="str">
        <f t="shared" si="2"/>
        <v/>
      </c>
    </row>
    <row r="178" spans="2:4" x14ac:dyDescent="0.25">
      <c r="B178" s="18" t="str">
        <f>IF(AND('RAW DATA'!$L178&lt;&gt;"", 'RAW DATA'!$M178&lt;&gt;"",  'RAW DATA'!$J178="",  'RAW DATA'!$K178="", LEFT('RAW DATA'!$M178,17)&lt;&gt;"Oceanic Endeavour"), 'RAW DATA'!$L178, "")</f>
        <v/>
      </c>
      <c r="C178" s="18" t="str">
        <f>IF(AND('RAW DATA'!$L178&lt;&gt;"", 'RAW DATA'!$M178&lt;&gt;"",  'RAW DATA'!$J178="",  'RAW DATA'!$K178="", LEFT('RAW DATA'!$M178,17)&lt;&gt;"Oceanic Endeavour"), 'RAW DATA'!$M178, "")</f>
        <v/>
      </c>
      <c r="D178" s="19" t="str">
        <f t="shared" si="2"/>
        <v/>
      </c>
    </row>
    <row r="179" spans="2:4" x14ac:dyDescent="0.25">
      <c r="B179" s="18" t="str">
        <f>IF(AND('RAW DATA'!$L179&lt;&gt;"", 'RAW DATA'!$M179&lt;&gt;"",  'RAW DATA'!$J179="",  'RAW DATA'!$K179="", LEFT('RAW DATA'!$M179,17)&lt;&gt;"Oceanic Endeavour"), 'RAW DATA'!$L179, "")</f>
        <v/>
      </c>
      <c r="C179" s="18" t="str">
        <f>IF(AND('RAW DATA'!$L179&lt;&gt;"", 'RAW DATA'!$M179&lt;&gt;"",  'RAW DATA'!$J179="",  'RAW DATA'!$K179="", LEFT('RAW DATA'!$M179,17)&lt;&gt;"Oceanic Endeavour"), 'RAW DATA'!$M179, "")</f>
        <v/>
      </c>
      <c r="D179" s="19" t="str">
        <f t="shared" si="2"/>
        <v/>
      </c>
    </row>
    <row r="180" spans="2:4" x14ac:dyDescent="0.25">
      <c r="B180" s="18" t="str">
        <f>IF(AND('RAW DATA'!$L180&lt;&gt;"", 'RAW DATA'!$M180&lt;&gt;"",  'RAW DATA'!$J180="",  'RAW DATA'!$K180="", LEFT('RAW DATA'!$M180,17)&lt;&gt;"Oceanic Endeavour"), 'RAW DATA'!$L180, "")</f>
        <v/>
      </c>
      <c r="C180" s="18" t="str">
        <f>IF(AND('RAW DATA'!$L180&lt;&gt;"", 'RAW DATA'!$M180&lt;&gt;"",  'RAW DATA'!$J180="",  'RAW DATA'!$K180="", LEFT('RAW DATA'!$M180,17)&lt;&gt;"Oceanic Endeavour"), 'RAW DATA'!$M180, "")</f>
        <v/>
      </c>
      <c r="D180" s="19" t="str">
        <f t="shared" si="2"/>
        <v/>
      </c>
    </row>
    <row r="181" spans="2:4" x14ac:dyDescent="0.25">
      <c r="B181" s="18" t="str">
        <f>IF(AND('RAW DATA'!$L181&lt;&gt;"", 'RAW DATA'!$M181&lt;&gt;"",  'RAW DATA'!$J181="",  'RAW DATA'!$K181="", LEFT('RAW DATA'!$M181,17)&lt;&gt;"Oceanic Endeavour"), 'RAW DATA'!$L181, "")</f>
        <v/>
      </c>
      <c r="C181" s="18" t="str">
        <f>IF(AND('RAW DATA'!$L181&lt;&gt;"", 'RAW DATA'!$M181&lt;&gt;"",  'RAW DATA'!$J181="",  'RAW DATA'!$K181="", LEFT('RAW DATA'!$M181,17)&lt;&gt;"Oceanic Endeavour"), 'RAW DATA'!$M181, "")</f>
        <v/>
      </c>
      <c r="D181" s="19" t="str">
        <f t="shared" si="2"/>
        <v/>
      </c>
    </row>
    <row r="182" spans="2:4" x14ac:dyDescent="0.25">
      <c r="B182" s="18" t="str">
        <f>IF(AND('RAW DATA'!$L182&lt;&gt;"", 'RAW DATA'!$M182&lt;&gt;"",  'RAW DATA'!$J182="",  'RAW DATA'!$K182="", LEFT('RAW DATA'!$M182,17)&lt;&gt;"Oceanic Endeavour"), 'RAW DATA'!$L182, "")</f>
        <v/>
      </c>
      <c r="C182" s="18" t="str">
        <f>IF(AND('RAW DATA'!$L182&lt;&gt;"", 'RAW DATA'!$M182&lt;&gt;"",  'RAW DATA'!$J182="",  'RAW DATA'!$K182="", LEFT('RAW DATA'!$M182,17)&lt;&gt;"Oceanic Endeavour"), 'RAW DATA'!$M182, "")</f>
        <v/>
      </c>
      <c r="D182" s="19" t="str">
        <f t="shared" si="2"/>
        <v/>
      </c>
    </row>
    <row r="183" spans="2:4" x14ac:dyDescent="0.25">
      <c r="B183" s="18" t="str">
        <f>IF(AND('RAW DATA'!$L183&lt;&gt;"", 'RAW DATA'!$M183&lt;&gt;"",  'RAW DATA'!$J183="",  'RAW DATA'!$K183="", LEFT('RAW DATA'!$M183,17)&lt;&gt;"Oceanic Endeavour"), 'RAW DATA'!$L183, "")</f>
        <v/>
      </c>
      <c r="C183" s="18" t="str">
        <f>IF(AND('RAW DATA'!$L183&lt;&gt;"", 'RAW DATA'!$M183&lt;&gt;"",  'RAW DATA'!$J183="",  'RAW DATA'!$K183="", LEFT('RAW DATA'!$M183,17)&lt;&gt;"Oceanic Endeavour"), 'RAW DATA'!$M183, "")</f>
        <v/>
      </c>
      <c r="D183" s="19" t="str">
        <f t="shared" si="2"/>
        <v/>
      </c>
    </row>
    <row r="184" spans="2:4" x14ac:dyDescent="0.25">
      <c r="B184" s="18" t="str">
        <f>IF(AND('RAW DATA'!$L184&lt;&gt;"", 'RAW DATA'!$M184&lt;&gt;"",  'RAW DATA'!$J184="",  'RAW DATA'!$K184="", LEFT('RAW DATA'!$M184,17)&lt;&gt;"Oceanic Endeavour"), 'RAW DATA'!$L184, "")</f>
        <v/>
      </c>
      <c r="C184" s="18" t="str">
        <f>IF(AND('RAW DATA'!$L184&lt;&gt;"", 'RAW DATA'!$M184&lt;&gt;"",  'RAW DATA'!$J184="",  'RAW DATA'!$K184="", LEFT('RAW DATA'!$M184,17)&lt;&gt;"Oceanic Endeavour"), 'RAW DATA'!$M184, "")</f>
        <v/>
      </c>
      <c r="D184" s="19" t="str">
        <f t="shared" si="2"/>
        <v/>
      </c>
    </row>
    <row r="185" spans="2:4" x14ac:dyDescent="0.25">
      <c r="B185" s="18" t="str">
        <f>IF(AND('RAW DATA'!$L185&lt;&gt;"", 'RAW DATA'!$M185&lt;&gt;"",  'RAW DATA'!$J185="",  'RAW DATA'!$K185="", LEFT('RAW DATA'!$M185,17)&lt;&gt;"Oceanic Endeavour"), 'RAW DATA'!$L185, "")</f>
        <v/>
      </c>
      <c r="C185" s="18" t="str">
        <f>IF(AND('RAW DATA'!$L185&lt;&gt;"", 'RAW DATA'!$M185&lt;&gt;"",  'RAW DATA'!$J185="",  'RAW DATA'!$K185="", LEFT('RAW DATA'!$M185,17)&lt;&gt;"Oceanic Endeavour"), 'RAW DATA'!$M185, "")</f>
        <v/>
      </c>
      <c r="D185" s="19" t="str">
        <f t="shared" si="2"/>
        <v/>
      </c>
    </row>
    <row r="186" spans="2:4" x14ac:dyDescent="0.25">
      <c r="B186" s="18" t="str">
        <f>IF(AND('RAW DATA'!$L186&lt;&gt;"", 'RAW DATA'!$M186&lt;&gt;"",  'RAW DATA'!$J186="",  'RAW DATA'!$K186="", LEFT('RAW DATA'!$M186,17)&lt;&gt;"Oceanic Endeavour"), 'RAW DATA'!$L186, "")</f>
        <v/>
      </c>
      <c r="C186" s="18" t="str">
        <f>IF(AND('RAW DATA'!$L186&lt;&gt;"", 'RAW DATA'!$M186&lt;&gt;"",  'RAW DATA'!$J186="",  'RAW DATA'!$K186="", LEFT('RAW DATA'!$M186,17)&lt;&gt;"Oceanic Endeavour"), 'RAW DATA'!$M186, "")</f>
        <v/>
      </c>
      <c r="D186" s="19" t="str">
        <f t="shared" si="2"/>
        <v/>
      </c>
    </row>
    <row r="187" spans="2:4" x14ac:dyDescent="0.25">
      <c r="B187" s="18" t="str">
        <f>IF(AND('RAW DATA'!$L187&lt;&gt;"", 'RAW DATA'!$M187&lt;&gt;"",  'RAW DATA'!$J187="",  'RAW DATA'!$K187="", LEFT('RAW DATA'!$M187,17)&lt;&gt;"Oceanic Endeavour"), 'RAW DATA'!$L187, "")</f>
        <v/>
      </c>
      <c r="C187" s="18" t="str">
        <f>IF(AND('RAW DATA'!$L187&lt;&gt;"", 'RAW DATA'!$M187&lt;&gt;"",  'RAW DATA'!$J187="",  'RAW DATA'!$K187="", LEFT('RAW DATA'!$M187,17)&lt;&gt;"Oceanic Endeavour"), 'RAW DATA'!$M187, "")</f>
        <v/>
      </c>
      <c r="D187" s="19" t="str">
        <f t="shared" si="2"/>
        <v/>
      </c>
    </row>
    <row r="188" spans="2:4" x14ac:dyDescent="0.25">
      <c r="B188" s="18" t="str">
        <f>IF(AND('RAW DATA'!$L188&lt;&gt;"", 'RAW DATA'!$M188&lt;&gt;"",  'RAW DATA'!$J188="",  'RAW DATA'!$K188="", LEFT('RAW DATA'!$M188,17)&lt;&gt;"Oceanic Endeavour"), 'RAW DATA'!$L188, "")</f>
        <v/>
      </c>
      <c r="C188" s="18" t="str">
        <f>IF(AND('RAW DATA'!$L188&lt;&gt;"", 'RAW DATA'!$M188&lt;&gt;"",  'RAW DATA'!$J188="",  'RAW DATA'!$K188="", LEFT('RAW DATA'!$M188,17)&lt;&gt;"Oceanic Endeavour"), 'RAW DATA'!$M188, "")</f>
        <v/>
      </c>
      <c r="D188" s="19" t="str">
        <f t="shared" si="2"/>
        <v/>
      </c>
    </row>
    <row r="189" spans="2:4" x14ac:dyDescent="0.25">
      <c r="B189" s="18" t="str">
        <f>IF(AND('RAW DATA'!$L189&lt;&gt;"", 'RAW DATA'!$M189&lt;&gt;"",  'RAW DATA'!$J189="",  'RAW DATA'!$K189="", LEFT('RAW DATA'!$M189,17)&lt;&gt;"Oceanic Endeavour"), 'RAW DATA'!$L189, "")</f>
        <v/>
      </c>
      <c r="C189" s="18" t="str">
        <f>IF(AND('RAW DATA'!$L189&lt;&gt;"", 'RAW DATA'!$M189&lt;&gt;"",  'RAW DATA'!$J189="",  'RAW DATA'!$K189="", LEFT('RAW DATA'!$M189,17)&lt;&gt;"Oceanic Endeavour"), 'RAW DATA'!$M189, "")</f>
        <v/>
      </c>
      <c r="D189" s="19" t="str">
        <f t="shared" si="2"/>
        <v/>
      </c>
    </row>
    <row r="190" spans="2:4" x14ac:dyDescent="0.25">
      <c r="B190" s="18" t="str">
        <f>IF(AND('RAW DATA'!$L190&lt;&gt;"", 'RAW DATA'!$M190&lt;&gt;"",  'RAW DATA'!$J190="",  'RAW DATA'!$K190="", LEFT('RAW DATA'!$M190,17)&lt;&gt;"Oceanic Endeavour"), 'RAW DATA'!$L190, "")</f>
        <v/>
      </c>
      <c r="C190" s="18" t="str">
        <f>IF(AND('RAW DATA'!$L190&lt;&gt;"", 'RAW DATA'!$M190&lt;&gt;"",  'RAW DATA'!$J190="",  'RAW DATA'!$K190="", LEFT('RAW DATA'!$M190,17)&lt;&gt;"Oceanic Endeavour"), 'RAW DATA'!$M190, "")</f>
        <v/>
      </c>
      <c r="D190" s="19" t="str">
        <f t="shared" si="2"/>
        <v/>
      </c>
    </row>
    <row r="191" spans="2:4" x14ac:dyDescent="0.25">
      <c r="B191" s="18" t="str">
        <f>IF(AND('RAW DATA'!$L191&lt;&gt;"", 'RAW DATA'!$M191&lt;&gt;"",  'RAW DATA'!$J191="",  'RAW DATA'!$K191="", LEFT('RAW DATA'!$M191,17)&lt;&gt;"Oceanic Endeavour"), 'RAW DATA'!$L191, "")</f>
        <v/>
      </c>
      <c r="C191" s="18" t="str">
        <f>IF(AND('RAW DATA'!$L191&lt;&gt;"", 'RAW DATA'!$M191&lt;&gt;"",  'RAW DATA'!$J191="",  'RAW DATA'!$K191="", LEFT('RAW DATA'!$M191,17)&lt;&gt;"Oceanic Endeavour"), 'RAW DATA'!$M191, "")</f>
        <v/>
      </c>
      <c r="D191" s="19" t="str">
        <f t="shared" si="2"/>
        <v/>
      </c>
    </row>
    <row r="192" spans="2:4" x14ac:dyDescent="0.25">
      <c r="B192" s="18" t="str">
        <f>IF(AND('RAW DATA'!$L192&lt;&gt;"", 'RAW DATA'!$M192&lt;&gt;"",  'RAW DATA'!$J192="",  'RAW DATA'!$K192="", LEFT('RAW DATA'!$M192,17)&lt;&gt;"Oceanic Endeavour"), 'RAW DATA'!$L192, "")</f>
        <v/>
      </c>
      <c r="C192" s="18" t="str">
        <f>IF(AND('RAW DATA'!$L192&lt;&gt;"", 'RAW DATA'!$M192&lt;&gt;"",  'RAW DATA'!$J192="",  'RAW DATA'!$K192="", LEFT('RAW DATA'!$M192,17)&lt;&gt;"Oceanic Endeavour"), 'RAW DATA'!$M192, "")</f>
        <v/>
      </c>
      <c r="D192" s="19" t="str">
        <f t="shared" si="2"/>
        <v/>
      </c>
    </row>
    <row r="193" spans="2:4" x14ac:dyDescent="0.25">
      <c r="B193" s="18" t="str">
        <f>IF(AND('RAW DATA'!$L193&lt;&gt;"", 'RAW DATA'!$M193&lt;&gt;"",  'RAW DATA'!$J193="",  'RAW DATA'!$K193="", LEFT('RAW DATA'!$M193,17)&lt;&gt;"Oceanic Endeavour"), 'RAW DATA'!$L193, "")</f>
        <v/>
      </c>
      <c r="C193" s="18" t="str">
        <f>IF(AND('RAW DATA'!$L193&lt;&gt;"", 'RAW DATA'!$M193&lt;&gt;"",  'RAW DATA'!$J193="",  'RAW DATA'!$K193="", LEFT('RAW DATA'!$M193,17)&lt;&gt;"Oceanic Endeavour"), 'RAW DATA'!$M193, "")</f>
        <v/>
      </c>
      <c r="D193" s="19" t="str">
        <f t="shared" si="2"/>
        <v/>
      </c>
    </row>
    <row r="194" spans="2:4" x14ac:dyDescent="0.25">
      <c r="B194" s="18" t="str">
        <f>IF(AND('RAW DATA'!$L194&lt;&gt;"", 'RAW DATA'!$M194&lt;&gt;"",  'RAW DATA'!$J194="",  'RAW DATA'!$K194="", LEFT('RAW DATA'!$M194,17)&lt;&gt;"Oceanic Endeavour"), 'RAW DATA'!$L194, "")</f>
        <v/>
      </c>
      <c r="C194" s="18" t="str">
        <f>IF(AND('RAW DATA'!$L194&lt;&gt;"", 'RAW DATA'!$M194&lt;&gt;"",  'RAW DATA'!$J194="",  'RAW DATA'!$K194="", LEFT('RAW DATA'!$M194,17)&lt;&gt;"Oceanic Endeavour"), 'RAW DATA'!$M194, "")</f>
        <v/>
      </c>
      <c r="D194" s="19" t="str">
        <f t="shared" si="2"/>
        <v/>
      </c>
    </row>
    <row r="195" spans="2:4" x14ac:dyDescent="0.25">
      <c r="B195" s="18" t="str">
        <f>IF(AND('RAW DATA'!$L195&lt;&gt;"", 'RAW DATA'!$M195&lt;&gt;"",  'RAW DATA'!$J195="",  'RAW DATA'!$K195="", LEFT('RAW DATA'!$M195,17)&lt;&gt;"Oceanic Endeavour"), 'RAW DATA'!$L195, "")</f>
        <v/>
      </c>
      <c r="C195" s="18" t="str">
        <f>IF(AND('RAW DATA'!$L195&lt;&gt;"", 'RAW DATA'!$M195&lt;&gt;"",  'RAW DATA'!$J195="",  'RAW DATA'!$K195="", LEFT('RAW DATA'!$M195,17)&lt;&gt;"Oceanic Endeavour"), 'RAW DATA'!$M195, "")</f>
        <v/>
      </c>
      <c r="D195" s="19" t="str">
        <f t="shared" si="2"/>
        <v/>
      </c>
    </row>
    <row r="196" spans="2:4" x14ac:dyDescent="0.25">
      <c r="B196" s="18" t="str">
        <f>IF(AND('RAW DATA'!$L196&lt;&gt;"", 'RAW DATA'!$M196&lt;&gt;"",  'RAW DATA'!$J196="",  'RAW DATA'!$K196="", LEFT('RAW DATA'!$M196,17)&lt;&gt;"Oceanic Endeavour"), 'RAW DATA'!$L196, "")</f>
        <v/>
      </c>
      <c r="C196" s="18" t="str">
        <f>IF(AND('RAW DATA'!$L196&lt;&gt;"", 'RAW DATA'!$M196&lt;&gt;"",  'RAW DATA'!$J196="",  'RAW DATA'!$K196="", LEFT('RAW DATA'!$M196,17)&lt;&gt;"Oceanic Endeavour"), 'RAW DATA'!$M196, "")</f>
        <v/>
      </c>
      <c r="D196" s="19" t="str">
        <f t="shared" si="2"/>
        <v/>
      </c>
    </row>
    <row r="197" spans="2:4" x14ac:dyDescent="0.25">
      <c r="B197" s="18" t="str">
        <f>IF(AND('RAW DATA'!$L197&lt;&gt;"", 'RAW DATA'!$M197&lt;&gt;"",  'RAW DATA'!$J197="",  'RAW DATA'!$K197="", LEFT('RAW DATA'!$M197,17)&lt;&gt;"Oceanic Endeavour"), 'RAW DATA'!$L197, "")</f>
        <v/>
      </c>
      <c r="C197" s="18" t="str">
        <f>IF(AND('RAW DATA'!$L197&lt;&gt;"", 'RAW DATA'!$M197&lt;&gt;"",  'RAW DATA'!$J197="",  'RAW DATA'!$K197="", LEFT('RAW DATA'!$M197,17)&lt;&gt;"Oceanic Endeavour"), 'RAW DATA'!$M197, "")</f>
        <v/>
      </c>
      <c r="D197" s="19" t="str">
        <f t="shared" ref="D197:D260" si="3">IF(AND($B197&lt;&gt;"", $C197&lt;&gt;""), COUNTIF($C$4:$C$611, $C197), "")</f>
        <v/>
      </c>
    </row>
    <row r="198" spans="2:4" x14ac:dyDescent="0.25">
      <c r="B198" s="18" t="str">
        <f>IF(AND('RAW DATA'!$L198&lt;&gt;"", 'RAW DATA'!$M198&lt;&gt;"",  'RAW DATA'!$J198="",  'RAW DATA'!$K198="", LEFT('RAW DATA'!$M198,17)&lt;&gt;"Oceanic Endeavour"), 'RAW DATA'!$L198, "")</f>
        <v/>
      </c>
      <c r="C198" s="18" t="str">
        <f>IF(AND('RAW DATA'!$L198&lt;&gt;"", 'RAW DATA'!$M198&lt;&gt;"",  'RAW DATA'!$J198="",  'RAW DATA'!$K198="", LEFT('RAW DATA'!$M198,17)&lt;&gt;"Oceanic Endeavour"), 'RAW DATA'!$M198, "")</f>
        <v/>
      </c>
      <c r="D198" s="19" t="str">
        <f t="shared" si="3"/>
        <v/>
      </c>
    </row>
    <row r="199" spans="2:4" x14ac:dyDescent="0.25">
      <c r="B199" s="18" t="str">
        <f>IF(AND('RAW DATA'!$L199&lt;&gt;"", 'RAW DATA'!$M199&lt;&gt;"",  'RAW DATA'!$J199="",  'RAW DATA'!$K199="", LEFT('RAW DATA'!$M199,17)&lt;&gt;"Oceanic Endeavour"), 'RAW DATA'!$L199, "")</f>
        <v/>
      </c>
      <c r="C199" s="18" t="str">
        <f>IF(AND('RAW DATA'!$L199&lt;&gt;"", 'RAW DATA'!$M199&lt;&gt;"",  'RAW DATA'!$J199="",  'RAW DATA'!$K199="", LEFT('RAW DATA'!$M199,17)&lt;&gt;"Oceanic Endeavour"), 'RAW DATA'!$M199, "")</f>
        <v/>
      </c>
      <c r="D199" s="19" t="str">
        <f t="shared" si="3"/>
        <v/>
      </c>
    </row>
    <row r="200" spans="2:4" x14ac:dyDescent="0.25">
      <c r="B200" s="18" t="str">
        <f>IF(AND('RAW DATA'!$L200&lt;&gt;"", 'RAW DATA'!$M200&lt;&gt;"",  'RAW DATA'!$J200="",  'RAW DATA'!$K200="", LEFT('RAW DATA'!$M200,17)&lt;&gt;"Oceanic Endeavour"), 'RAW DATA'!$L200, "")</f>
        <v/>
      </c>
      <c r="C200" s="18" t="str">
        <f>IF(AND('RAW DATA'!$L200&lt;&gt;"", 'RAW DATA'!$M200&lt;&gt;"",  'RAW DATA'!$J200="",  'RAW DATA'!$K200="", LEFT('RAW DATA'!$M200,17)&lt;&gt;"Oceanic Endeavour"), 'RAW DATA'!$M200, "")</f>
        <v/>
      </c>
      <c r="D200" s="19" t="str">
        <f t="shared" si="3"/>
        <v/>
      </c>
    </row>
    <row r="201" spans="2:4" x14ac:dyDescent="0.25">
      <c r="B201" s="18" t="str">
        <f>IF(AND('RAW DATA'!$L201&lt;&gt;"", 'RAW DATA'!$M201&lt;&gt;"",  'RAW DATA'!$J201="",  'RAW DATA'!$K201="", LEFT('RAW DATA'!$M201,17)&lt;&gt;"Oceanic Endeavour"), 'RAW DATA'!$L201, "")</f>
        <v/>
      </c>
      <c r="C201" s="18" t="str">
        <f>IF(AND('RAW DATA'!$L201&lt;&gt;"", 'RAW DATA'!$M201&lt;&gt;"",  'RAW DATA'!$J201="",  'RAW DATA'!$K201="", LEFT('RAW DATA'!$M201,17)&lt;&gt;"Oceanic Endeavour"), 'RAW DATA'!$M201, "")</f>
        <v/>
      </c>
      <c r="D201" s="19" t="str">
        <f t="shared" si="3"/>
        <v/>
      </c>
    </row>
    <row r="202" spans="2:4" x14ac:dyDescent="0.25">
      <c r="B202" s="18" t="str">
        <f>IF(AND('RAW DATA'!$L202&lt;&gt;"", 'RAW DATA'!$M202&lt;&gt;"",  'RAW DATA'!$J202="",  'RAW DATA'!$K202="", LEFT('RAW DATA'!$M202,17)&lt;&gt;"Oceanic Endeavour"), 'RAW DATA'!$L202, "")</f>
        <v/>
      </c>
      <c r="C202" s="18" t="str">
        <f>IF(AND('RAW DATA'!$L202&lt;&gt;"", 'RAW DATA'!$M202&lt;&gt;"",  'RAW DATA'!$J202="",  'RAW DATA'!$K202="", LEFT('RAW DATA'!$M202,17)&lt;&gt;"Oceanic Endeavour"), 'RAW DATA'!$M202, "")</f>
        <v/>
      </c>
      <c r="D202" s="19" t="str">
        <f t="shared" si="3"/>
        <v/>
      </c>
    </row>
    <row r="203" spans="2:4" x14ac:dyDescent="0.25">
      <c r="B203" s="18" t="str">
        <f>IF(AND('RAW DATA'!$L203&lt;&gt;"", 'RAW DATA'!$M203&lt;&gt;"",  'RAW DATA'!$J203="",  'RAW DATA'!$K203="", LEFT('RAW DATA'!$M203,17)&lt;&gt;"Oceanic Endeavour"), 'RAW DATA'!$L203, "")</f>
        <v/>
      </c>
      <c r="C203" s="18" t="str">
        <f>IF(AND('RAW DATA'!$L203&lt;&gt;"", 'RAW DATA'!$M203&lt;&gt;"",  'RAW DATA'!$J203="",  'RAW DATA'!$K203="", LEFT('RAW DATA'!$M203,17)&lt;&gt;"Oceanic Endeavour"), 'RAW DATA'!$M203, "")</f>
        <v/>
      </c>
      <c r="D203" s="19" t="str">
        <f t="shared" si="3"/>
        <v/>
      </c>
    </row>
    <row r="204" spans="2:4" x14ac:dyDescent="0.25">
      <c r="B204" s="18" t="str">
        <f>IF(AND('RAW DATA'!$L204&lt;&gt;"", 'RAW DATA'!$M204&lt;&gt;"",  'RAW DATA'!$J204="",  'RAW DATA'!$K204="", LEFT('RAW DATA'!$M204,17)&lt;&gt;"Oceanic Endeavour"), 'RAW DATA'!$L204, "")</f>
        <v/>
      </c>
      <c r="C204" s="18" t="str">
        <f>IF(AND('RAW DATA'!$L204&lt;&gt;"", 'RAW DATA'!$M204&lt;&gt;"",  'RAW DATA'!$J204="",  'RAW DATA'!$K204="", LEFT('RAW DATA'!$M204,17)&lt;&gt;"Oceanic Endeavour"), 'RAW DATA'!$M204, "")</f>
        <v/>
      </c>
      <c r="D204" s="19" t="str">
        <f t="shared" si="3"/>
        <v/>
      </c>
    </row>
    <row r="205" spans="2:4" x14ac:dyDescent="0.25">
      <c r="B205" s="18" t="str">
        <f>IF(AND('RAW DATA'!$L205&lt;&gt;"", 'RAW DATA'!$M205&lt;&gt;"",  'RAW DATA'!$J205="",  'RAW DATA'!$K205="", LEFT('RAW DATA'!$M205,17)&lt;&gt;"Oceanic Endeavour"), 'RAW DATA'!$L205, "")</f>
        <v/>
      </c>
      <c r="C205" s="18" t="str">
        <f>IF(AND('RAW DATA'!$L205&lt;&gt;"", 'RAW DATA'!$M205&lt;&gt;"",  'RAW DATA'!$J205="",  'RAW DATA'!$K205="", LEFT('RAW DATA'!$M205,17)&lt;&gt;"Oceanic Endeavour"), 'RAW DATA'!$M205, "")</f>
        <v/>
      </c>
      <c r="D205" s="19" t="str">
        <f t="shared" si="3"/>
        <v/>
      </c>
    </row>
    <row r="206" spans="2:4" x14ac:dyDescent="0.25">
      <c r="B206" s="18" t="str">
        <f>IF(AND('RAW DATA'!$L206&lt;&gt;"", 'RAW DATA'!$M206&lt;&gt;"",  'RAW DATA'!$J206="",  'RAW DATA'!$K206="", LEFT('RAW DATA'!$M206,17)&lt;&gt;"Oceanic Endeavour"), 'RAW DATA'!$L206, "")</f>
        <v/>
      </c>
      <c r="C206" s="18" t="str">
        <f>IF(AND('RAW DATA'!$L206&lt;&gt;"", 'RAW DATA'!$M206&lt;&gt;"",  'RAW DATA'!$J206="",  'RAW DATA'!$K206="", LEFT('RAW DATA'!$M206,17)&lt;&gt;"Oceanic Endeavour"), 'RAW DATA'!$M206, "")</f>
        <v/>
      </c>
      <c r="D206" s="19" t="str">
        <f t="shared" si="3"/>
        <v/>
      </c>
    </row>
    <row r="207" spans="2:4" x14ac:dyDescent="0.25">
      <c r="B207" s="18" t="str">
        <f>IF(AND('RAW DATA'!$L207&lt;&gt;"", 'RAW DATA'!$M207&lt;&gt;"",  'RAW DATA'!$J207="",  'RAW DATA'!$K207="", LEFT('RAW DATA'!$M207,17)&lt;&gt;"Oceanic Endeavour"), 'RAW DATA'!$L207, "")</f>
        <v/>
      </c>
      <c r="C207" s="18" t="str">
        <f>IF(AND('RAW DATA'!$L207&lt;&gt;"", 'RAW DATA'!$M207&lt;&gt;"",  'RAW DATA'!$J207="",  'RAW DATA'!$K207="", LEFT('RAW DATA'!$M207,17)&lt;&gt;"Oceanic Endeavour"), 'RAW DATA'!$M207, "")</f>
        <v/>
      </c>
      <c r="D207" s="19" t="str">
        <f t="shared" si="3"/>
        <v/>
      </c>
    </row>
    <row r="208" spans="2:4" x14ac:dyDescent="0.25">
      <c r="B208" s="18" t="str">
        <f>IF(AND('RAW DATA'!$L208&lt;&gt;"", 'RAW DATA'!$M208&lt;&gt;"",  'RAW DATA'!$J208="",  'RAW DATA'!$K208="", LEFT('RAW DATA'!$M208,17)&lt;&gt;"Oceanic Endeavour"), 'RAW DATA'!$L208, "")</f>
        <v/>
      </c>
      <c r="C208" s="18" t="str">
        <f>IF(AND('RAW DATA'!$L208&lt;&gt;"", 'RAW DATA'!$M208&lt;&gt;"",  'RAW DATA'!$J208="",  'RAW DATA'!$K208="", LEFT('RAW DATA'!$M208,17)&lt;&gt;"Oceanic Endeavour"), 'RAW DATA'!$M208, "")</f>
        <v/>
      </c>
      <c r="D208" s="19" t="str">
        <f t="shared" si="3"/>
        <v/>
      </c>
    </row>
    <row r="209" spans="2:4" x14ac:dyDescent="0.25">
      <c r="B209" s="18" t="str">
        <f>IF(AND('RAW DATA'!$L209&lt;&gt;"", 'RAW DATA'!$M209&lt;&gt;"",  'RAW DATA'!$J209="",  'RAW DATA'!$K209="", LEFT('RAW DATA'!$M209,17)&lt;&gt;"Oceanic Endeavour"), 'RAW DATA'!$L209, "")</f>
        <v/>
      </c>
      <c r="C209" s="18" t="str">
        <f>IF(AND('RAW DATA'!$L209&lt;&gt;"", 'RAW DATA'!$M209&lt;&gt;"",  'RAW DATA'!$J209="",  'RAW DATA'!$K209="", LEFT('RAW DATA'!$M209,17)&lt;&gt;"Oceanic Endeavour"), 'RAW DATA'!$M209, "")</f>
        <v/>
      </c>
      <c r="D209" s="19" t="str">
        <f t="shared" si="3"/>
        <v/>
      </c>
    </row>
    <row r="210" spans="2:4" x14ac:dyDescent="0.25">
      <c r="B210" s="18" t="str">
        <f>IF(AND('RAW DATA'!$L210&lt;&gt;"", 'RAW DATA'!$M210&lt;&gt;"",  'RAW DATA'!$J210="",  'RAW DATA'!$K210="", LEFT('RAW DATA'!$M210,17)&lt;&gt;"Oceanic Endeavour"), 'RAW DATA'!$L210, "")</f>
        <v/>
      </c>
      <c r="C210" s="18" t="str">
        <f>IF(AND('RAW DATA'!$L210&lt;&gt;"", 'RAW DATA'!$M210&lt;&gt;"",  'RAW DATA'!$J210="",  'RAW DATA'!$K210="", LEFT('RAW DATA'!$M210,17)&lt;&gt;"Oceanic Endeavour"), 'RAW DATA'!$M210, "")</f>
        <v/>
      </c>
      <c r="D210" s="19" t="str">
        <f t="shared" si="3"/>
        <v/>
      </c>
    </row>
    <row r="211" spans="2:4" x14ac:dyDescent="0.25">
      <c r="B211" s="18" t="str">
        <f>IF(AND('RAW DATA'!$L211&lt;&gt;"", 'RAW DATA'!$M211&lt;&gt;"",  'RAW DATA'!$J211="",  'RAW DATA'!$K211="", LEFT('RAW DATA'!$M211,17)&lt;&gt;"Oceanic Endeavour"), 'RAW DATA'!$L211, "")</f>
        <v/>
      </c>
      <c r="C211" s="18" t="str">
        <f>IF(AND('RAW DATA'!$L211&lt;&gt;"", 'RAW DATA'!$M211&lt;&gt;"",  'RAW DATA'!$J211="",  'RAW DATA'!$K211="", LEFT('RAW DATA'!$M211,17)&lt;&gt;"Oceanic Endeavour"), 'RAW DATA'!$M211, "")</f>
        <v/>
      </c>
      <c r="D211" s="19" t="str">
        <f t="shared" si="3"/>
        <v/>
      </c>
    </row>
    <row r="212" spans="2:4" x14ac:dyDescent="0.25">
      <c r="B212" s="18" t="str">
        <f>IF(AND('RAW DATA'!$L212&lt;&gt;"", 'RAW DATA'!$M212&lt;&gt;"",  'RAW DATA'!$J212="",  'RAW DATA'!$K212="", LEFT('RAW DATA'!$M212,17)&lt;&gt;"Oceanic Endeavour"), 'RAW DATA'!$L212, "")</f>
        <v/>
      </c>
      <c r="C212" s="18" t="str">
        <f>IF(AND('RAW DATA'!$L212&lt;&gt;"", 'RAW DATA'!$M212&lt;&gt;"",  'RAW DATA'!$J212="",  'RAW DATA'!$K212="", LEFT('RAW DATA'!$M212,17)&lt;&gt;"Oceanic Endeavour"), 'RAW DATA'!$M212, "")</f>
        <v/>
      </c>
      <c r="D212" s="19" t="str">
        <f t="shared" si="3"/>
        <v/>
      </c>
    </row>
    <row r="213" spans="2:4" x14ac:dyDescent="0.25">
      <c r="B213" s="18" t="str">
        <f>IF(AND('RAW DATA'!$L213&lt;&gt;"", 'RAW DATA'!$M213&lt;&gt;"",  'RAW DATA'!$J213="",  'RAW DATA'!$K213="", LEFT('RAW DATA'!$M213,17)&lt;&gt;"Oceanic Endeavour"), 'RAW DATA'!$L213, "")</f>
        <v/>
      </c>
      <c r="C213" s="18" t="str">
        <f>IF(AND('RAW DATA'!$L213&lt;&gt;"", 'RAW DATA'!$M213&lt;&gt;"",  'RAW DATA'!$J213="",  'RAW DATA'!$K213="", LEFT('RAW DATA'!$M213,17)&lt;&gt;"Oceanic Endeavour"), 'RAW DATA'!$M213, "")</f>
        <v/>
      </c>
      <c r="D213" s="19" t="str">
        <f t="shared" si="3"/>
        <v/>
      </c>
    </row>
    <row r="214" spans="2:4" x14ac:dyDescent="0.25">
      <c r="B214" s="18" t="str">
        <f>IF(AND('RAW DATA'!$L214&lt;&gt;"", 'RAW DATA'!$M214&lt;&gt;"",  'RAW DATA'!$J214="",  'RAW DATA'!$K214="", LEFT('RAW DATA'!$M214,17)&lt;&gt;"Oceanic Endeavour"), 'RAW DATA'!$L214, "")</f>
        <v/>
      </c>
      <c r="C214" s="18" t="str">
        <f>IF(AND('RAW DATA'!$L214&lt;&gt;"", 'RAW DATA'!$M214&lt;&gt;"",  'RAW DATA'!$J214="",  'RAW DATA'!$K214="", LEFT('RAW DATA'!$M214,17)&lt;&gt;"Oceanic Endeavour"), 'RAW DATA'!$M214, "")</f>
        <v/>
      </c>
      <c r="D214" s="19" t="str">
        <f t="shared" si="3"/>
        <v/>
      </c>
    </row>
    <row r="215" spans="2:4" x14ac:dyDescent="0.25">
      <c r="B215" s="18" t="str">
        <f>IF(AND('RAW DATA'!$L215&lt;&gt;"", 'RAW DATA'!$M215&lt;&gt;"",  'RAW DATA'!$J215="",  'RAW DATA'!$K215="", LEFT('RAW DATA'!$M215,17)&lt;&gt;"Oceanic Endeavour"), 'RAW DATA'!$L215, "")</f>
        <v/>
      </c>
      <c r="C215" s="18" t="str">
        <f>IF(AND('RAW DATA'!$L215&lt;&gt;"", 'RAW DATA'!$M215&lt;&gt;"",  'RAW DATA'!$J215="",  'RAW DATA'!$K215="", LEFT('RAW DATA'!$M215,17)&lt;&gt;"Oceanic Endeavour"), 'RAW DATA'!$M215, "")</f>
        <v/>
      </c>
      <c r="D215" s="19" t="str">
        <f t="shared" si="3"/>
        <v/>
      </c>
    </row>
    <row r="216" spans="2:4" x14ac:dyDescent="0.25">
      <c r="B216" s="18" t="str">
        <f>IF(AND('RAW DATA'!$L216&lt;&gt;"", 'RAW DATA'!$M216&lt;&gt;"",  'RAW DATA'!$J216="",  'RAW DATA'!$K216="", LEFT('RAW DATA'!$M216,17)&lt;&gt;"Oceanic Endeavour"), 'RAW DATA'!$L216, "")</f>
        <v/>
      </c>
      <c r="C216" s="18" t="str">
        <f>IF(AND('RAW DATA'!$L216&lt;&gt;"", 'RAW DATA'!$M216&lt;&gt;"",  'RAW DATA'!$J216="",  'RAW DATA'!$K216="", LEFT('RAW DATA'!$M216,17)&lt;&gt;"Oceanic Endeavour"), 'RAW DATA'!$M216, "")</f>
        <v/>
      </c>
      <c r="D216" s="19" t="str">
        <f t="shared" si="3"/>
        <v/>
      </c>
    </row>
    <row r="217" spans="2:4" x14ac:dyDescent="0.25">
      <c r="B217" s="18" t="str">
        <f>IF(AND('RAW DATA'!$L217&lt;&gt;"", 'RAW DATA'!$M217&lt;&gt;"",  'RAW DATA'!$J217="",  'RAW DATA'!$K217="", LEFT('RAW DATA'!$M217,17)&lt;&gt;"Oceanic Endeavour"), 'RAW DATA'!$L217, "")</f>
        <v/>
      </c>
      <c r="C217" s="18" t="str">
        <f>IF(AND('RAW DATA'!$L217&lt;&gt;"", 'RAW DATA'!$M217&lt;&gt;"",  'RAW DATA'!$J217="",  'RAW DATA'!$K217="", LEFT('RAW DATA'!$M217,17)&lt;&gt;"Oceanic Endeavour"), 'RAW DATA'!$M217, "")</f>
        <v/>
      </c>
      <c r="D217" s="19" t="str">
        <f t="shared" si="3"/>
        <v/>
      </c>
    </row>
    <row r="218" spans="2:4" x14ac:dyDescent="0.25">
      <c r="B218" s="18" t="str">
        <f>IF(AND('RAW DATA'!$L218&lt;&gt;"", 'RAW DATA'!$M218&lt;&gt;"",  'RAW DATA'!$J218="",  'RAW DATA'!$K218="", LEFT('RAW DATA'!$M218,17)&lt;&gt;"Oceanic Endeavour"), 'RAW DATA'!$L218, "")</f>
        <v/>
      </c>
      <c r="C218" s="18" t="str">
        <f>IF(AND('RAW DATA'!$L218&lt;&gt;"", 'RAW DATA'!$M218&lt;&gt;"",  'RAW DATA'!$J218="",  'RAW DATA'!$K218="", LEFT('RAW DATA'!$M218,17)&lt;&gt;"Oceanic Endeavour"), 'RAW DATA'!$M218, "")</f>
        <v/>
      </c>
      <c r="D218" s="19" t="str">
        <f t="shared" si="3"/>
        <v/>
      </c>
    </row>
    <row r="219" spans="2:4" x14ac:dyDescent="0.25">
      <c r="B219" s="18" t="str">
        <f>IF(AND('RAW DATA'!$L219&lt;&gt;"", 'RAW DATA'!$M219&lt;&gt;"",  'RAW DATA'!$J219="",  'RAW DATA'!$K219="", LEFT('RAW DATA'!$M219,17)&lt;&gt;"Oceanic Endeavour"), 'RAW DATA'!$L219, "")</f>
        <v/>
      </c>
      <c r="C219" s="18" t="str">
        <f>IF(AND('RAW DATA'!$L219&lt;&gt;"", 'RAW DATA'!$M219&lt;&gt;"",  'RAW DATA'!$J219="",  'RAW DATA'!$K219="", LEFT('RAW DATA'!$M219,17)&lt;&gt;"Oceanic Endeavour"), 'RAW DATA'!$M219, "")</f>
        <v/>
      </c>
      <c r="D219" s="19" t="str">
        <f t="shared" si="3"/>
        <v/>
      </c>
    </row>
    <row r="220" spans="2:4" x14ac:dyDescent="0.25">
      <c r="B220" s="18" t="str">
        <f>IF(AND('RAW DATA'!$L220&lt;&gt;"", 'RAW DATA'!$M220&lt;&gt;"",  'RAW DATA'!$J220="",  'RAW DATA'!$K220="", LEFT('RAW DATA'!$M220,17)&lt;&gt;"Oceanic Endeavour"), 'RAW DATA'!$L220, "")</f>
        <v/>
      </c>
      <c r="C220" s="18" t="str">
        <f>IF(AND('RAW DATA'!$L220&lt;&gt;"", 'RAW DATA'!$M220&lt;&gt;"",  'RAW DATA'!$J220="",  'RAW DATA'!$K220="", LEFT('RAW DATA'!$M220,17)&lt;&gt;"Oceanic Endeavour"), 'RAW DATA'!$M220, "")</f>
        <v/>
      </c>
      <c r="D220" s="19" t="str">
        <f t="shared" si="3"/>
        <v/>
      </c>
    </row>
    <row r="221" spans="2:4" x14ac:dyDescent="0.25">
      <c r="B221" s="18" t="str">
        <f>IF(AND('RAW DATA'!$L221&lt;&gt;"", 'RAW DATA'!$M221&lt;&gt;"",  'RAW DATA'!$J221="",  'RAW DATA'!$K221="", LEFT('RAW DATA'!$M221,17)&lt;&gt;"Oceanic Endeavour"), 'RAW DATA'!$L221, "")</f>
        <v/>
      </c>
      <c r="C221" s="18" t="str">
        <f>IF(AND('RAW DATA'!$L221&lt;&gt;"", 'RAW DATA'!$M221&lt;&gt;"",  'RAW DATA'!$J221="",  'RAW DATA'!$K221="", LEFT('RAW DATA'!$M221,17)&lt;&gt;"Oceanic Endeavour"), 'RAW DATA'!$M221, "")</f>
        <v/>
      </c>
      <c r="D221" s="19" t="str">
        <f t="shared" si="3"/>
        <v/>
      </c>
    </row>
    <row r="222" spans="2:4" x14ac:dyDescent="0.25">
      <c r="B222" s="18" t="str">
        <f>IF(AND('RAW DATA'!$L222&lt;&gt;"", 'RAW DATA'!$M222&lt;&gt;"",  'RAW DATA'!$J222="",  'RAW DATA'!$K222="", LEFT('RAW DATA'!$M222,17)&lt;&gt;"Oceanic Endeavour"), 'RAW DATA'!$L222, "")</f>
        <v/>
      </c>
      <c r="C222" s="18" t="str">
        <f>IF(AND('RAW DATA'!$L222&lt;&gt;"", 'RAW DATA'!$M222&lt;&gt;"",  'RAW DATA'!$J222="",  'RAW DATA'!$K222="", LEFT('RAW DATA'!$M222,17)&lt;&gt;"Oceanic Endeavour"), 'RAW DATA'!$M222, "")</f>
        <v/>
      </c>
      <c r="D222" s="19" t="str">
        <f t="shared" si="3"/>
        <v/>
      </c>
    </row>
    <row r="223" spans="2:4" x14ac:dyDescent="0.25">
      <c r="B223" s="18" t="str">
        <f>IF(AND('RAW DATA'!$L223&lt;&gt;"", 'RAW DATA'!$M223&lt;&gt;"",  'RAW DATA'!$J223="",  'RAW DATA'!$K223="", LEFT('RAW DATA'!$M223,17)&lt;&gt;"Oceanic Endeavour"), 'RAW DATA'!$L223, "")</f>
        <v/>
      </c>
      <c r="C223" s="18" t="str">
        <f>IF(AND('RAW DATA'!$L223&lt;&gt;"", 'RAW DATA'!$M223&lt;&gt;"",  'RAW DATA'!$J223="",  'RAW DATA'!$K223="", LEFT('RAW DATA'!$M223,17)&lt;&gt;"Oceanic Endeavour"), 'RAW DATA'!$M223, "")</f>
        <v/>
      </c>
      <c r="D223" s="19" t="str">
        <f t="shared" si="3"/>
        <v/>
      </c>
    </row>
    <row r="224" spans="2:4" x14ac:dyDescent="0.25">
      <c r="B224" s="18" t="str">
        <f>IF(AND('RAW DATA'!$L224&lt;&gt;"", 'RAW DATA'!$M224&lt;&gt;"",  'RAW DATA'!$J224="",  'RAW DATA'!$K224="", LEFT('RAW DATA'!$M224,17)&lt;&gt;"Oceanic Endeavour"), 'RAW DATA'!$L224, "")</f>
        <v/>
      </c>
      <c r="C224" s="18" t="str">
        <f>IF(AND('RAW DATA'!$L224&lt;&gt;"", 'RAW DATA'!$M224&lt;&gt;"",  'RAW DATA'!$J224="",  'RAW DATA'!$K224="", LEFT('RAW DATA'!$M224,17)&lt;&gt;"Oceanic Endeavour"), 'RAW DATA'!$M224, "")</f>
        <v/>
      </c>
      <c r="D224" s="19" t="str">
        <f t="shared" si="3"/>
        <v/>
      </c>
    </row>
    <row r="225" spans="2:4" x14ac:dyDescent="0.25">
      <c r="B225" s="18" t="str">
        <f>IF(AND('RAW DATA'!$L225&lt;&gt;"", 'RAW DATA'!$M225&lt;&gt;"",  'RAW DATA'!$J225="",  'RAW DATA'!$K225="", LEFT('RAW DATA'!$M225,17)&lt;&gt;"Oceanic Endeavour"), 'RAW DATA'!$L225, "")</f>
        <v/>
      </c>
      <c r="C225" s="18" t="str">
        <f>IF(AND('RAW DATA'!$L225&lt;&gt;"", 'RAW DATA'!$M225&lt;&gt;"",  'RAW DATA'!$J225="",  'RAW DATA'!$K225="", LEFT('RAW DATA'!$M225,17)&lt;&gt;"Oceanic Endeavour"), 'RAW DATA'!$M225, "")</f>
        <v/>
      </c>
      <c r="D225" s="19" t="str">
        <f t="shared" si="3"/>
        <v/>
      </c>
    </row>
    <row r="226" spans="2:4" x14ac:dyDescent="0.25">
      <c r="B226" s="18" t="str">
        <f>IF(AND('RAW DATA'!$L226&lt;&gt;"", 'RAW DATA'!$M226&lt;&gt;"",  'RAW DATA'!$J226="",  'RAW DATA'!$K226="", LEFT('RAW DATA'!$M226,17)&lt;&gt;"Oceanic Endeavour"), 'RAW DATA'!$L226, "")</f>
        <v/>
      </c>
      <c r="C226" s="18" t="str">
        <f>IF(AND('RAW DATA'!$L226&lt;&gt;"", 'RAW DATA'!$M226&lt;&gt;"",  'RAW DATA'!$J226="",  'RAW DATA'!$K226="", LEFT('RAW DATA'!$M226,17)&lt;&gt;"Oceanic Endeavour"), 'RAW DATA'!$M226, "")</f>
        <v/>
      </c>
      <c r="D226" s="19" t="str">
        <f t="shared" si="3"/>
        <v/>
      </c>
    </row>
    <row r="227" spans="2:4" x14ac:dyDescent="0.25">
      <c r="B227" s="18" t="str">
        <f>IF(AND('RAW DATA'!$L227&lt;&gt;"", 'RAW DATA'!$M227&lt;&gt;"",  'RAW DATA'!$J227="",  'RAW DATA'!$K227="", LEFT('RAW DATA'!$M227,17)&lt;&gt;"Oceanic Endeavour"), 'RAW DATA'!$L227, "")</f>
        <v/>
      </c>
      <c r="C227" s="18" t="str">
        <f>IF(AND('RAW DATA'!$L227&lt;&gt;"", 'RAW DATA'!$M227&lt;&gt;"",  'RAW DATA'!$J227="",  'RAW DATA'!$K227="", LEFT('RAW DATA'!$M227,17)&lt;&gt;"Oceanic Endeavour"), 'RAW DATA'!$M227, "")</f>
        <v/>
      </c>
      <c r="D227" s="19" t="str">
        <f t="shared" si="3"/>
        <v/>
      </c>
    </row>
    <row r="228" spans="2:4" x14ac:dyDescent="0.25">
      <c r="B228" s="18" t="str">
        <f>IF(AND('RAW DATA'!$L228&lt;&gt;"", 'RAW DATA'!$M228&lt;&gt;"",  'RAW DATA'!$J228="",  'RAW DATA'!$K228="", LEFT('RAW DATA'!$M228,17)&lt;&gt;"Oceanic Endeavour"), 'RAW DATA'!$L228, "")</f>
        <v/>
      </c>
      <c r="C228" s="18" t="str">
        <f>IF(AND('RAW DATA'!$L228&lt;&gt;"", 'RAW DATA'!$M228&lt;&gt;"",  'RAW DATA'!$J228="",  'RAW DATA'!$K228="", LEFT('RAW DATA'!$M228,17)&lt;&gt;"Oceanic Endeavour"), 'RAW DATA'!$M228, "")</f>
        <v/>
      </c>
      <c r="D228" s="19" t="str">
        <f t="shared" si="3"/>
        <v/>
      </c>
    </row>
    <row r="229" spans="2:4" x14ac:dyDescent="0.25">
      <c r="B229" s="18" t="str">
        <f>IF(AND('RAW DATA'!$L229&lt;&gt;"", 'RAW DATA'!$M229&lt;&gt;"",  'RAW DATA'!$J229="",  'RAW DATA'!$K229="", LEFT('RAW DATA'!$M229,17)&lt;&gt;"Oceanic Endeavour"), 'RAW DATA'!$L229, "")</f>
        <v/>
      </c>
      <c r="C229" s="18" t="str">
        <f>IF(AND('RAW DATA'!$L229&lt;&gt;"", 'RAW DATA'!$M229&lt;&gt;"",  'RAW DATA'!$J229="",  'RAW DATA'!$K229="", LEFT('RAW DATA'!$M229,17)&lt;&gt;"Oceanic Endeavour"), 'RAW DATA'!$M229, "")</f>
        <v/>
      </c>
      <c r="D229" s="19" t="str">
        <f t="shared" si="3"/>
        <v/>
      </c>
    </row>
    <row r="230" spans="2:4" x14ac:dyDescent="0.25">
      <c r="B230" s="18" t="str">
        <f>IF(AND('RAW DATA'!$L230&lt;&gt;"", 'RAW DATA'!$M230&lt;&gt;"",  'RAW DATA'!$J230="",  'RAW DATA'!$K230="", LEFT('RAW DATA'!$M230,17)&lt;&gt;"Oceanic Endeavour"), 'RAW DATA'!$L230, "")</f>
        <v/>
      </c>
      <c r="C230" s="18" t="str">
        <f>IF(AND('RAW DATA'!$L230&lt;&gt;"", 'RAW DATA'!$M230&lt;&gt;"",  'RAW DATA'!$J230="",  'RAW DATA'!$K230="", LEFT('RAW DATA'!$M230,17)&lt;&gt;"Oceanic Endeavour"), 'RAW DATA'!$M230, "")</f>
        <v/>
      </c>
      <c r="D230" s="19" t="str">
        <f t="shared" si="3"/>
        <v/>
      </c>
    </row>
    <row r="231" spans="2:4" x14ac:dyDescent="0.25">
      <c r="B231" s="18" t="str">
        <f>IF(AND('RAW DATA'!$L231&lt;&gt;"", 'RAW DATA'!$M231&lt;&gt;"",  'RAW DATA'!$J231="",  'RAW DATA'!$K231="", LEFT('RAW DATA'!$M231,17)&lt;&gt;"Oceanic Endeavour"), 'RAW DATA'!$L231, "")</f>
        <v/>
      </c>
      <c r="C231" s="18" t="str">
        <f>IF(AND('RAW DATA'!$L231&lt;&gt;"", 'RAW DATA'!$M231&lt;&gt;"",  'RAW DATA'!$J231="",  'RAW DATA'!$K231="", LEFT('RAW DATA'!$M231,17)&lt;&gt;"Oceanic Endeavour"), 'RAW DATA'!$M231, "")</f>
        <v/>
      </c>
      <c r="D231" s="19" t="str">
        <f t="shared" si="3"/>
        <v/>
      </c>
    </row>
    <row r="232" spans="2:4" x14ac:dyDescent="0.25">
      <c r="B232" s="18" t="str">
        <f>IF(AND('RAW DATA'!$L232&lt;&gt;"", 'RAW DATA'!$M232&lt;&gt;"",  'RAW DATA'!$J232="",  'RAW DATA'!$K232="", LEFT('RAW DATA'!$M232,17)&lt;&gt;"Oceanic Endeavour"), 'RAW DATA'!$L232, "")</f>
        <v/>
      </c>
      <c r="C232" s="18" t="str">
        <f>IF(AND('RAW DATA'!$L232&lt;&gt;"", 'RAW DATA'!$M232&lt;&gt;"",  'RAW DATA'!$J232="",  'RAW DATA'!$K232="", LEFT('RAW DATA'!$M232,17)&lt;&gt;"Oceanic Endeavour"), 'RAW DATA'!$M232, "")</f>
        <v/>
      </c>
      <c r="D232" s="19" t="str">
        <f t="shared" si="3"/>
        <v/>
      </c>
    </row>
    <row r="233" spans="2:4" x14ac:dyDescent="0.25">
      <c r="B233" s="18" t="str">
        <f>IF(AND('RAW DATA'!$L233&lt;&gt;"", 'RAW DATA'!$M233&lt;&gt;"",  'RAW DATA'!$J233="",  'RAW DATA'!$K233="", LEFT('RAW DATA'!$M233,17)&lt;&gt;"Oceanic Endeavour"), 'RAW DATA'!$L233, "")</f>
        <v/>
      </c>
      <c r="C233" s="18" t="str">
        <f>IF(AND('RAW DATA'!$L233&lt;&gt;"", 'RAW DATA'!$M233&lt;&gt;"",  'RAW DATA'!$J233="",  'RAW DATA'!$K233="", LEFT('RAW DATA'!$M233,17)&lt;&gt;"Oceanic Endeavour"), 'RAW DATA'!$M233, "")</f>
        <v/>
      </c>
      <c r="D233" s="19" t="str">
        <f t="shared" si="3"/>
        <v/>
      </c>
    </row>
    <row r="234" spans="2:4" x14ac:dyDescent="0.25">
      <c r="B234" s="18" t="str">
        <f>IF(AND('RAW DATA'!$L234&lt;&gt;"", 'RAW DATA'!$M234&lt;&gt;"",  'RAW DATA'!$J234="",  'RAW DATA'!$K234="", LEFT('RAW DATA'!$M234,17)&lt;&gt;"Oceanic Endeavour"), 'RAW DATA'!$L234, "")</f>
        <v/>
      </c>
      <c r="C234" s="18" t="str">
        <f>IF(AND('RAW DATA'!$L234&lt;&gt;"", 'RAW DATA'!$M234&lt;&gt;"",  'RAW DATA'!$J234="",  'RAW DATA'!$K234="", LEFT('RAW DATA'!$M234,17)&lt;&gt;"Oceanic Endeavour"), 'RAW DATA'!$M234, "")</f>
        <v/>
      </c>
      <c r="D234" s="19" t="str">
        <f t="shared" si="3"/>
        <v/>
      </c>
    </row>
    <row r="235" spans="2:4" x14ac:dyDescent="0.25">
      <c r="B235" s="18" t="str">
        <f>IF(AND('RAW DATA'!$L235&lt;&gt;"", 'RAW DATA'!$M235&lt;&gt;"",  'RAW DATA'!$J235="",  'RAW DATA'!$K235="", LEFT('RAW DATA'!$M235,17)&lt;&gt;"Oceanic Endeavour"), 'RAW DATA'!$L235, "")</f>
        <v/>
      </c>
      <c r="C235" s="18" t="str">
        <f>IF(AND('RAW DATA'!$L235&lt;&gt;"", 'RAW DATA'!$M235&lt;&gt;"",  'RAW DATA'!$J235="",  'RAW DATA'!$K235="", LEFT('RAW DATA'!$M235,17)&lt;&gt;"Oceanic Endeavour"), 'RAW DATA'!$M235, "")</f>
        <v/>
      </c>
      <c r="D235" s="19" t="str">
        <f t="shared" si="3"/>
        <v/>
      </c>
    </row>
    <row r="236" spans="2:4" x14ac:dyDescent="0.25">
      <c r="B236" s="18" t="str">
        <f>IF(AND('RAW DATA'!$L236&lt;&gt;"", 'RAW DATA'!$M236&lt;&gt;"",  'RAW DATA'!$J236="",  'RAW DATA'!$K236="", LEFT('RAW DATA'!$M236,17)&lt;&gt;"Oceanic Endeavour"), 'RAW DATA'!$L236, "")</f>
        <v/>
      </c>
      <c r="C236" s="18" t="str">
        <f>IF(AND('RAW DATA'!$L236&lt;&gt;"", 'RAW DATA'!$M236&lt;&gt;"",  'RAW DATA'!$J236="",  'RAW DATA'!$K236="", LEFT('RAW DATA'!$M236,17)&lt;&gt;"Oceanic Endeavour"), 'RAW DATA'!$M236, "")</f>
        <v/>
      </c>
      <c r="D236" s="19" t="str">
        <f t="shared" si="3"/>
        <v/>
      </c>
    </row>
    <row r="237" spans="2:4" x14ac:dyDescent="0.25">
      <c r="B237" s="18" t="str">
        <f>IF(AND('RAW DATA'!$L237&lt;&gt;"", 'RAW DATA'!$M237&lt;&gt;"",  'RAW DATA'!$J237="",  'RAW DATA'!$K237="", LEFT('RAW DATA'!$M237,17)&lt;&gt;"Oceanic Endeavour"), 'RAW DATA'!$L237, "")</f>
        <v/>
      </c>
      <c r="C237" s="18" t="str">
        <f>IF(AND('RAW DATA'!$L237&lt;&gt;"", 'RAW DATA'!$M237&lt;&gt;"",  'RAW DATA'!$J237="",  'RAW DATA'!$K237="", LEFT('RAW DATA'!$M237,17)&lt;&gt;"Oceanic Endeavour"), 'RAW DATA'!$M237, "")</f>
        <v/>
      </c>
      <c r="D237" s="19" t="str">
        <f t="shared" si="3"/>
        <v/>
      </c>
    </row>
    <row r="238" spans="2:4" x14ac:dyDescent="0.25">
      <c r="B238" s="18" t="str">
        <f>IF(AND('RAW DATA'!$L238&lt;&gt;"", 'RAW DATA'!$M238&lt;&gt;"",  'RAW DATA'!$J238="",  'RAW DATA'!$K238="", LEFT('RAW DATA'!$M238,17)&lt;&gt;"Oceanic Endeavour"), 'RAW DATA'!$L238, "")</f>
        <v/>
      </c>
      <c r="C238" s="18" t="str">
        <f>IF(AND('RAW DATA'!$L238&lt;&gt;"", 'RAW DATA'!$M238&lt;&gt;"",  'RAW DATA'!$J238="",  'RAW DATA'!$K238="", LEFT('RAW DATA'!$M238,17)&lt;&gt;"Oceanic Endeavour"), 'RAW DATA'!$M238, "")</f>
        <v/>
      </c>
      <c r="D238" s="19" t="str">
        <f t="shared" si="3"/>
        <v/>
      </c>
    </row>
    <row r="239" spans="2:4" x14ac:dyDescent="0.25">
      <c r="B239" s="18" t="str">
        <f>IF(AND('RAW DATA'!$L239&lt;&gt;"", 'RAW DATA'!$M239&lt;&gt;"",  'RAW DATA'!$J239="",  'RAW DATA'!$K239="", LEFT('RAW DATA'!$M239,17)&lt;&gt;"Oceanic Endeavour"), 'RAW DATA'!$L239, "")</f>
        <v/>
      </c>
      <c r="C239" s="18" t="str">
        <f>IF(AND('RAW DATA'!$L239&lt;&gt;"", 'RAW DATA'!$M239&lt;&gt;"",  'RAW DATA'!$J239="",  'RAW DATA'!$K239="", LEFT('RAW DATA'!$M239,17)&lt;&gt;"Oceanic Endeavour"), 'RAW DATA'!$M239, "")</f>
        <v/>
      </c>
      <c r="D239" s="19" t="str">
        <f t="shared" si="3"/>
        <v/>
      </c>
    </row>
    <row r="240" spans="2:4" x14ac:dyDescent="0.25">
      <c r="B240" s="18" t="str">
        <f>IF(AND('RAW DATA'!$L240&lt;&gt;"", 'RAW DATA'!$M240&lt;&gt;"",  'RAW DATA'!$J240="",  'RAW DATA'!$K240="", LEFT('RAW DATA'!$M240,17)&lt;&gt;"Oceanic Endeavour"), 'RAW DATA'!$L240, "")</f>
        <v/>
      </c>
      <c r="C240" s="18" t="str">
        <f>IF(AND('RAW DATA'!$L240&lt;&gt;"", 'RAW DATA'!$M240&lt;&gt;"",  'RAW DATA'!$J240="",  'RAW DATA'!$K240="", LEFT('RAW DATA'!$M240,17)&lt;&gt;"Oceanic Endeavour"), 'RAW DATA'!$M240, "")</f>
        <v/>
      </c>
      <c r="D240" s="19" t="str">
        <f t="shared" si="3"/>
        <v/>
      </c>
    </row>
    <row r="241" spans="2:4" x14ac:dyDescent="0.25">
      <c r="B241" s="18" t="str">
        <f>IF(AND('RAW DATA'!$L241&lt;&gt;"", 'RAW DATA'!$M241&lt;&gt;"",  'RAW DATA'!$J241="",  'RAW DATA'!$K241="", LEFT('RAW DATA'!$M241,17)&lt;&gt;"Oceanic Endeavour"), 'RAW DATA'!$L241, "")</f>
        <v/>
      </c>
      <c r="C241" s="18" t="str">
        <f>IF(AND('RAW DATA'!$L241&lt;&gt;"", 'RAW DATA'!$M241&lt;&gt;"",  'RAW DATA'!$J241="",  'RAW DATA'!$K241="", LEFT('RAW DATA'!$M241,17)&lt;&gt;"Oceanic Endeavour"), 'RAW DATA'!$M241, "")</f>
        <v/>
      </c>
      <c r="D241" s="19" t="str">
        <f t="shared" si="3"/>
        <v/>
      </c>
    </row>
    <row r="242" spans="2:4" x14ac:dyDescent="0.25">
      <c r="B242" s="18" t="str">
        <f>IF(AND('RAW DATA'!$L242&lt;&gt;"", 'RAW DATA'!$M242&lt;&gt;"",  'RAW DATA'!$J242="",  'RAW DATA'!$K242="", LEFT('RAW DATA'!$M242,17)&lt;&gt;"Oceanic Endeavour"), 'RAW DATA'!$L242, "")</f>
        <v/>
      </c>
      <c r="C242" s="18" t="str">
        <f>IF(AND('RAW DATA'!$L242&lt;&gt;"", 'RAW DATA'!$M242&lt;&gt;"",  'RAW DATA'!$J242="",  'RAW DATA'!$K242="", LEFT('RAW DATA'!$M242,17)&lt;&gt;"Oceanic Endeavour"), 'RAW DATA'!$M242, "")</f>
        <v/>
      </c>
      <c r="D242" s="19" t="str">
        <f t="shared" si="3"/>
        <v/>
      </c>
    </row>
    <row r="243" spans="2:4" x14ac:dyDescent="0.25">
      <c r="B243" s="18" t="str">
        <f>IF(AND('RAW DATA'!$L243&lt;&gt;"", 'RAW DATA'!$M243&lt;&gt;"",  'RAW DATA'!$J243="",  'RAW DATA'!$K243="", LEFT('RAW DATA'!$M243,17)&lt;&gt;"Oceanic Endeavour"), 'RAW DATA'!$L243, "")</f>
        <v/>
      </c>
      <c r="C243" s="18" t="str">
        <f>IF(AND('RAW DATA'!$L243&lt;&gt;"", 'RAW DATA'!$M243&lt;&gt;"",  'RAW DATA'!$J243="",  'RAW DATA'!$K243="", LEFT('RAW DATA'!$M243,17)&lt;&gt;"Oceanic Endeavour"), 'RAW DATA'!$M243, "")</f>
        <v/>
      </c>
      <c r="D243" s="19" t="str">
        <f t="shared" si="3"/>
        <v/>
      </c>
    </row>
    <row r="244" spans="2:4" x14ac:dyDescent="0.25">
      <c r="B244" s="18" t="str">
        <f>IF(AND('RAW DATA'!$L244&lt;&gt;"", 'RAW DATA'!$M244&lt;&gt;"",  'RAW DATA'!$J244="",  'RAW DATA'!$K244="", LEFT('RAW DATA'!$M244,17)&lt;&gt;"Oceanic Endeavour"), 'RAW DATA'!$L244, "")</f>
        <v/>
      </c>
      <c r="C244" s="18" t="str">
        <f>IF(AND('RAW DATA'!$L244&lt;&gt;"", 'RAW DATA'!$M244&lt;&gt;"",  'RAW DATA'!$J244="",  'RAW DATA'!$K244="", LEFT('RAW DATA'!$M244,17)&lt;&gt;"Oceanic Endeavour"), 'RAW DATA'!$M244, "")</f>
        <v/>
      </c>
      <c r="D244" s="19" t="str">
        <f t="shared" si="3"/>
        <v/>
      </c>
    </row>
    <row r="245" spans="2:4" x14ac:dyDescent="0.25">
      <c r="B245" s="18" t="str">
        <f>IF(AND('RAW DATA'!$L245&lt;&gt;"", 'RAW DATA'!$M245&lt;&gt;"",  'RAW DATA'!$J245="",  'RAW DATA'!$K245="", LEFT('RAW DATA'!$M245,17)&lt;&gt;"Oceanic Endeavour"), 'RAW DATA'!$L245, "")</f>
        <v/>
      </c>
      <c r="C245" s="18" t="str">
        <f>IF(AND('RAW DATA'!$L245&lt;&gt;"", 'RAW DATA'!$M245&lt;&gt;"",  'RAW DATA'!$J245="",  'RAW DATA'!$K245="", LEFT('RAW DATA'!$M245,17)&lt;&gt;"Oceanic Endeavour"), 'RAW DATA'!$M245, "")</f>
        <v/>
      </c>
      <c r="D245" s="19" t="str">
        <f t="shared" si="3"/>
        <v/>
      </c>
    </row>
    <row r="246" spans="2:4" x14ac:dyDescent="0.25">
      <c r="B246" s="18" t="str">
        <f>IF(AND('RAW DATA'!$L246&lt;&gt;"", 'RAW DATA'!$M246&lt;&gt;"",  'RAW DATA'!$J246="",  'RAW DATA'!$K246="", LEFT('RAW DATA'!$M246,17)&lt;&gt;"Oceanic Endeavour"), 'RAW DATA'!$L246, "")</f>
        <v/>
      </c>
      <c r="C246" s="18" t="str">
        <f>IF(AND('RAW DATA'!$L246&lt;&gt;"", 'RAW DATA'!$M246&lt;&gt;"",  'RAW DATA'!$J246="",  'RAW DATA'!$K246="", LEFT('RAW DATA'!$M246,17)&lt;&gt;"Oceanic Endeavour"), 'RAW DATA'!$M246, "")</f>
        <v/>
      </c>
      <c r="D246" s="19" t="str">
        <f t="shared" si="3"/>
        <v/>
      </c>
    </row>
    <row r="247" spans="2:4" x14ac:dyDescent="0.25">
      <c r="B247" s="18" t="str">
        <f>IF(AND('RAW DATA'!$L247&lt;&gt;"", 'RAW DATA'!$M247&lt;&gt;"",  'RAW DATA'!$J247="",  'RAW DATA'!$K247="", LEFT('RAW DATA'!$M247,17)&lt;&gt;"Oceanic Endeavour"), 'RAW DATA'!$L247, "")</f>
        <v/>
      </c>
      <c r="C247" s="18" t="str">
        <f>IF(AND('RAW DATA'!$L247&lt;&gt;"", 'RAW DATA'!$M247&lt;&gt;"",  'RAW DATA'!$J247="",  'RAW DATA'!$K247="", LEFT('RAW DATA'!$M247,17)&lt;&gt;"Oceanic Endeavour"), 'RAW DATA'!$M247, "")</f>
        <v/>
      </c>
      <c r="D247" s="19" t="str">
        <f t="shared" si="3"/>
        <v/>
      </c>
    </row>
    <row r="248" spans="2:4" x14ac:dyDescent="0.25">
      <c r="B248" s="18" t="str">
        <f>IF(AND('RAW DATA'!$L248&lt;&gt;"", 'RAW DATA'!$M248&lt;&gt;"",  'RAW DATA'!$J248="",  'RAW DATA'!$K248="", LEFT('RAW DATA'!$M248,17)&lt;&gt;"Oceanic Endeavour"), 'RAW DATA'!$L248, "")</f>
        <v/>
      </c>
      <c r="C248" s="18" t="str">
        <f>IF(AND('RAW DATA'!$L248&lt;&gt;"", 'RAW DATA'!$M248&lt;&gt;"",  'RAW DATA'!$J248="",  'RAW DATA'!$K248="", LEFT('RAW DATA'!$M248,17)&lt;&gt;"Oceanic Endeavour"), 'RAW DATA'!$M248, "")</f>
        <v/>
      </c>
      <c r="D248" s="19" t="str">
        <f t="shared" si="3"/>
        <v/>
      </c>
    </row>
    <row r="249" spans="2:4" x14ac:dyDescent="0.25">
      <c r="B249" s="18" t="str">
        <f>IF(AND('RAW DATA'!$L249&lt;&gt;"", 'RAW DATA'!$M249&lt;&gt;"",  'RAW DATA'!$J249="",  'RAW DATA'!$K249="", LEFT('RAW DATA'!$M249,17)&lt;&gt;"Oceanic Endeavour"), 'RAW DATA'!$L249, "")</f>
        <v/>
      </c>
      <c r="C249" s="18" t="str">
        <f>IF(AND('RAW DATA'!$L249&lt;&gt;"", 'RAW DATA'!$M249&lt;&gt;"",  'RAW DATA'!$J249="",  'RAW DATA'!$K249="", LEFT('RAW DATA'!$M249,17)&lt;&gt;"Oceanic Endeavour"), 'RAW DATA'!$M249, "")</f>
        <v/>
      </c>
      <c r="D249" s="19" t="str">
        <f t="shared" si="3"/>
        <v/>
      </c>
    </row>
    <row r="250" spans="2:4" x14ac:dyDescent="0.25">
      <c r="B250" s="18" t="str">
        <f>IF(AND('RAW DATA'!$L250&lt;&gt;"", 'RAW DATA'!$M250&lt;&gt;"",  'RAW DATA'!$J250="",  'RAW DATA'!$K250="", LEFT('RAW DATA'!$M250,17)&lt;&gt;"Oceanic Endeavour"), 'RAW DATA'!$L250, "")</f>
        <v/>
      </c>
      <c r="C250" s="18" t="str">
        <f>IF(AND('RAW DATA'!$L250&lt;&gt;"", 'RAW DATA'!$M250&lt;&gt;"",  'RAW DATA'!$J250="",  'RAW DATA'!$K250="", LEFT('RAW DATA'!$M250,17)&lt;&gt;"Oceanic Endeavour"), 'RAW DATA'!$M250, "")</f>
        <v/>
      </c>
      <c r="D250" s="19" t="str">
        <f t="shared" si="3"/>
        <v/>
      </c>
    </row>
    <row r="251" spans="2:4" x14ac:dyDescent="0.25">
      <c r="B251" s="18" t="str">
        <f>IF(AND('RAW DATA'!$L251&lt;&gt;"", 'RAW DATA'!$M251&lt;&gt;"",  'RAW DATA'!$J251="",  'RAW DATA'!$K251="", LEFT('RAW DATA'!$M251,17)&lt;&gt;"Oceanic Endeavour"), 'RAW DATA'!$L251, "")</f>
        <v/>
      </c>
      <c r="C251" s="18" t="str">
        <f>IF(AND('RAW DATA'!$L251&lt;&gt;"", 'RAW DATA'!$M251&lt;&gt;"",  'RAW DATA'!$J251="",  'RAW DATA'!$K251="", LEFT('RAW DATA'!$M251,17)&lt;&gt;"Oceanic Endeavour"), 'RAW DATA'!$M251, "")</f>
        <v/>
      </c>
      <c r="D251" s="19" t="str">
        <f t="shared" si="3"/>
        <v/>
      </c>
    </row>
    <row r="252" spans="2:4" x14ac:dyDescent="0.25">
      <c r="B252" s="18" t="str">
        <f>IF(AND('RAW DATA'!$L252&lt;&gt;"", 'RAW DATA'!$M252&lt;&gt;"",  'RAW DATA'!$J252="",  'RAW DATA'!$K252="", LEFT('RAW DATA'!$M252,17)&lt;&gt;"Oceanic Endeavour"), 'RAW DATA'!$L252, "")</f>
        <v/>
      </c>
      <c r="C252" s="18" t="str">
        <f>IF(AND('RAW DATA'!$L252&lt;&gt;"", 'RAW DATA'!$M252&lt;&gt;"",  'RAW DATA'!$J252="",  'RAW DATA'!$K252="", LEFT('RAW DATA'!$M252,17)&lt;&gt;"Oceanic Endeavour"), 'RAW DATA'!$M252, "")</f>
        <v/>
      </c>
      <c r="D252" s="19" t="str">
        <f t="shared" si="3"/>
        <v/>
      </c>
    </row>
    <row r="253" spans="2:4" x14ac:dyDescent="0.25">
      <c r="B253" s="18" t="str">
        <f>IF(AND('RAW DATA'!$L253&lt;&gt;"", 'RAW DATA'!$M253&lt;&gt;"",  'RAW DATA'!$J253="",  'RAW DATA'!$K253="", LEFT('RAW DATA'!$M253,17)&lt;&gt;"Oceanic Endeavour"), 'RAW DATA'!$L253, "")</f>
        <v/>
      </c>
      <c r="C253" s="18" t="str">
        <f>IF(AND('RAW DATA'!$L253&lt;&gt;"", 'RAW DATA'!$M253&lt;&gt;"",  'RAW DATA'!$J253="",  'RAW DATA'!$K253="", LEFT('RAW DATA'!$M253,17)&lt;&gt;"Oceanic Endeavour"), 'RAW DATA'!$M253, "")</f>
        <v/>
      </c>
      <c r="D253" s="19" t="str">
        <f t="shared" si="3"/>
        <v/>
      </c>
    </row>
    <row r="254" spans="2:4" x14ac:dyDescent="0.25">
      <c r="B254" s="18" t="str">
        <f>IF(AND('RAW DATA'!$L254&lt;&gt;"", 'RAW DATA'!$M254&lt;&gt;"",  'RAW DATA'!$J254="",  'RAW DATA'!$K254="", LEFT('RAW DATA'!$M254,17)&lt;&gt;"Oceanic Endeavour"), 'RAW DATA'!$L254, "")</f>
        <v/>
      </c>
      <c r="C254" s="18" t="str">
        <f>IF(AND('RAW DATA'!$L254&lt;&gt;"", 'RAW DATA'!$M254&lt;&gt;"",  'RAW DATA'!$J254="",  'RAW DATA'!$K254="", LEFT('RAW DATA'!$M254,17)&lt;&gt;"Oceanic Endeavour"), 'RAW DATA'!$M254, "")</f>
        <v/>
      </c>
      <c r="D254" s="19" t="str">
        <f t="shared" si="3"/>
        <v/>
      </c>
    </row>
    <row r="255" spans="2:4" x14ac:dyDescent="0.25">
      <c r="B255" s="18" t="str">
        <f>IF(AND('RAW DATA'!$L255&lt;&gt;"", 'RAW DATA'!$M255&lt;&gt;"",  'RAW DATA'!$J255="",  'RAW DATA'!$K255="", LEFT('RAW DATA'!$M255,17)&lt;&gt;"Oceanic Endeavour"), 'RAW DATA'!$L255, "")</f>
        <v/>
      </c>
      <c r="C255" s="18" t="str">
        <f>IF(AND('RAW DATA'!$L255&lt;&gt;"", 'RAW DATA'!$M255&lt;&gt;"",  'RAW DATA'!$J255="",  'RAW DATA'!$K255="", LEFT('RAW DATA'!$M255,17)&lt;&gt;"Oceanic Endeavour"), 'RAW DATA'!$M255, "")</f>
        <v/>
      </c>
      <c r="D255" s="19" t="str">
        <f t="shared" si="3"/>
        <v/>
      </c>
    </row>
    <row r="256" spans="2:4" x14ac:dyDescent="0.25">
      <c r="B256" s="18" t="str">
        <f>IF(AND('RAW DATA'!$L256&lt;&gt;"", 'RAW DATA'!$M256&lt;&gt;"",  'RAW DATA'!$J256="",  'RAW DATA'!$K256="", LEFT('RAW DATA'!$M256,17)&lt;&gt;"Oceanic Endeavour"), 'RAW DATA'!$L256, "")</f>
        <v/>
      </c>
      <c r="C256" s="18" t="str">
        <f>IF(AND('RAW DATA'!$L256&lt;&gt;"", 'RAW DATA'!$M256&lt;&gt;"",  'RAW DATA'!$J256="",  'RAW DATA'!$K256="", LEFT('RAW DATA'!$M256,17)&lt;&gt;"Oceanic Endeavour"), 'RAW DATA'!$M256, "")</f>
        <v/>
      </c>
      <c r="D256" s="19" t="str">
        <f t="shared" si="3"/>
        <v/>
      </c>
    </row>
    <row r="257" spans="2:4" x14ac:dyDescent="0.25">
      <c r="B257" s="18" t="str">
        <f>IF(AND('RAW DATA'!$L257&lt;&gt;"", 'RAW DATA'!$M257&lt;&gt;"",  'RAW DATA'!$J257="",  'RAW DATA'!$K257="", LEFT('RAW DATA'!$M257,17)&lt;&gt;"Oceanic Endeavour"), 'RAW DATA'!$L257, "")</f>
        <v/>
      </c>
      <c r="C257" s="18" t="str">
        <f>IF(AND('RAW DATA'!$L257&lt;&gt;"", 'RAW DATA'!$M257&lt;&gt;"",  'RAW DATA'!$J257="",  'RAW DATA'!$K257="", LEFT('RAW DATA'!$M257,17)&lt;&gt;"Oceanic Endeavour"), 'RAW DATA'!$M257, "")</f>
        <v/>
      </c>
      <c r="D257" s="19" t="str">
        <f t="shared" si="3"/>
        <v/>
      </c>
    </row>
    <row r="258" spans="2:4" x14ac:dyDescent="0.25">
      <c r="B258" s="18" t="str">
        <f>IF(AND('RAW DATA'!$L258&lt;&gt;"", 'RAW DATA'!$M258&lt;&gt;"",  'RAW DATA'!$J258="",  'RAW DATA'!$K258="", LEFT('RAW DATA'!$M258,17)&lt;&gt;"Oceanic Endeavour"), 'RAW DATA'!$L258, "")</f>
        <v/>
      </c>
      <c r="C258" s="18" t="str">
        <f>IF(AND('RAW DATA'!$L258&lt;&gt;"", 'RAW DATA'!$M258&lt;&gt;"",  'RAW DATA'!$J258="",  'RAW DATA'!$K258="", LEFT('RAW DATA'!$M258,17)&lt;&gt;"Oceanic Endeavour"), 'RAW DATA'!$M258, "")</f>
        <v/>
      </c>
      <c r="D258" s="19" t="str">
        <f t="shared" si="3"/>
        <v/>
      </c>
    </row>
    <row r="259" spans="2:4" x14ac:dyDescent="0.25">
      <c r="B259" s="18" t="str">
        <f>IF(AND('RAW DATA'!$L259&lt;&gt;"", 'RAW DATA'!$M259&lt;&gt;"",  'RAW DATA'!$J259="",  'RAW DATA'!$K259="", LEFT('RAW DATA'!$M259,17)&lt;&gt;"Oceanic Endeavour"), 'RAW DATA'!$L259, "")</f>
        <v/>
      </c>
      <c r="C259" s="18" t="str">
        <f>IF(AND('RAW DATA'!$L259&lt;&gt;"", 'RAW DATA'!$M259&lt;&gt;"",  'RAW DATA'!$J259="",  'RAW DATA'!$K259="", LEFT('RAW DATA'!$M259,17)&lt;&gt;"Oceanic Endeavour"), 'RAW DATA'!$M259, "")</f>
        <v/>
      </c>
      <c r="D259" s="19" t="str">
        <f t="shared" si="3"/>
        <v/>
      </c>
    </row>
    <row r="260" spans="2:4" x14ac:dyDescent="0.25">
      <c r="B260" s="18" t="str">
        <f>IF(AND('RAW DATA'!$L260&lt;&gt;"", 'RAW DATA'!$M260&lt;&gt;"",  'RAW DATA'!$J260="",  'RAW DATA'!$K260="", LEFT('RAW DATA'!$M260,17)&lt;&gt;"Oceanic Endeavour"), 'RAW DATA'!$L260, "")</f>
        <v/>
      </c>
      <c r="C260" s="18" t="str">
        <f>IF(AND('RAW DATA'!$L260&lt;&gt;"", 'RAW DATA'!$M260&lt;&gt;"",  'RAW DATA'!$J260="",  'RAW DATA'!$K260="", LEFT('RAW DATA'!$M260,17)&lt;&gt;"Oceanic Endeavour"), 'RAW DATA'!$M260, "")</f>
        <v/>
      </c>
      <c r="D260" s="19" t="str">
        <f t="shared" si="3"/>
        <v/>
      </c>
    </row>
    <row r="261" spans="2:4" x14ac:dyDescent="0.25">
      <c r="B261" s="18" t="str">
        <f>IF(AND('RAW DATA'!$L261&lt;&gt;"", 'RAW DATA'!$M261&lt;&gt;"",  'RAW DATA'!$J261="",  'RAW DATA'!$K261="", LEFT('RAW DATA'!$M261,17)&lt;&gt;"Oceanic Endeavour"), 'RAW DATA'!$L261, "")</f>
        <v/>
      </c>
      <c r="C261" s="18" t="str">
        <f>IF(AND('RAW DATA'!$L261&lt;&gt;"", 'RAW DATA'!$M261&lt;&gt;"",  'RAW DATA'!$J261="",  'RAW DATA'!$K261="", LEFT('RAW DATA'!$M261,17)&lt;&gt;"Oceanic Endeavour"), 'RAW DATA'!$M261, "")</f>
        <v/>
      </c>
      <c r="D261" s="19" t="str">
        <f t="shared" ref="D261:D324" si="4">IF(AND($B261&lt;&gt;"", $C261&lt;&gt;""), COUNTIF($C$4:$C$611, $C261), "")</f>
        <v/>
      </c>
    </row>
    <row r="262" spans="2:4" x14ac:dyDescent="0.25">
      <c r="B262" s="18" t="str">
        <f>IF(AND('RAW DATA'!$L262&lt;&gt;"", 'RAW DATA'!$M262&lt;&gt;"",  'RAW DATA'!$J262="",  'RAW DATA'!$K262="", LEFT('RAW DATA'!$M262,17)&lt;&gt;"Oceanic Endeavour"), 'RAW DATA'!$L262, "")</f>
        <v/>
      </c>
      <c r="C262" s="18" t="str">
        <f>IF(AND('RAW DATA'!$L262&lt;&gt;"", 'RAW DATA'!$M262&lt;&gt;"",  'RAW DATA'!$J262="",  'RAW DATA'!$K262="", LEFT('RAW DATA'!$M262,17)&lt;&gt;"Oceanic Endeavour"), 'RAW DATA'!$M262, "")</f>
        <v/>
      </c>
      <c r="D262" s="19" t="str">
        <f t="shared" si="4"/>
        <v/>
      </c>
    </row>
    <row r="263" spans="2:4" x14ac:dyDescent="0.25">
      <c r="B263" s="18" t="str">
        <f>IF(AND('RAW DATA'!$L263&lt;&gt;"", 'RAW DATA'!$M263&lt;&gt;"",  'RAW DATA'!$J263="",  'RAW DATA'!$K263="", LEFT('RAW DATA'!$M263,17)&lt;&gt;"Oceanic Endeavour"), 'RAW DATA'!$L263, "")</f>
        <v/>
      </c>
      <c r="C263" s="18" t="str">
        <f>IF(AND('RAW DATA'!$L263&lt;&gt;"", 'RAW DATA'!$M263&lt;&gt;"",  'RAW DATA'!$J263="",  'RAW DATA'!$K263="", LEFT('RAW DATA'!$M263,17)&lt;&gt;"Oceanic Endeavour"), 'RAW DATA'!$M263, "")</f>
        <v/>
      </c>
      <c r="D263" s="19" t="str">
        <f t="shared" si="4"/>
        <v/>
      </c>
    </row>
    <row r="264" spans="2:4" x14ac:dyDescent="0.25">
      <c r="B264" s="18" t="str">
        <f>IF(AND('RAW DATA'!$L264&lt;&gt;"", 'RAW DATA'!$M264&lt;&gt;"",  'RAW DATA'!$J264="",  'RAW DATA'!$K264="", LEFT('RAW DATA'!$M264,17)&lt;&gt;"Oceanic Endeavour"), 'RAW DATA'!$L264, "")</f>
        <v/>
      </c>
      <c r="C264" s="18" t="str">
        <f>IF(AND('RAW DATA'!$L264&lt;&gt;"", 'RAW DATA'!$M264&lt;&gt;"",  'RAW DATA'!$J264="",  'RAW DATA'!$K264="", LEFT('RAW DATA'!$M264,17)&lt;&gt;"Oceanic Endeavour"), 'RAW DATA'!$M264, "")</f>
        <v/>
      </c>
      <c r="D264" s="19" t="str">
        <f t="shared" si="4"/>
        <v/>
      </c>
    </row>
    <row r="265" spans="2:4" x14ac:dyDescent="0.25">
      <c r="B265" s="18" t="str">
        <f>IF(AND('RAW DATA'!$L265&lt;&gt;"", 'RAW DATA'!$M265&lt;&gt;"",  'RAW DATA'!$J265="",  'RAW DATA'!$K265="", LEFT('RAW DATA'!$M265,17)&lt;&gt;"Oceanic Endeavour"), 'RAW DATA'!$L265, "")</f>
        <v/>
      </c>
      <c r="C265" s="18" t="str">
        <f>IF(AND('RAW DATA'!$L265&lt;&gt;"", 'RAW DATA'!$M265&lt;&gt;"",  'RAW DATA'!$J265="",  'RAW DATA'!$K265="", LEFT('RAW DATA'!$M265,17)&lt;&gt;"Oceanic Endeavour"), 'RAW DATA'!$M265, "")</f>
        <v/>
      </c>
      <c r="D265" s="19" t="str">
        <f t="shared" si="4"/>
        <v/>
      </c>
    </row>
    <row r="266" spans="2:4" x14ac:dyDescent="0.25">
      <c r="B266" s="18" t="str">
        <f>IF(AND('RAW DATA'!$L266&lt;&gt;"", 'RAW DATA'!$M266&lt;&gt;"",  'RAW DATA'!$J266="",  'RAW DATA'!$K266="", LEFT('RAW DATA'!$M266,17)&lt;&gt;"Oceanic Endeavour"), 'RAW DATA'!$L266, "")</f>
        <v/>
      </c>
      <c r="C266" s="18" t="str">
        <f>IF(AND('RAW DATA'!$L266&lt;&gt;"", 'RAW DATA'!$M266&lt;&gt;"",  'RAW DATA'!$J266="",  'RAW DATA'!$K266="", LEFT('RAW DATA'!$M266,17)&lt;&gt;"Oceanic Endeavour"), 'RAW DATA'!$M266, "")</f>
        <v/>
      </c>
      <c r="D266" s="19" t="str">
        <f t="shared" si="4"/>
        <v/>
      </c>
    </row>
    <row r="267" spans="2:4" x14ac:dyDescent="0.25">
      <c r="B267" s="18" t="str">
        <f>IF(AND('RAW DATA'!$L267&lt;&gt;"", 'RAW DATA'!$M267&lt;&gt;"",  'RAW DATA'!$J267="",  'RAW DATA'!$K267="", LEFT('RAW DATA'!$M267,17)&lt;&gt;"Oceanic Endeavour"), 'RAW DATA'!$L267, "")</f>
        <v/>
      </c>
      <c r="C267" s="18" t="str">
        <f>IF(AND('RAW DATA'!$L267&lt;&gt;"", 'RAW DATA'!$M267&lt;&gt;"",  'RAW DATA'!$J267="",  'RAW DATA'!$K267="", LEFT('RAW DATA'!$M267,17)&lt;&gt;"Oceanic Endeavour"), 'RAW DATA'!$M267, "")</f>
        <v/>
      </c>
      <c r="D267" s="19" t="str">
        <f t="shared" si="4"/>
        <v/>
      </c>
    </row>
    <row r="268" spans="2:4" x14ac:dyDescent="0.25">
      <c r="B268" s="18" t="str">
        <f>IF(AND('RAW DATA'!$L268&lt;&gt;"", 'RAW DATA'!$M268&lt;&gt;"",  'RAW DATA'!$J268="",  'RAW DATA'!$K268="", LEFT('RAW DATA'!$M268,17)&lt;&gt;"Oceanic Endeavour"), 'RAW DATA'!$L268, "")</f>
        <v/>
      </c>
      <c r="C268" s="18" t="str">
        <f>IF(AND('RAW DATA'!$L268&lt;&gt;"", 'RAW DATA'!$M268&lt;&gt;"",  'RAW DATA'!$J268="",  'RAW DATA'!$K268="", LEFT('RAW DATA'!$M268,17)&lt;&gt;"Oceanic Endeavour"), 'RAW DATA'!$M268, "")</f>
        <v/>
      </c>
      <c r="D268" s="19" t="str">
        <f t="shared" si="4"/>
        <v/>
      </c>
    </row>
    <row r="269" spans="2:4" x14ac:dyDescent="0.25">
      <c r="B269" s="18" t="str">
        <f>IF(AND('RAW DATA'!$L269&lt;&gt;"", 'RAW DATA'!$M269&lt;&gt;"",  'RAW DATA'!$J269="",  'RAW DATA'!$K269="", LEFT('RAW DATA'!$M269,17)&lt;&gt;"Oceanic Endeavour"), 'RAW DATA'!$L269, "")</f>
        <v/>
      </c>
      <c r="C269" s="18" t="str">
        <f>IF(AND('RAW DATA'!$L269&lt;&gt;"", 'RAW DATA'!$M269&lt;&gt;"",  'RAW DATA'!$J269="",  'RAW DATA'!$K269="", LEFT('RAW DATA'!$M269,17)&lt;&gt;"Oceanic Endeavour"), 'RAW DATA'!$M269, "")</f>
        <v/>
      </c>
      <c r="D269" s="19" t="str">
        <f t="shared" si="4"/>
        <v/>
      </c>
    </row>
    <row r="270" spans="2:4" x14ac:dyDescent="0.25">
      <c r="B270" s="18" t="str">
        <f>IF(AND('RAW DATA'!$L270&lt;&gt;"", 'RAW DATA'!$M270&lt;&gt;"",  'RAW DATA'!$J270="",  'RAW DATA'!$K270="", LEFT('RAW DATA'!$M270,17)&lt;&gt;"Oceanic Endeavour"), 'RAW DATA'!$L270, "")</f>
        <v/>
      </c>
      <c r="C270" s="18" t="str">
        <f>IF(AND('RAW DATA'!$L270&lt;&gt;"", 'RAW DATA'!$M270&lt;&gt;"",  'RAW DATA'!$J270="",  'RAW DATA'!$K270="", LEFT('RAW DATA'!$M270,17)&lt;&gt;"Oceanic Endeavour"), 'RAW DATA'!$M270, "")</f>
        <v/>
      </c>
      <c r="D270" s="19" t="str">
        <f t="shared" si="4"/>
        <v/>
      </c>
    </row>
    <row r="271" spans="2:4" x14ac:dyDescent="0.25">
      <c r="B271" s="18" t="str">
        <f>IF(AND('RAW DATA'!$L271&lt;&gt;"", 'RAW DATA'!$M271&lt;&gt;"",  'RAW DATA'!$J271="",  'RAW DATA'!$K271="", LEFT('RAW DATA'!$M271,17)&lt;&gt;"Oceanic Endeavour"), 'RAW DATA'!$L271, "")</f>
        <v/>
      </c>
      <c r="C271" s="18" t="str">
        <f>IF(AND('RAW DATA'!$L271&lt;&gt;"", 'RAW DATA'!$M271&lt;&gt;"",  'RAW DATA'!$J271="",  'RAW DATA'!$K271="", LEFT('RAW DATA'!$M271,17)&lt;&gt;"Oceanic Endeavour"), 'RAW DATA'!$M271, "")</f>
        <v/>
      </c>
      <c r="D271" s="19" t="str">
        <f t="shared" si="4"/>
        <v/>
      </c>
    </row>
    <row r="272" spans="2:4" x14ac:dyDescent="0.25">
      <c r="B272" s="18" t="str">
        <f>IF(AND('RAW DATA'!$L272&lt;&gt;"", 'RAW DATA'!$M272&lt;&gt;"",  'RAW DATA'!$J272="",  'RAW DATA'!$K272="", LEFT('RAW DATA'!$M272,17)&lt;&gt;"Oceanic Endeavour"), 'RAW DATA'!$L272, "")</f>
        <v/>
      </c>
      <c r="C272" s="18" t="str">
        <f>IF(AND('RAW DATA'!$L272&lt;&gt;"", 'RAW DATA'!$M272&lt;&gt;"",  'RAW DATA'!$J272="",  'RAW DATA'!$K272="", LEFT('RAW DATA'!$M272,17)&lt;&gt;"Oceanic Endeavour"), 'RAW DATA'!$M272, "")</f>
        <v/>
      </c>
      <c r="D272" s="19" t="str">
        <f t="shared" si="4"/>
        <v/>
      </c>
    </row>
    <row r="273" spans="2:4" x14ac:dyDescent="0.25">
      <c r="B273" s="18" t="str">
        <f>IF(AND('RAW DATA'!$L273&lt;&gt;"", 'RAW DATA'!$M273&lt;&gt;"",  'RAW DATA'!$J273="",  'RAW DATA'!$K273="", LEFT('RAW DATA'!$M273,17)&lt;&gt;"Oceanic Endeavour"), 'RAW DATA'!$L273, "")</f>
        <v/>
      </c>
      <c r="C273" s="18" t="str">
        <f>IF(AND('RAW DATA'!$L273&lt;&gt;"", 'RAW DATA'!$M273&lt;&gt;"",  'RAW DATA'!$J273="",  'RAW DATA'!$K273="", LEFT('RAW DATA'!$M273,17)&lt;&gt;"Oceanic Endeavour"), 'RAW DATA'!$M273, "")</f>
        <v/>
      </c>
      <c r="D273" s="19" t="str">
        <f t="shared" si="4"/>
        <v/>
      </c>
    </row>
    <row r="274" spans="2:4" x14ac:dyDescent="0.25">
      <c r="B274" s="18" t="str">
        <f>IF(AND('RAW DATA'!$L274&lt;&gt;"", 'RAW DATA'!$M274&lt;&gt;"",  'RAW DATA'!$J274="",  'RAW DATA'!$K274="", LEFT('RAW DATA'!$M274,17)&lt;&gt;"Oceanic Endeavour"), 'RAW DATA'!$L274, "")</f>
        <v/>
      </c>
      <c r="C274" s="18" t="str">
        <f>IF(AND('RAW DATA'!$L274&lt;&gt;"", 'RAW DATA'!$M274&lt;&gt;"",  'RAW DATA'!$J274="",  'RAW DATA'!$K274="", LEFT('RAW DATA'!$M274,17)&lt;&gt;"Oceanic Endeavour"), 'RAW DATA'!$M274, "")</f>
        <v/>
      </c>
      <c r="D274" s="19" t="str">
        <f t="shared" si="4"/>
        <v/>
      </c>
    </row>
    <row r="275" spans="2:4" x14ac:dyDescent="0.25">
      <c r="B275" s="18" t="str">
        <f>IF(AND('RAW DATA'!$L275&lt;&gt;"", 'RAW DATA'!$M275&lt;&gt;"",  'RAW DATA'!$J275="",  'RAW DATA'!$K275="", LEFT('RAW DATA'!$M275,17)&lt;&gt;"Oceanic Endeavour"), 'RAW DATA'!$L275, "")</f>
        <v/>
      </c>
      <c r="C275" s="18" t="str">
        <f>IF(AND('RAW DATA'!$L275&lt;&gt;"", 'RAW DATA'!$M275&lt;&gt;"",  'RAW DATA'!$J275="",  'RAW DATA'!$K275="", LEFT('RAW DATA'!$M275,17)&lt;&gt;"Oceanic Endeavour"), 'RAW DATA'!$M275, "")</f>
        <v/>
      </c>
      <c r="D275" s="19" t="str">
        <f t="shared" si="4"/>
        <v/>
      </c>
    </row>
    <row r="276" spans="2:4" x14ac:dyDescent="0.25">
      <c r="B276" s="18" t="str">
        <f>IF(AND('RAW DATA'!$L276&lt;&gt;"", 'RAW DATA'!$M276&lt;&gt;"",  'RAW DATA'!$J276="",  'RAW DATA'!$K276="", LEFT('RAW DATA'!$M276,17)&lt;&gt;"Oceanic Endeavour"), 'RAW DATA'!$L276, "")</f>
        <v/>
      </c>
      <c r="C276" s="18" t="str">
        <f>IF(AND('RAW DATA'!$L276&lt;&gt;"", 'RAW DATA'!$M276&lt;&gt;"",  'RAW DATA'!$J276="",  'RAW DATA'!$K276="", LEFT('RAW DATA'!$M276,17)&lt;&gt;"Oceanic Endeavour"), 'RAW DATA'!$M276, "")</f>
        <v/>
      </c>
      <c r="D276" s="19" t="str">
        <f t="shared" si="4"/>
        <v/>
      </c>
    </row>
    <row r="277" spans="2:4" x14ac:dyDescent="0.25">
      <c r="B277" s="18" t="str">
        <f>IF(AND('RAW DATA'!$L277&lt;&gt;"", 'RAW DATA'!$M277&lt;&gt;"",  'RAW DATA'!$J277="",  'RAW DATA'!$K277="", LEFT('RAW DATA'!$M277,17)&lt;&gt;"Oceanic Endeavour"), 'RAW DATA'!$L277, "")</f>
        <v/>
      </c>
      <c r="C277" s="18" t="str">
        <f>IF(AND('RAW DATA'!$L277&lt;&gt;"", 'RAW DATA'!$M277&lt;&gt;"",  'RAW DATA'!$J277="",  'RAW DATA'!$K277="", LEFT('RAW DATA'!$M277,17)&lt;&gt;"Oceanic Endeavour"), 'RAW DATA'!$M277, "")</f>
        <v/>
      </c>
      <c r="D277" s="19" t="str">
        <f t="shared" si="4"/>
        <v/>
      </c>
    </row>
    <row r="278" spans="2:4" x14ac:dyDescent="0.25">
      <c r="B278" s="18" t="str">
        <f>IF(AND('RAW DATA'!$L278&lt;&gt;"", 'RAW DATA'!$M278&lt;&gt;"",  'RAW DATA'!$J278="",  'RAW DATA'!$K278="", LEFT('RAW DATA'!$M278,17)&lt;&gt;"Oceanic Endeavour"), 'RAW DATA'!$L278, "")</f>
        <v/>
      </c>
      <c r="C278" s="18" t="str">
        <f>IF(AND('RAW DATA'!$L278&lt;&gt;"", 'RAW DATA'!$M278&lt;&gt;"",  'RAW DATA'!$J278="",  'RAW DATA'!$K278="", LEFT('RAW DATA'!$M278,17)&lt;&gt;"Oceanic Endeavour"), 'RAW DATA'!$M278, "")</f>
        <v/>
      </c>
      <c r="D278" s="19" t="str">
        <f t="shared" si="4"/>
        <v/>
      </c>
    </row>
    <row r="279" spans="2:4" x14ac:dyDescent="0.25">
      <c r="B279" s="18" t="str">
        <f>IF(AND('RAW DATA'!$L279&lt;&gt;"", 'RAW DATA'!$M279&lt;&gt;"",  'RAW DATA'!$J279="",  'RAW DATA'!$K279="", LEFT('RAW DATA'!$M279,17)&lt;&gt;"Oceanic Endeavour"), 'RAW DATA'!$L279, "")</f>
        <v/>
      </c>
      <c r="C279" s="18" t="str">
        <f>IF(AND('RAW DATA'!$L279&lt;&gt;"", 'RAW DATA'!$M279&lt;&gt;"",  'RAW DATA'!$J279="",  'RAW DATA'!$K279="", LEFT('RAW DATA'!$M279,17)&lt;&gt;"Oceanic Endeavour"), 'RAW DATA'!$M279, "")</f>
        <v/>
      </c>
      <c r="D279" s="19" t="str">
        <f t="shared" si="4"/>
        <v/>
      </c>
    </row>
    <row r="280" spans="2:4" x14ac:dyDescent="0.25">
      <c r="B280" s="18" t="str">
        <f>IF(AND('RAW DATA'!$L280&lt;&gt;"", 'RAW DATA'!$M280&lt;&gt;"",  'RAW DATA'!$J280="",  'RAW DATA'!$K280="", LEFT('RAW DATA'!$M280,17)&lt;&gt;"Oceanic Endeavour"), 'RAW DATA'!$L280, "")</f>
        <v/>
      </c>
      <c r="C280" s="18" t="str">
        <f>IF(AND('RAW DATA'!$L280&lt;&gt;"", 'RAW DATA'!$M280&lt;&gt;"",  'RAW DATA'!$J280="",  'RAW DATA'!$K280="", LEFT('RAW DATA'!$M280,17)&lt;&gt;"Oceanic Endeavour"), 'RAW DATA'!$M280, "")</f>
        <v/>
      </c>
      <c r="D280" s="19" t="str">
        <f t="shared" si="4"/>
        <v/>
      </c>
    </row>
    <row r="281" spans="2:4" x14ac:dyDescent="0.25">
      <c r="B281" s="18" t="str">
        <f>IF(AND('RAW DATA'!$L281&lt;&gt;"", 'RAW DATA'!$M281&lt;&gt;"",  'RAW DATA'!$J281="",  'RAW DATA'!$K281="", LEFT('RAW DATA'!$M281,17)&lt;&gt;"Oceanic Endeavour"), 'RAW DATA'!$L281, "")</f>
        <v/>
      </c>
      <c r="C281" s="18" t="str">
        <f>IF(AND('RAW DATA'!$L281&lt;&gt;"", 'RAW DATA'!$M281&lt;&gt;"",  'RAW DATA'!$J281="",  'RAW DATA'!$K281="", LEFT('RAW DATA'!$M281,17)&lt;&gt;"Oceanic Endeavour"), 'RAW DATA'!$M281, "")</f>
        <v/>
      </c>
      <c r="D281" s="19" t="str">
        <f t="shared" si="4"/>
        <v/>
      </c>
    </row>
    <row r="282" spans="2:4" x14ac:dyDescent="0.25">
      <c r="B282" s="18" t="str">
        <f>IF(AND('RAW DATA'!$L282&lt;&gt;"", 'RAW DATA'!$M282&lt;&gt;"",  'RAW DATA'!$J282="",  'RAW DATA'!$K282="", LEFT('RAW DATA'!$M282,17)&lt;&gt;"Oceanic Endeavour"), 'RAW DATA'!$L282, "")</f>
        <v/>
      </c>
      <c r="C282" s="18" t="str">
        <f>IF(AND('RAW DATA'!$L282&lt;&gt;"", 'RAW DATA'!$M282&lt;&gt;"",  'RAW DATA'!$J282="",  'RAW DATA'!$K282="", LEFT('RAW DATA'!$M282,17)&lt;&gt;"Oceanic Endeavour"), 'RAW DATA'!$M282, "")</f>
        <v/>
      </c>
      <c r="D282" s="19" t="str">
        <f t="shared" si="4"/>
        <v/>
      </c>
    </row>
    <row r="283" spans="2:4" x14ac:dyDescent="0.25">
      <c r="B283" s="18" t="str">
        <f>IF(AND('RAW DATA'!$L283&lt;&gt;"", 'RAW DATA'!$M283&lt;&gt;"",  'RAW DATA'!$J283="",  'RAW DATA'!$K283="", LEFT('RAW DATA'!$M283,17)&lt;&gt;"Oceanic Endeavour"), 'RAW DATA'!$L283, "")</f>
        <v/>
      </c>
      <c r="C283" s="18" t="str">
        <f>IF(AND('RAW DATA'!$L283&lt;&gt;"", 'RAW DATA'!$M283&lt;&gt;"",  'RAW DATA'!$J283="",  'RAW DATA'!$K283="", LEFT('RAW DATA'!$M283,17)&lt;&gt;"Oceanic Endeavour"), 'RAW DATA'!$M283, "")</f>
        <v/>
      </c>
      <c r="D283" s="19" t="str">
        <f t="shared" si="4"/>
        <v/>
      </c>
    </row>
    <row r="284" spans="2:4" x14ac:dyDescent="0.25">
      <c r="B284" s="18" t="str">
        <f>IF(AND('RAW DATA'!$L284&lt;&gt;"", 'RAW DATA'!$M284&lt;&gt;"",  'RAW DATA'!$J284="",  'RAW DATA'!$K284="", LEFT('RAW DATA'!$M284,17)&lt;&gt;"Oceanic Endeavour"), 'RAW DATA'!$L284, "")</f>
        <v/>
      </c>
      <c r="C284" s="18" t="str">
        <f>IF(AND('RAW DATA'!$L284&lt;&gt;"", 'RAW DATA'!$M284&lt;&gt;"",  'RAW DATA'!$J284="",  'RAW DATA'!$K284="", LEFT('RAW DATA'!$M284,17)&lt;&gt;"Oceanic Endeavour"), 'RAW DATA'!$M284, "")</f>
        <v/>
      </c>
      <c r="D284" s="19" t="str">
        <f t="shared" si="4"/>
        <v/>
      </c>
    </row>
    <row r="285" spans="2:4" x14ac:dyDescent="0.25">
      <c r="B285" s="18" t="str">
        <f>IF(AND('RAW DATA'!$L285&lt;&gt;"", 'RAW DATA'!$M285&lt;&gt;"",  'RAW DATA'!$J285="",  'RAW DATA'!$K285="", LEFT('RAW DATA'!$M285,17)&lt;&gt;"Oceanic Endeavour"), 'RAW DATA'!$L285, "")</f>
        <v/>
      </c>
      <c r="C285" s="18" t="str">
        <f>IF(AND('RAW DATA'!$L285&lt;&gt;"", 'RAW DATA'!$M285&lt;&gt;"",  'RAW DATA'!$J285="",  'RAW DATA'!$K285="", LEFT('RAW DATA'!$M285,17)&lt;&gt;"Oceanic Endeavour"), 'RAW DATA'!$M285, "")</f>
        <v/>
      </c>
      <c r="D285" s="19" t="str">
        <f t="shared" si="4"/>
        <v/>
      </c>
    </row>
    <row r="286" spans="2:4" x14ac:dyDescent="0.25">
      <c r="B286" s="18" t="str">
        <f>IF(AND('RAW DATA'!$L286&lt;&gt;"", 'RAW DATA'!$M286&lt;&gt;"",  'RAW DATA'!$J286="",  'RAW DATA'!$K286="", LEFT('RAW DATA'!$M286,17)&lt;&gt;"Oceanic Endeavour"), 'RAW DATA'!$L286, "")</f>
        <v/>
      </c>
      <c r="C286" s="18" t="str">
        <f>IF(AND('RAW DATA'!$L286&lt;&gt;"", 'RAW DATA'!$M286&lt;&gt;"",  'RAW DATA'!$J286="",  'RAW DATA'!$K286="", LEFT('RAW DATA'!$M286,17)&lt;&gt;"Oceanic Endeavour"), 'RAW DATA'!$M286, "")</f>
        <v/>
      </c>
      <c r="D286" s="19" t="str">
        <f t="shared" si="4"/>
        <v/>
      </c>
    </row>
    <row r="287" spans="2:4" x14ac:dyDescent="0.25">
      <c r="B287" s="18" t="str">
        <f>IF(AND('RAW DATA'!$L287&lt;&gt;"", 'RAW DATA'!$M287&lt;&gt;"",  'RAW DATA'!$J287="",  'RAW DATA'!$K287="", LEFT('RAW DATA'!$M287,17)&lt;&gt;"Oceanic Endeavour"), 'RAW DATA'!$L287, "")</f>
        <v/>
      </c>
      <c r="C287" s="18" t="str">
        <f>IF(AND('RAW DATA'!$L287&lt;&gt;"", 'RAW DATA'!$M287&lt;&gt;"",  'RAW DATA'!$J287="",  'RAW DATA'!$K287="", LEFT('RAW DATA'!$M287,17)&lt;&gt;"Oceanic Endeavour"), 'RAW DATA'!$M287, "")</f>
        <v/>
      </c>
      <c r="D287" s="19" t="str">
        <f t="shared" si="4"/>
        <v/>
      </c>
    </row>
    <row r="288" spans="2:4" x14ac:dyDescent="0.25">
      <c r="B288" s="18" t="str">
        <f>IF(AND('RAW DATA'!$L288&lt;&gt;"", 'RAW DATA'!$M288&lt;&gt;"",  'RAW DATA'!$J288="",  'RAW DATA'!$K288="", LEFT('RAW DATA'!$M288,17)&lt;&gt;"Oceanic Endeavour"), 'RAW DATA'!$L288, "")</f>
        <v/>
      </c>
      <c r="C288" s="18" t="str">
        <f>IF(AND('RAW DATA'!$L288&lt;&gt;"", 'RAW DATA'!$M288&lt;&gt;"",  'RAW DATA'!$J288="",  'RAW DATA'!$K288="", LEFT('RAW DATA'!$M288,17)&lt;&gt;"Oceanic Endeavour"), 'RAW DATA'!$M288, "")</f>
        <v/>
      </c>
      <c r="D288" s="19" t="str">
        <f t="shared" si="4"/>
        <v/>
      </c>
    </row>
    <row r="289" spans="2:4" x14ac:dyDescent="0.25">
      <c r="B289" s="18" t="str">
        <f>IF(AND('RAW DATA'!$L289&lt;&gt;"", 'RAW DATA'!$M289&lt;&gt;"",  'RAW DATA'!$J289="",  'RAW DATA'!$K289="", LEFT('RAW DATA'!$M289,17)&lt;&gt;"Oceanic Endeavour"), 'RAW DATA'!$L289, "")</f>
        <v/>
      </c>
      <c r="C289" s="18" t="str">
        <f>IF(AND('RAW DATA'!$L289&lt;&gt;"", 'RAW DATA'!$M289&lt;&gt;"",  'RAW DATA'!$J289="",  'RAW DATA'!$K289="", LEFT('RAW DATA'!$M289,17)&lt;&gt;"Oceanic Endeavour"), 'RAW DATA'!$M289, "")</f>
        <v/>
      </c>
      <c r="D289" s="19" t="str">
        <f t="shared" si="4"/>
        <v/>
      </c>
    </row>
    <row r="290" spans="2:4" x14ac:dyDescent="0.25">
      <c r="B290" s="18" t="str">
        <f>IF(AND('RAW DATA'!$L290&lt;&gt;"", 'RAW DATA'!$M290&lt;&gt;"",  'RAW DATA'!$J290="",  'RAW DATA'!$K290="", LEFT('RAW DATA'!$M290,17)&lt;&gt;"Oceanic Endeavour"), 'RAW DATA'!$L290, "")</f>
        <v/>
      </c>
      <c r="C290" s="18" t="str">
        <f>IF(AND('RAW DATA'!$L290&lt;&gt;"", 'RAW DATA'!$M290&lt;&gt;"",  'RAW DATA'!$J290="",  'RAW DATA'!$K290="", LEFT('RAW DATA'!$M290,17)&lt;&gt;"Oceanic Endeavour"), 'RAW DATA'!$M290, "")</f>
        <v/>
      </c>
      <c r="D290" s="19" t="str">
        <f t="shared" si="4"/>
        <v/>
      </c>
    </row>
    <row r="291" spans="2:4" x14ac:dyDescent="0.25">
      <c r="B291" s="18" t="str">
        <f>IF(AND('RAW DATA'!$L291&lt;&gt;"", 'RAW DATA'!$M291&lt;&gt;"",  'RAW DATA'!$J291="",  'RAW DATA'!$K291="", LEFT('RAW DATA'!$M291,17)&lt;&gt;"Oceanic Endeavour"), 'RAW DATA'!$L291, "")</f>
        <v/>
      </c>
      <c r="C291" s="18" t="str">
        <f>IF(AND('RAW DATA'!$L291&lt;&gt;"", 'RAW DATA'!$M291&lt;&gt;"",  'RAW DATA'!$J291="",  'RAW DATA'!$K291="", LEFT('RAW DATA'!$M291,17)&lt;&gt;"Oceanic Endeavour"), 'RAW DATA'!$M291, "")</f>
        <v/>
      </c>
      <c r="D291" s="19" t="str">
        <f t="shared" si="4"/>
        <v/>
      </c>
    </row>
    <row r="292" spans="2:4" x14ac:dyDescent="0.25">
      <c r="B292" s="18" t="str">
        <f>IF(AND('RAW DATA'!$L292&lt;&gt;"", 'RAW DATA'!$M292&lt;&gt;"",  'RAW DATA'!$J292="",  'RAW DATA'!$K292="", LEFT('RAW DATA'!$M292,17)&lt;&gt;"Oceanic Endeavour"), 'RAW DATA'!$L292, "")</f>
        <v/>
      </c>
      <c r="C292" s="18" t="str">
        <f>IF(AND('RAW DATA'!$L292&lt;&gt;"", 'RAW DATA'!$M292&lt;&gt;"",  'RAW DATA'!$J292="",  'RAW DATA'!$K292="", LEFT('RAW DATA'!$M292,17)&lt;&gt;"Oceanic Endeavour"), 'RAW DATA'!$M292, "")</f>
        <v/>
      </c>
      <c r="D292" s="19" t="str">
        <f t="shared" si="4"/>
        <v/>
      </c>
    </row>
    <row r="293" spans="2:4" x14ac:dyDescent="0.25">
      <c r="B293" s="18" t="str">
        <f>IF(AND('RAW DATA'!$L293&lt;&gt;"", 'RAW DATA'!$M293&lt;&gt;"",  'RAW DATA'!$J293="",  'RAW DATA'!$K293="", LEFT('RAW DATA'!$M293,17)&lt;&gt;"Oceanic Endeavour"), 'RAW DATA'!$L293, "")</f>
        <v/>
      </c>
      <c r="C293" s="18" t="str">
        <f>IF(AND('RAW DATA'!$L293&lt;&gt;"", 'RAW DATA'!$M293&lt;&gt;"",  'RAW DATA'!$J293="",  'RAW DATA'!$K293="", LEFT('RAW DATA'!$M293,17)&lt;&gt;"Oceanic Endeavour"), 'RAW DATA'!$M293, "")</f>
        <v/>
      </c>
      <c r="D293" s="19" t="str">
        <f t="shared" si="4"/>
        <v/>
      </c>
    </row>
    <row r="294" spans="2:4" x14ac:dyDescent="0.25">
      <c r="B294" s="18" t="str">
        <f>IF(AND('RAW DATA'!$L294&lt;&gt;"", 'RAW DATA'!$M294&lt;&gt;"",  'RAW DATA'!$J294="",  'RAW DATA'!$K294="", LEFT('RAW DATA'!$M294,17)&lt;&gt;"Oceanic Endeavour"), 'RAW DATA'!$L294, "")</f>
        <v/>
      </c>
      <c r="C294" s="18" t="str">
        <f>IF(AND('RAW DATA'!$L294&lt;&gt;"", 'RAW DATA'!$M294&lt;&gt;"",  'RAW DATA'!$J294="",  'RAW DATA'!$K294="", LEFT('RAW DATA'!$M294,17)&lt;&gt;"Oceanic Endeavour"), 'RAW DATA'!$M294, "")</f>
        <v/>
      </c>
      <c r="D294" s="19" t="str">
        <f t="shared" si="4"/>
        <v/>
      </c>
    </row>
    <row r="295" spans="2:4" x14ac:dyDescent="0.25">
      <c r="B295" s="18" t="str">
        <f>IF(AND('RAW DATA'!$L295&lt;&gt;"", 'RAW DATA'!$M295&lt;&gt;"",  'RAW DATA'!$J295="",  'RAW DATA'!$K295="", LEFT('RAW DATA'!$M295,17)&lt;&gt;"Oceanic Endeavour"), 'RAW DATA'!$L295, "")</f>
        <v/>
      </c>
      <c r="C295" s="18" t="str">
        <f>IF(AND('RAW DATA'!$L295&lt;&gt;"", 'RAW DATA'!$M295&lt;&gt;"",  'RAW DATA'!$J295="",  'RAW DATA'!$K295="", LEFT('RAW DATA'!$M295,17)&lt;&gt;"Oceanic Endeavour"), 'RAW DATA'!$M295, "")</f>
        <v/>
      </c>
      <c r="D295" s="19" t="str">
        <f t="shared" si="4"/>
        <v/>
      </c>
    </row>
    <row r="296" spans="2:4" x14ac:dyDescent="0.25">
      <c r="B296" s="18" t="str">
        <f>IF(AND('RAW DATA'!$L296&lt;&gt;"", 'RAW DATA'!$M296&lt;&gt;"",  'RAW DATA'!$J296="",  'RAW DATA'!$K296="", LEFT('RAW DATA'!$M296,17)&lt;&gt;"Oceanic Endeavour"), 'RAW DATA'!$L296, "")</f>
        <v/>
      </c>
      <c r="C296" s="18" t="str">
        <f>IF(AND('RAW DATA'!$L296&lt;&gt;"", 'RAW DATA'!$M296&lt;&gt;"",  'RAW DATA'!$J296="",  'RAW DATA'!$K296="", LEFT('RAW DATA'!$M296,17)&lt;&gt;"Oceanic Endeavour"), 'RAW DATA'!$M296, "")</f>
        <v/>
      </c>
      <c r="D296" s="19" t="str">
        <f t="shared" si="4"/>
        <v/>
      </c>
    </row>
    <row r="297" spans="2:4" x14ac:dyDescent="0.25">
      <c r="B297" s="18" t="str">
        <f>IF(AND('RAW DATA'!$L297&lt;&gt;"", 'RAW DATA'!$M297&lt;&gt;"",  'RAW DATA'!$J297="",  'RAW DATA'!$K297="", LEFT('RAW DATA'!$M297,17)&lt;&gt;"Oceanic Endeavour"), 'RAW DATA'!$L297, "")</f>
        <v/>
      </c>
      <c r="C297" s="18" t="str">
        <f>IF(AND('RAW DATA'!$L297&lt;&gt;"", 'RAW DATA'!$M297&lt;&gt;"",  'RAW DATA'!$J297="",  'RAW DATA'!$K297="", LEFT('RAW DATA'!$M297,17)&lt;&gt;"Oceanic Endeavour"), 'RAW DATA'!$M297, "")</f>
        <v/>
      </c>
      <c r="D297" s="19" t="str">
        <f t="shared" si="4"/>
        <v/>
      </c>
    </row>
    <row r="298" spans="2:4" x14ac:dyDescent="0.25">
      <c r="B298" s="18" t="str">
        <f>IF(AND('RAW DATA'!$L298&lt;&gt;"", 'RAW DATA'!$M298&lt;&gt;"",  'RAW DATA'!$J298="",  'RAW DATA'!$K298="", LEFT('RAW DATA'!$M298,17)&lt;&gt;"Oceanic Endeavour"), 'RAW DATA'!$L298, "")</f>
        <v/>
      </c>
      <c r="C298" s="18" t="str">
        <f>IF(AND('RAW DATA'!$L298&lt;&gt;"", 'RAW DATA'!$M298&lt;&gt;"",  'RAW DATA'!$J298="",  'RAW DATA'!$K298="", LEFT('RAW DATA'!$M298,17)&lt;&gt;"Oceanic Endeavour"), 'RAW DATA'!$M298, "")</f>
        <v/>
      </c>
      <c r="D298" s="19" t="str">
        <f t="shared" si="4"/>
        <v/>
      </c>
    </row>
    <row r="299" spans="2:4" x14ac:dyDescent="0.25">
      <c r="B299" s="18" t="str">
        <f>IF(AND('RAW DATA'!$L299&lt;&gt;"", 'RAW DATA'!$M299&lt;&gt;"",  'RAW DATA'!$J299="",  'RAW DATA'!$K299="", LEFT('RAW DATA'!$M299,17)&lt;&gt;"Oceanic Endeavour"), 'RAW DATA'!$L299, "")</f>
        <v/>
      </c>
      <c r="C299" s="18" t="str">
        <f>IF(AND('RAW DATA'!$L299&lt;&gt;"", 'RAW DATA'!$M299&lt;&gt;"",  'RAW DATA'!$J299="",  'RAW DATA'!$K299="", LEFT('RAW DATA'!$M299,17)&lt;&gt;"Oceanic Endeavour"), 'RAW DATA'!$M299, "")</f>
        <v/>
      </c>
      <c r="D299" s="19" t="str">
        <f t="shared" si="4"/>
        <v/>
      </c>
    </row>
    <row r="300" spans="2:4" x14ac:dyDescent="0.25">
      <c r="B300" s="18" t="str">
        <f>IF(AND('RAW DATA'!$L300&lt;&gt;"", 'RAW DATA'!$M300&lt;&gt;"",  'RAW DATA'!$J300="",  'RAW DATA'!$K300="", LEFT('RAW DATA'!$M300,17)&lt;&gt;"Oceanic Endeavour"), 'RAW DATA'!$L300, "")</f>
        <v/>
      </c>
      <c r="C300" s="18" t="str">
        <f>IF(AND('RAW DATA'!$L300&lt;&gt;"", 'RAW DATA'!$M300&lt;&gt;"",  'RAW DATA'!$J300="",  'RAW DATA'!$K300="", LEFT('RAW DATA'!$M300,17)&lt;&gt;"Oceanic Endeavour"), 'RAW DATA'!$M300, "")</f>
        <v/>
      </c>
      <c r="D300" s="19" t="str">
        <f t="shared" si="4"/>
        <v/>
      </c>
    </row>
    <row r="301" spans="2:4" x14ac:dyDescent="0.25">
      <c r="B301" s="18" t="str">
        <f>IF(AND('RAW DATA'!$L301&lt;&gt;"", 'RAW DATA'!$M301&lt;&gt;"",  'RAW DATA'!$J301="",  'RAW DATA'!$K301="", LEFT('RAW DATA'!$M301,17)&lt;&gt;"Oceanic Endeavour"), 'RAW DATA'!$L301, "")</f>
        <v/>
      </c>
      <c r="C301" s="18" t="str">
        <f>IF(AND('RAW DATA'!$L301&lt;&gt;"", 'RAW DATA'!$M301&lt;&gt;"",  'RAW DATA'!$J301="",  'RAW DATA'!$K301="", LEFT('RAW DATA'!$M301,17)&lt;&gt;"Oceanic Endeavour"), 'RAW DATA'!$M301, "")</f>
        <v/>
      </c>
      <c r="D301" s="19" t="str">
        <f t="shared" si="4"/>
        <v/>
      </c>
    </row>
    <row r="302" spans="2:4" x14ac:dyDescent="0.25">
      <c r="B302" s="18" t="str">
        <f>IF(AND('RAW DATA'!$L302&lt;&gt;"", 'RAW DATA'!$M302&lt;&gt;"",  'RAW DATA'!$J302="",  'RAW DATA'!$K302="", LEFT('RAW DATA'!$M302,17)&lt;&gt;"Oceanic Endeavour"), 'RAW DATA'!$L302, "")</f>
        <v/>
      </c>
      <c r="C302" s="18" t="str">
        <f>IF(AND('RAW DATA'!$L302&lt;&gt;"", 'RAW DATA'!$M302&lt;&gt;"",  'RAW DATA'!$J302="",  'RAW DATA'!$K302="", LEFT('RAW DATA'!$M302,17)&lt;&gt;"Oceanic Endeavour"), 'RAW DATA'!$M302, "")</f>
        <v/>
      </c>
      <c r="D302" s="19" t="str">
        <f t="shared" si="4"/>
        <v/>
      </c>
    </row>
    <row r="303" spans="2:4" x14ac:dyDescent="0.25">
      <c r="B303" s="18" t="str">
        <f>IF(AND('RAW DATA'!$L303&lt;&gt;"", 'RAW DATA'!$M303&lt;&gt;"",  'RAW DATA'!$J303="",  'RAW DATA'!$K303="", LEFT('RAW DATA'!$M303,17)&lt;&gt;"Oceanic Endeavour"), 'RAW DATA'!$L303, "")</f>
        <v/>
      </c>
      <c r="C303" s="18" t="str">
        <f>IF(AND('RAW DATA'!$L303&lt;&gt;"", 'RAW DATA'!$M303&lt;&gt;"",  'RAW DATA'!$J303="",  'RAW DATA'!$K303="", LEFT('RAW DATA'!$M303,17)&lt;&gt;"Oceanic Endeavour"), 'RAW DATA'!$M303, "")</f>
        <v/>
      </c>
      <c r="D303" s="19" t="str">
        <f t="shared" si="4"/>
        <v/>
      </c>
    </row>
    <row r="304" spans="2:4" x14ac:dyDescent="0.25">
      <c r="B304" s="18" t="str">
        <f>IF(AND('RAW DATA'!$L304&lt;&gt;"", 'RAW DATA'!$M304&lt;&gt;"",  'RAW DATA'!$J304="",  'RAW DATA'!$K304="", LEFT('RAW DATA'!$M304,17)&lt;&gt;"Oceanic Endeavour"), 'RAW DATA'!$L304, "")</f>
        <v/>
      </c>
      <c r="C304" s="18" t="str">
        <f>IF(AND('RAW DATA'!$L304&lt;&gt;"", 'RAW DATA'!$M304&lt;&gt;"",  'RAW DATA'!$J304="",  'RAW DATA'!$K304="", LEFT('RAW DATA'!$M304,17)&lt;&gt;"Oceanic Endeavour"), 'RAW DATA'!$M304, "")</f>
        <v/>
      </c>
      <c r="D304" s="19" t="str">
        <f t="shared" si="4"/>
        <v/>
      </c>
    </row>
    <row r="305" spans="2:4" x14ac:dyDescent="0.25">
      <c r="B305" s="18" t="str">
        <f>IF(AND('RAW DATA'!$L305&lt;&gt;"", 'RAW DATA'!$M305&lt;&gt;"",  'RAW DATA'!$J305="",  'RAW DATA'!$K305="", LEFT('RAW DATA'!$M305,17)&lt;&gt;"Oceanic Endeavour"), 'RAW DATA'!$L305, "")</f>
        <v/>
      </c>
      <c r="C305" s="18" t="str">
        <f>IF(AND('RAW DATA'!$L305&lt;&gt;"", 'RAW DATA'!$M305&lt;&gt;"",  'RAW DATA'!$J305="",  'RAW DATA'!$K305="", LEFT('RAW DATA'!$M305,17)&lt;&gt;"Oceanic Endeavour"), 'RAW DATA'!$M305, "")</f>
        <v/>
      </c>
      <c r="D305" s="19" t="str">
        <f t="shared" si="4"/>
        <v/>
      </c>
    </row>
    <row r="306" spans="2:4" x14ac:dyDescent="0.25">
      <c r="B306" s="18" t="str">
        <f>IF(AND('RAW DATA'!$L306&lt;&gt;"", 'RAW DATA'!$M306&lt;&gt;"",  'RAW DATA'!$J306="",  'RAW DATA'!$K306="", LEFT('RAW DATA'!$M306,17)&lt;&gt;"Oceanic Endeavour"), 'RAW DATA'!$L306, "")</f>
        <v/>
      </c>
      <c r="C306" s="18" t="str">
        <f>IF(AND('RAW DATA'!$L306&lt;&gt;"", 'RAW DATA'!$M306&lt;&gt;"",  'RAW DATA'!$J306="",  'RAW DATA'!$K306="", LEFT('RAW DATA'!$M306,17)&lt;&gt;"Oceanic Endeavour"), 'RAW DATA'!$M306, "")</f>
        <v/>
      </c>
      <c r="D306" s="19" t="str">
        <f t="shared" si="4"/>
        <v/>
      </c>
    </row>
    <row r="307" spans="2:4" x14ac:dyDescent="0.25">
      <c r="B307" s="18" t="str">
        <f>IF(AND('RAW DATA'!$L307&lt;&gt;"", 'RAW DATA'!$M307&lt;&gt;"",  'RAW DATA'!$J307="",  'RAW DATA'!$K307="", LEFT('RAW DATA'!$M307,17)&lt;&gt;"Oceanic Endeavour"), 'RAW DATA'!$L307, "")</f>
        <v/>
      </c>
      <c r="C307" s="18" t="str">
        <f>IF(AND('RAW DATA'!$L307&lt;&gt;"", 'RAW DATA'!$M307&lt;&gt;"",  'RAW DATA'!$J307="",  'RAW DATA'!$K307="", LEFT('RAW DATA'!$M307,17)&lt;&gt;"Oceanic Endeavour"), 'RAW DATA'!$M307, "")</f>
        <v/>
      </c>
      <c r="D307" s="19" t="str">
        <f t="shared" si="4"/>
        <v/>
      </c>
    </row>
    <row r="308" spans="2:4" x14ac:dyDescent="0.25">
      <c r="B308" s="18" t="str">
        <f>IF(AND('RAW DATA'!$L308&lt;&gt;"", 'RAW DATA'!$M308&lt;&gt;"",  'RAW DATA'!$J308="",  'RAW DATA'!$K308="", LEFT('RAW DATA'!$M308,17)&lt;&gt;"Oceanic Endeavour"), 'RAW DATA'!$L308, "")</f>
        <v/>
      </c>
      <c r="C308" s="18" t="str">
        <f>IF(AND('RAW DATA'!$L308&lt;&gt;"", 'RAW DATA'!$M308&lt;&gt;"",  'RAW DATA'!$J308="",  'RAW DATA'!$K308="", LEFT('RAW DATA'!$M308,17)&lt;&gt;"Oceanic Endeavour"), 'RAW DATA'!$M308, "")</f>
        <v/>
      </c>
      <c r="D308" s="19" t="str">
        <f t="shared" si="4"/>
        <v/>
      </c>
    </row>
    <row r="309" spans="2:4" x14ac:dyDescent="0.25">
      <c r="B309" s="18" t="str">
        <f>IF(AND('RAW DATA'!$L309&lt;&gt;"", 'RAW DATA'!$M309&lt;&gt;"",  'RAW DATA'!$J309="",  'RAW DATA'!$K309="", LEFT('RAW DATA'!$M309,17)&lt;&gt;"Oceanic Endeavour"), 'RAW DATA'!$L309, "")</f>
        <v/>
      </c>
      <c r="C309" s="18" t="str">
        <f>IF(AND('RAW DATA'!$L309&lt;&gt;"", 'RAW DATA'!$M309&lt;&gt;"",  'RAW DATA'!$J309="",  'RAW DATA'!$K309="", LEFT('RAW DATA'!$M309,17)&lt;&gt;"Oceanic Endeavour"), 'RAW DATA'!$M309, "")</f>
        <v/>
      </c>
      <c r="D309" s="19" t="str">
        <f t="shared" si="4"/>
        <v/>
      </c>
    </row>
    <row r="310" spans="2:4" x14ac:dyDescent="0.25">
      <c r="B310" s="18" t="str">
        <f>IF(AND('RAW DATA'!$L310&lt;&gt;"", 'RAW DATA'!$M310&lt;&gt;"",  'RAW DATA'!$J310="",  'RAW DATA'!$K310="", LEFT('RAW DATA'!$M310,17)&lt;&gt;"Oceanic Endeavour"), 'RAW DATA'!$L310, "")</f>
        <v/>
      </c>
      <c r="C310" s="18" t="str">
        <f>IF(AND('RAW DATA'!$L310&lt;&gt;"", 'RAW DATA'!$M310&lt;&gt;"",  'RAW DATA'!$J310="",  'RAW DATA'!$K310="", LEFT('RAW DATA'!$M310,17)&lt;&gt;"Oceanic Endeavour"), 'RAW DATA'!$M310, "")</f>
        <v/>
      </c>
      <c r="D310" s="19" t="str">
        <f t="shared" si="4"/>
        <v/>
      </c>
    </row>
    <row r="311" spans="2:4" x14ac:dyDescent="0.25">
      <c r="B311" s="18" t="str">
        <f>IF(AND('RAW DATA'!$L311&lt;&gt;"", 'RAW DATA'!$M311&lt;&gt;"",  'RAW DATA'!$J311="",  'RAW DATA'!$K311="", LEFT('RAW DATA'!$M311,17)&lt;&gt;"Oceanic Endeavour"), 'RAW DATA'!$L311, "")</f>
        <v/>
      </c>
      <c r="C311" s="18" t="str">
        <f>IF(AND('RAW DATA'!$L311&lt;&gt;"", 'RAW DATA'!$M311&lt;&gt;"",  'RAW DATA'!$J311="",  'RAW DATA'!$K311="", LEFT('RAW DATA'!$M311,17)&lt;&gt;"Oceanic Endeavour"), 'RAW DATA'!$M311, "")</f>
        <v/>
      </c>
      <c r="D311" s="19" t="str">
        <f t="shared" si="4"/>
        <v/>
      </c>
    </row>
    <row r="312" spans="2:4" x14ac:dyDescent="0.25">
      <c r="B312" s="18" t="str">
        <f>IF(AND('RAW DATA'!$L312&lt;&gt;"", 'RAW DATA'!$M312&lt;&gt;"",  'RAW DATA'!$J312="",  'RAW DATA'!$K312="", LEFT('RAW DATA'!$M312,17)&lt;&gt;"Oceanic Endeavour"), 'RAW DATA'!$L312, "")</f>
        <v/>
      </c>
      <c r="C312" s="18" t="str">
        <f>IF(AND('RAW DATA'!$L312&lt;&gt;"", 'RAW DATA'!$M312&lt;&gt;"",  'RAW DATA'!$J312="",  'RAW DATA'!$K312="", LEFT('RAW DATA'!$M312,17)&lt;&gt;"Oceanic Endeavour"), 'RAW DATA'!$M312, "")</f>
        <v/>
      </c>
      <c r="D312" s="19" t="str">
        <f t="shared" si="4"/>
        <v/>
      </c>
    </row>
    <row r="313" spans="2:4" x14ac:dyDescent="0.25">
      <c r="B313" s="18" t="str">
        <f>IF(AND('RAW DATA'!$L313&lt;&gt;"", 'RAW DATA'!$M313&lt;&gt;"",  'RAW DATA'!$J313="",  'RAW DATA'!$K313="", LEFT('RAW DATA'!$M313,17)&lt;&gt;"Oceanic Endeavour"), 'RAW DATA'!$L313, "")</f>
        <v/>
      </c>
      <c r="C313" s="18" t="str">
        <f>IF(AND('RAW DATA'!$L313&lt;&gt;"", 'RAW DATA'!$M313&lt;&gt;"",  'RAW DATA'!$J313="",  'RAW DATA'!$K313="", LEFT('RAW DATA'!$M313,17)&lt;&gt;"Oceanic Endeavour"), 'RAW DATA'!$M313, "")</f>
        <v/>
      </c>
      <c r="D313" s="19" t="str">
        <f t="shared" si="4"/>
        <v/>
      </c>
    </row>
    <row r="314" spans="2:4" x14ac:dyDescent="0.25">
      <c r="B314" s="18" t="str">
        <f>IF(AND('RAW DATA'!$L314&lt;&gt;"", 'RAW DATA'!$M314&lt;&gt;"",  'RAW DATA'!$J314="",  'RAW DATA'!$K314="", LEFT('RAW DATA'!$M314,17)&lt;&gt;"Oceanic Endeavour"), 'RAW DATA'!$L314, "")</f>
        <v/>
      </c>
      <c r="C314" s="18" t="str">
        <f>IF(AND('RAW DATA'!$L314&lt;&gt;"", 'RAW DATA'!$M314&lt;&gt;"",  'RAW DATA'!$J314="",  'RAW DATA'!$K314="", LEFT('RAW DATA'!$M314,17)&lt;&gt;"Oceanic Endeavour"), 'RAW DATA'!$M314, "")</f>
        <v/>
      </c>
      <c r="D314" s="19" t="str">
        <f t="shared" si="4"/>
        <v/>
      </c>
    </row>
    <row r="315" spans="2:4" x14ac:dyDescent="0.25">
      <c r="B315" s="18" t="str">
        <f>IF(AND('RAW DATA'!$L315&lt;&gt;"", 'RAW DATA'!$M315&lt;&gt;"",  'RAW DATA'!$J315="",  'RAW DATA'!$K315="", LEFT('RAW DATA'!$M315,17)&lt;&gt;"Oceanic Endeavour"), 'RAW DATA'!$L315, "")</f>
        <v/>
      </c>
      <c r="C315" s="18" t="str">
        <f>IF(AND('RAW DATA'!$L315&lt;&gt;"", 'RAW DATA'!$M315&lt;&gt;"",  'RAW DATA'!$J315="",  'RAW DATA'!$K315="", LEFT('RAW DATA'!$M315,17)&lt;&gt;"Oceanic Endeavour"), 'RAW DATA'!$M315, "")</f>
        <v/>
      </c>
      <c r="D315" s="19" t="str">
        <f t="shared" si="4"/>
        <v/>
      </c>
    </row>
    <row r="316" spans="2:4" x14ac:dyDescent="0.25">
      <c r="B316" s="18" t="str">
        <f>IF(AND('RAW DATA'!$L316&lt;&gt;"", 'RAW DATA'!$M316&lt;&gt;"",  'RAW DATA'!$J316="",  'RAW DATA'!$K316="", LEFT('RAW DATA'!$M316,17)&lt;&gt;"Oceanic Endeavour"), 'RAW DATA'!$L316, "")</f>
        <v/>
      </c>
      <c r="C316" s="18" t="str">
        <f>IF(AND('RAW DATA'!$L316&lt;&gt;"", 'RAW DATA'!$M316&lt;&gt;"",  'RAW DATA'!$J316="",  'RAW DATA'!$K316="", LEFT('RAW DATA'!$M316,17)&lt;&gt;"Oceanic Endeavour"), 'RAW DATA'!$M316, "")</f>
        <v/>
      </c>
      <c r="D316" s="19" t="str">
        <f t="shared" si="4"/>
        <v/>
      </c>
    </row>
    <row r="317" spans="2:4" x14ac:dyDescent="0.25">
      <c r="B317" s="18" t="str">
        <f>IF(AND('RAW DATA'!$L317&lt;&gt;"", 'RAW DATA'!$M317&lt;&gt;"",  'RAW DATA'!$J317="",  'RAW DATA'!$K317="", LEFT('RAW DATA'!$M317,17)&lt;&gt;"Oceanic Endeavour"), 'RAW DATA'!$L317, "")</f>
        <v/>
      </c>
      <c r="C317" s="18" t="str">
        <f>IF(AND('RAW DATA'!$L317&lt;&gt;"", 'RAW DATA'!$M317&lt;&gt;"",  'RAW DATA'!$J317="",  'RAW DATA'!$K317="", LEFT('RAW DATA'!$M317,17)&lt;&gt;"Oceanic Endeavour"), 'RAW DATA'!$M317, "")</f>
        <v/>
      </c>
      <c r="D317" s="19" t="str">
        <f t="shared" si="4"/>
        <v/>
      </c>
    </row>
    <row r="318" spans="2:4" x14ac:dyDescent="0.25">
      <c r="B318" s="18" t="str">
        <f>IF(AND('RAW DATA'!$L318&lt;&gt;"", 'RAW DATA'!$M318&lt;&gt;"",  'RAW DATA'!$J318="",  'RAW DATA'!$K318="", LEFT('RAW DATA'!$M318,17)&lt;&gt;"Oceanic Endeavour"), 'RAW DATA'!$L318, "")</f>
        <v/>
      </c>
      <c r="C318" s="18" t="str">
        <f>IF(AND('RAW DATA'!$L318&lt;&gt;"", 'RAW DATA'!$M318&lt;&gt;"",  'RAW DATA'!$J318="",  'RAW DATA'!$K318="", LEFT('RAW DATA'!$M318,17)&lt;&gt;"Oceanic Endeavour"), 'RAW DATA'!$M318, "")</f>
        <v/>
      </c>
      <c r="D318" s="19" t="str">
        <f t="shared" si="4"/>
        <v/>
      </c>
    </row>
    <row r="319" spans="2:4" x14ac:dyDescent="0.25">
      <c r="B319" s="18" t="str">
        <f>IF(AND('RAW DATA'!$L319&lt;&gt;"", 'RAW DATA'!$M319&lt;&gt;"",  'RAW DATA'!$J319="",  'RAW DATA'!$K319="", LEFT('RAW DATA'!$M319,17)&lt;&gt;"Oceanic Endeavour"), 'RAW DATA'!$L319, "")</f>
        <v/>
      </c>
      <c r="C319" s="18" t="str">
        <f>IF(AND('RAW DATA'!$L319&lt;&gt;"", 'RAW DATA'!$M319&lt;&gt;"",  'RAW DATA'!$J319="",  'RAW DATA'!$K319="", LEFT('RAW DATA'!$M319,17)&lt;&gt;"Oceanic Endeavour"), 'RAW DATA'!$M319, "")</f>
        <v/>
      </c>
      <c r="D319" s="19" t="str">
        <f t="shared" si="4"/>
        <v/>
      </c>
    </row>
    <row r="320" spans="2:4" x14ac:dyDescent="0.25">
      <c r="B320" s="18" t="str">
        <f>IF(AND('RAW DATA'!$L320&lt;&gt;"", 'RAW DATA'!$M320&lt;&gt;"",  'RAW DATA'!$J320="",  'RAW DATA'!$K320="", LEFT('RAW DATA'!$M320,17)&lt;&gt;"Oceanic Endeavour"), 'RAW DATA'!$L320, "")</f>
        <v/>
      </c>
      <c r="C320" s="18" t="str">
        <f>IF(AND('RAW DATA'!$L320&lt;&gt;"", 'RAW DATA'!$M320&lt;&gt;"",  'RAW DATA'!$J320="",  'RAW DATA'!$K320="", LEFT('RAW DATA'!$M320,17)&lt;&gt;"Oceanic Endeavour"), 'RAW DATA'!$M320, "")</f>
        <v/>
      </c>
      <c r="D320" s="19" t="str">
        <f t="shared" si="4"/>
        <v/>
      </c>
    </row>
    <row r="321" spans="2:4" x14ac:dyDescent="0.25">
      <c r="B321" s="18" t="str">
        <f>IF(AND('RAW DATA'!$L321&lt;&gt;"", 'RAW DATA'!$M321&lt;&gt;"",  'RAW DATA'!$J321="",  'RAW DATA'!$K321="", LEFT('RAW DATA'!$M321,17)&lt;&gt;"Oceanic Endeavour"), 'RAW DATA'!$L321, "")</f>
        <v/>
      </c>
      <c r="C321" s="18" t="str">
        <f>IF(AND('RAW DATA'!$L321&lt;&gt;"", 'RAW DATA'!$M321&lt;&gt;"",  'RAW DATA'!$J321="",  'RAW DATA'!$K321="", LEFT('RAW DATA'!$M321,17)&lt;&gt;"Oceanic Endeavour"), 'RAW DATA'!$M321, "")</f>
        <v/>
      </c>
      <c r="D321" s="19" t="str">
        <f t="shared" si="4"/>
        <v/>
      </c>
    </row>
    <row r="322" spans="2:4" x14ac:dyDescent="0.25">
      <c r="B322" s="18" t="str">
        <f>IF(AND('RAW DATA'!$L322&lt;&gt;"", 'RAW DATA'!$M322&lt;&gt;"",  'RAW DATA'!$J322="",  'RAW DATA'!$K322="", LEFT('RAW DATA'!$M322,17)&lt;&gt;"Oceanic Endeavour"), 'RAW DATA'!$L322, "")</f>
        <v/>
      </c>
      <c r="C322" s="18" t="str">
        <f>IF(AND('RAW DATA'!$L322&lt;&gt;"", 'RAW DATA'!$M322&lt;&gt;"",  'RAW DATA'!$J322="",  'RAW DATA'!$K322="", LEFT('RAW DATA'!$M322,17)&lt;&gt;"Oceanic Endeavour"), 'RAW DATA'!$M322, "")</f>
        <v/>
      </c>
      <c r="D322" s="19" t="str">
        <f t="shared" si="4"/>
        <v/>
      </c>
    </row>
    <row r="323" spans="2:4" x14ac:dyDescent="0.25">
      <c r="B323" s="18" t="str">
        <f>IF(AND('RAW DATA'!$L323&lt;&gt;"", 'RAW DATA'!$M323&lt;&gt;"",  'RAW DATA'!$J323="",  'RAW DATA'!$K323="", LEFT('RAW DATA'!$M323,17)&lt;&gt;"Oceanic Endeavour"), 'RAW DATA'!$L323, "")</f>
        <v/>
      </c>
      <c r="C323" s="18" t="str">
        <f>IF(AND('RAW DATA'!$L323&lt;&gt;"", 'RAW DATA'!$M323&lt;&gt;"",  'RAW DATA'!$J323="",  'RAW DATA'!$K323="", LEFT('RAW DATA'!$M323,17)&lt;&gt;"Oceanic Endeavour"), 'RAW DATA'!$M323, "")</f>
        <v/>
      </c>
      <c r="D323" s="19" t="str">
        <f t="shared" si="4"/>
        <v/>
      </c>
    </row>
    <row r="324" spans="2:4" x14ac:dyDescent="0.25">
      <c r="B324" s="18" t="str">
        <f>IF(AND('RAW DATA'!$L324&lt;&gt;"", 'RAW DATA'!$M324&lt;&gt;"",  'RAW DATA'!$J324="",  'RAW DATA'!$K324="", LEFT('RAW DATA'!$M324,17)&lt;&gt;"Oceanic Endeavour"), 'RAW DATA'!$L324, "")</f>
        <v/>
      </c>
      <c r="C324" s="18" t="str">
        <f>IF(AND('RAW DATA'!$L324&lt;&gt;"", 'RAW DATA'!$M324&lt;&gt;"",  'RAW DATA'!$J324="",  'RAW DATA'!$K324="", LEFT('RAW DATA'!$M324,17)&lt;&gt;"Oceanic Endeavour"), 'RAW DATA'!$M324, "")</f>
        <v/>
      </c>
      <c r="D324" s="19" t="str">
        <f t="shared" si="4"/>
        <v/>
      </c>
    </row>
    <row r="325" spans="2:4" x14ac:dyDescent="0.25">
      <c r="B325" s="18" t="str">
        <f>IF(AND('RAW DATA'!$L325&lt;&gt;"", 'RAW DATA'!$M325&lt;&gt;"",  'RAW DATA'!$J325="",  'RAW DATA'!$K325="", LEFT('RAW DATA'!$M325,17)&lt;&gt;"Oceanic Endeavour"), 'RAW DATA'!$L325, "")</f>
        <v/>
      </c>
      <c r="C325" s="18" t="str">
        <f>IF(AND('RAW DATA'!$L325&lt;&gt;"", 'RAW DATA'!$M325&lt;&gt;"",  'RAW DATA'!$J325="",  'RAW DATA'!$K325="", LEFT('RAW DATA'!$M325,17)&lt;&gt;"Oceanic Endeavour"), 'RAW DATA'!$M325, "")</f>
        <v/>
      </c>
      <c r="D325" s="19" t="str">
        <f t="shared" ref="D325:D388" si="5">IF(AND($B325&lt;&gt;"", $C325&lt;&gt;""), COUNTIF($C$4:$C$611, $C325), "")</f>
        <v/>
      </c>
    </row>
    <row r="326" spans="2:4" x14ac:dyDescent="0.25">
      <c r="B326" s="18" t="str">
        <f>IF(AND('RAW DATA'!$L326&lt;&gt;"", 'RAW DATA'!$M326&lt;&gt;"",  'RAW DATA'!$J326="",  'RAW DATA'!$K326="", LEFT('RAW DATA'!$M326,17)&lt;&gt;"Oceanic Endeavour"), 'RAW DATA'!$L326, "")</f>
        <v/>
      </c>
      <c r="C326" s="18" t="str">
        <f>IF(AND('RAW DATA'!$L326&lt;&gt;"", 'RAW DATA'!$M326&lt;&gt;"",  'RAW DATA'!$J326="",  'RAW DATA'!$K326="", LEFT('RAW DATA'!$M326,17)&lt;&gt;"Oceanic Endeavour"), 'RAW DATA'!$M326, "")</f>
        <v/>
      </c>
      <c r="D326" s="19" t="str">
        <f t="shared" si="5"/>
        <v/>
      </c>
    </row>
    <row r="327" spans="2:4" x14ac:dyDescent="0.25">
      <c r="B327" s="18" t="str">
        <f>IF(AND('RAW DATA'!$L327&lt;&gt;"", 'RAW DATA'!$M327&lt;&gt;"",  'RAW DATA'!$J327="",  'RAW DATA'!$K327="", LEFT('RAW DATA'!$M327,17)&lt;&gt;"Oceanic Endeavour"), 'RAW DATA'!$L327, "")</f>
        <v/>
      </c>
      <c r="C327" s="18" t="str">
        <f>IF(AND('RAW DATA'!$L327&lt;&gt;"", 'RAW DATA'!$M327&lt;&gt;"",  'RAW DATA'!$J327="",  'RAW DATA'!$K327="", LEFT('RAW DATA'!$M327,17)&lt;&gt;"Oceanic Endeavour"), 'RAW DATA'!$M327, "")</f>
        <v/>
      </c>
      <c r="D327" s="19" t="str">
        <f t="shared" si="5"/>
        <v/>
      </c>
    </row>
    <row r="328" spans="2:4" x14ac:dyDescent="0.25">
      <c r="B328" s="18" t="str">
        <f>IF(AND('RAW DATA'!$L328&lt;&gt;"", 'RAW DATA'!$M328&lt;&gt;"",  'RAW DATA'!$J328="",  'RAW DATA'!$K328="", LEFT('RAW DATA'!$M328,17)&lt;&gt;"Oceanic Endeavour"), 'RAW DATA'!$L328, "")</f>
        <v/>
      </c>
      <c r="C328" s="18" t="str">
        <f>IF(AND('RAW DATA'!$L328&lt;&gt;"", 'RAW DATA'!$M328&lt;&gt;"",  'RAW DATA'!$J328="",  'RAW DATA'!$K328="", LEFT('RAW DATA'!$M328,17)&lt;&gt;"Oceanic Endeavour"), 'RAW DATA'!$M328, "")</f>
        <v/>
      </c>
      <c r="D328" s="19" t="str">
        <f t="shared" si="5"/>
        <v/>
      </c>
    </row>
    <row r="329" spans="2:4" x14ac:dyDescent="0.25">
      <c r="B329" s="18" t="str">
        <f>IF(AND('RAW DATA'!$L329&lt;&gt;"", 'RAW DATA'!$M329&lt;&gt;"",  'RAW DATA'!$J329="",  'RAW DATA'!$K329="", LEFT('RAW DATA'!$M329,17)&lt;&gt;"Oceanic Endeavour"), 'RAW DATA'!$L329, "")</f>
        <v/>
      </c>
      <c r="C329" s="18" t="str">
        <f>IF(AND('RAW DATA'!$L329&lt;&gt;"", 'RAW DATA'!$M329&lt;&gt;"",  'RAW DATA'!$J329="",  'RAW DATA'!$K329="", LEFT('RAW DATA'!$M329,17)&lt;&gt;"Oceanic Endeavour"), 'RAW DATA'!$M329, "")</f>
        <v/>
      </c>
      <c r="D329" s="19" t="str">
        <f t="shared" si="5"/>
        <v/>
      </c>
    </row>
    <row r="330" spans="2:4" x14ac:dyDescent="0.25">
      <c r="B330" s="18" t="str">
        <f>IF(AND('RAW DATA'!$L330&lt;&gt;"", 'RAW DATA'!$M330&lt;&gt;"",  'RAW DATA'!$J330="",  'RAW DATA'!$K330="", LEFT('RAW DATA'!$M330,17)&lt;&gt;"Oceanic Endeavour"), 'RAW DATA'!$L330, "")</f>
        <v/>
      </c>
      <c r="C330" s="18" t="str">
        <f>IF(AND('RAW DATA'!$L330&lt;&gt;"", 'RAW DATA'!$M330&lt;&gt;"",  'RAW DATA'!$J330="",  'RAW DATA'!$K330="", LEFT('RAW DATA'!$M330,17)&lt;&gt;"Oceanic Endeavour"), 'RAW DATA'!$M330, "")</f>
        <v/>
      </c>
      <c r="D330" s="19" t="str">
        <f t="shared" si="5"/>
        <v/>
      </c>
    </row>
    <row r="331" spans="2:4" x14ac:dyDescent="0.25">
      <c r="B331" s="18" t="str">
        <f>IF(AND('RAW DATA'!$L331&lt;&gt;"", 'RAW DATA'!$M331&lt;&gt;"",  'RAW DATA'!$J331="",  'RAW DATA'!$K331="", LEFT('RAW DATA'!$M331,17)&lt;&gt;"Oceanic Endeavour"), 'RAW DATA'!$L331, "")</f>
        <v/>
      </c>
      <c r="C331" s="18" t="str">
        <f>IF(AND('RAW DATA'!$L331&lt;&gt;"", 'RAW DATA'!$M331&lt;&gt;"",  'RAW DATA'!$J331="",  'RAW DATA'!$K331="", LEFT('RAW DATA'!$M331,17)&lt;&gt;"Oceanic Endeavour"), 'RAW DATA'!$M331, "")</f>
        <v/>
      </c>
      <c r="D331" s="19" t="str">
        <f t="shared" si="5"/>
        <v/>
      </c>
    </row>
    <row r="332" spans="2:4" x14ac:dyDescent="0.25">
      <c r="B332" s="18" t="str">
        <f>IF(AND('RAW DATA'!$L332&lt;&gt;"", 'RAW DATA'!$M332&lt;&gt;"",  'RAW DATA'!$J332="",  'RAW DATA'!$K332="", LEFT('RAW DATA'!$M332,17)&lt;&gt;"Oceanic Endeavour"), 'RAW DATA'!$L332, "")</f>
        <v/>
      </c>
      <c r="C332" s="18" t="str">
        <f>IF(AND('RAW DATA'!$L332&lt;&gt;"", 'RAW DATA'!$M332&lt;&gt;"",  'RAW DATA'!$J332="",  'RAW DATA'!$K332="", LEFT('RAW DATA'!$M332,17)&lt;&gt;"Oceanic Endeavour"), 'RAW DATA'!$M332, "")</f>
        <v/>
      </c>
      <c r="D332" s="19" t="str">
        <f t="shared" si="5"/>
        <v/>
      </c>
    </row>
    <row r="333" spans="2:4" x14ac:dyDescent="0.25">
      <c r="B333" s="18" t="str">
        <f>IF(AND('RAW DATA'!$L333&lt;&gt;"", 'RAW DATA'!$M333&lt;&gt;"",  'RAW DATA'!$J333="",  'RAW DATA'!$K333="", LEFT('RAW DATA'!$M333,17)&lt;&gt;"Oceanic Endeavour"), 'RAW DATA'!$L333, "")</f>
        <v/>
      </c>
      <c r="C333" s="18" t="str">
        <f>IF(AND('RAW DATA'!$L333&lt;&gt;"", 'RAW DATA'!$M333&lt;&gt;"",  'RAW DATA'!$J333="",  'RAW DATA'!$K333="", LEFT('RAW DATA'!$M333,17)&lt;&gt;"Oceanic Endeavour"), 'RAW DATA'!$M333, "")</f>
        <v/>
      </c>
      <c r="D333" s="19" t="str">
        <f t="shared" si="5"/>
        <v/>
      </c>
    </row>
    <row r="334" spans="2:4" x14ac:dyDescent="0.25">
      <c r="B334" s="18" t="str">
        <f>IF(AND('RAW DATA'!$L334&lt;&gt;"", 'RAW DATA'!$M334&lt;&gt;"",  'RAW DATA'!$J334="",  'RAW DATA'!$K334="", LEFT('RAW DATA'!$M334,17)&lt;&gt;"Oceanic Endeavour"), 'RAW DATA'!$L334, "")</f>
        <v/>
      </c>
      <c r="C334" s="18" t="str">
        <f>IF(AND('RAW DATA'!$L334&lt;&gt;"", 'RAW DATA'!$M334&lt;&gt;"",  'RAW DATA'!$J334="",  'RAW DATA'!$K334="", LEFT('RAW DATA'!$M334,17)&lt;&gt;"Oceanic Endeavour"), 'RAW DATA'!$M334, "")</f>
        <v/>
      </c>
      <c r="D334" s="19" t="str">
        <f t="shared" si="5"/>
        <v/>
      </c>
    </row>
    <row r="335" spans="2:4" x14ac:dyDescent="0.25">
      <c r="B335" s="18" t="str">
        <f>IF(AND('RAW DATA'!$L335&lt;&gt;"", 'RAW DATA'!$M335&lt;&gt;"",  'RAW DATA'!$J335="",  'RAW DATA'!$K335="", LEFT('RAW DATA'!$M335,17)&lt;&gt;"Oceanic Endeavour"), 'RAW DATA'!$L335, "")</f>
        <v/>
      </c>
      <c r="C335" s="18" t="str">
        <f>IF(AND('RAW DATA'!$L335&lt;&gt;"", 'RAW DATA'!$M335&lt;&gt;"",  'RAW DATA'!$J335="",  'RAW DATA'!$K335="", LEFT('RAW DATA'!$M335,17)&lt;&gt;"Oceanic Endeavour"), 'RAW DATA'!$M335, "")</f>
        <v/>
      </c>
      <c r="D335" s="19" t="str">
        <f t="shared" si="5"/>
        <v/>
      </c>
    </row>
    <row r="336" spans="2:4" x14ac:dyDescent="0.25">
      <c r="B336" s="18" t="str">
        <f>IF(AND('RAW DATA'!$L336&lt;&gt;"", 'RAW DATA'!$M336&lt;&gt;"",  'RAW DATA'!$J336="",  'RAW DATA'!$K336="", LEFT('RAW DATA'!$M336,17)&lt;&gt;"Oceanic Endeavour"), 'RAW DATA'!$L336, "")</f>
        <v/>
      </c>
      <c r="C336" s="18" t="str">
        <f>IF(AND('RAW DATA'!$L336&lt;&gt;"", 'RAW DATA'!$M336&lt;&gt;"",  'RAW DATA'!$J336="",  'RAW DATA'!$K336="", LEFT('RAW DATA'!$M336,17)&lt;&gt;"Oceanic Endeavour"), 'RAW DATA'!$M336, "")</f>
        <v/>
      </c>
      <c r="D336" s="19" t="str">
        <f t="shared" si="5"/>
        <v/>
      </c>
    </row>
    <row r="337" spans="2:4" x14ac:dyDescent="0.25">
      <c r="B337" s="18" t="str">
        <f>IF(AND('RAW DATA'!$L337&lt;&gt;"", 'RAW DATA'!$M337&lt;&gt;"",  'RAW DATA'!$J337="",  'RAW DATA'!$K337="", LEFT('RAW DATA'!$M337,17)&lt;&gt;"Oceanic Endeavour"), 'RAW DATA'!$L337, "")</f>
        <v/>
      </c>
      <c r="C337" s="18" t="str">
        <f>IF(AND('RAW DATA'!$L337&lt;&gt;"", 'RAW DATA'!$M337&lt;&gt;"",  'RAW DATA'!$J337="",  'RAW DATA'!$K337="", LEFT('RAW DATA'!$M337,17)&lt;&gt;"Oceanic Endeavour"), 'RAW DATA'!$M337, "")</f>
        <v/>
      </c>
      <c r="D337" s="19" t="str">
        <f t="shared" si="5"/>
        <v/>
      </c>
    </row>
    <row r="338" spans="2:4" x14ac:dyDescent="0.25">
      <c r="B338" s="18" t="str">
        <f>IF(AND('RAW DATA'!$L338&lt;&gt;"", 'RAW DATA'!$M338&lt;&gt;"",  'RAW DATA'!$J338="",  'RAW DATA'!$K338="", LEFT('RAW DATA'!$M338,17)&lt;&gt;"Oceanic Endeavour"), 'RAW DATA'!$L338, "")</f>
        <v/>
      </c>
      <c r="C338" s="18" t="str">
        <f>IF(AND('RAW DATA'!$L338&lt;&gt;"", 'RAW DATA'!$M338&lt;&gt;"",  'RAW DATA'!$J338="",  'RAW DATA'!$K338="", LEFT('RAW DATA'!$M338,17)&lt;&gt;"Oceanic Endeavour"), 'RAW DATA'!$M338, "")</f>
        <v/>
      </c>
      <c r="D338" s="19" t="str">
        <f t="shared" si="5"/>
        <v/>
      </c>
    </row>
    <row r="339" spans="2:4" x14ac:dyDescent="0.25">
      <c r="B339" s="18" t="str">
        <f>IF(AND('RAW DATA'!$L339&lt;&gt;"", 'RAW DATA'!$M339&lt;&gt;"",  'RAW DATA'!$J339="",  'RAW DATA'!$K339="", LEFT('RAW DATA'!$M339,17)&lt;&gt;"Oceanic Endeavour"), 'RAW DATA'!$L339, "")</f>
        <v/>
      </c>
      <c r="C339" s="18" t="str">
        <f>IF(AND('RAW DATA'!$L339&lt;&gt;"", 'RAW DATA'!$M339&lt;&gt;"",  'RAW DATA'!$J339="",  'RAW DATA'!$K339="", LEFT('RAW DATA'!$M339,17)&lt;&gt;"Oceanic Endeavour"), 'RAW DATA'!$M339, "")</f>
        <v/>
      </c>
      <c r="D339" s="19" t="str">
        <f t="shared" si="5"/>
        <v/>
      </c>
    </row>
    <row r="340" spans="2:4" x14ac:dyDescent="0.25">
      <c r="B340" s="18" t="str">
        <f>IF(AND('RAW DATA'!$L340&lt;&gt;"", 'RAW DATA'!$M340&lt;&gt;"",  'RAW DATA'!$J340="",  'RAW DATA'!$K340="", LEFT('RAW DATA'!$M340,17)&lt;&gt;"Oceanic Endeavour"), 'RAW DATA'!$L340, "")</f>
        <v/>
      </c>
      <c r="C340" s="18" t="str">
        <f>IF(AND('RAW DATA'!$L340&lt;&gt;"", 'RAW DATA'!$M340&lt;&gt;"",  'RAW DATA'!$J340="",  'RAW DATA'!$K340="", LEFT('RAW DATA'!$M340,17)&lt;&gt;"Oceanic Endeavour"), 'RAW DATA'!$M340, "")</f>
        <v/>
      </c>
      <c r="D340" s="19" t="str">
        <f t="shared" si="5"/>
        <v/>
      </c>
    </row>
    <row r="341" spans="2:4" x14ac:dyDescent="0.25">
      <c r="B341" s="18" t="str">
        <f>IF(AND('RAW DATA'!$L341&lt;&gt;"", 'RAW DATA'!$M341&lt;&gt;"",  'RAW DATA'!$J341="",  'RAW DATA'!$K341="", LEFT('RAW DATA'!$M341,17)&lt;&gt;"Oceanic Endeavour"), 'RAW DATA'!$L341, "")</f>
        <v/>
      </c>
      <c r="C341" s="18" t="str">
        <f>IF(AND('RAW DATA'!$L341&lt;&gt;"", 'RAW DATA'!$M341&lt;&gt;"",  'RAW DATA'!$J341="",  'RAW DATA'!$K341="", LEFT('RAW DATA'!$M341,17)&lt;&gt;"Oceanic Endeavour"), 'RAW DATA'!$M341, "")</f>
        <v/>
      </c>
      <c r="D341" s="19" t="str">
        <f t="shared" si="5"/>
        <v/>
      </c>
    </row>
    <row r="342" spans="2:4" x14ac:dyDescent="0.25">
      <c r="B342" s="18" t="str">
        <f>IF(AND('RAW DATA'!$L342&lt;&gt;"", 'RAW DATA'!$M342&lt;&gt;"",  'RAW DATA'!$J342="",  'RAW DATA'!$K342="", LEFT('RAW DATA'!$M342,17)&lt;&gt;"Oceanic Endeavour"), 'RAW DATA'!$L342, "")</f>
        <v/>
      </c>
      <c r="C342" s="18" t="str">
        <f>IF(AND('RAW DATA'!$L342&lt;&gt;"", 'RAW DATA'!$M342&lt;&gt;"",  'RAW DATA'!$J342="",  'RAW DATA'!$K342="", LEFT('RAW DATA'!$M342,17)&lt;&gt;"Oceanic Endeavour"), 'RAW DATA'!$M342, "")</f>
        <v/>
      </c>
      <c r="D342" s="19" t="str">
        <f t="shared" si="5"/>
        <v/>
      </c>
    </row>
    <row r="343" spans="2:4" x14ac:dyDescent="0.25">
      <c r="B343" s="18" t="str">
        <f>IF(AND('RAW DATA'!$L343&lt;&gt;"", 'RAW DATA'!$M343&lt;&gt;"",  'RAW DATA'!$J343="",  'RAW DATA'!$K343="", LEFT('RAW DATA'!$M343,17)&lt;&gt;"Oceanic Endeavour"), 'RAW DATA'!$L343, "")</f>
        <v/>
      </c>
      <c r="C343" s="18" t="str">
        <f>IF(AND('RAW DATA'!$L343&lt;&gt;"", 'RAW DATA'!$M343&lt;&gt;"",  'RAW DATA'!$J343="",  'RAW DATA'!$K343="", LEFT('RAW DATA'!$M343,17)&lt;&gt;"Oceanic Endeavour"), 'RAW DATA'!$M343, "")</f>
        <v/>
      </c>
      <c r="D343" s="19" t="str">
        <f t="shared" si="5"/>
        <v/>
      </c>
    </row>
    <row r="344" spans="2:4" x14ac:dyDescent="0.25">
      <c r="B344" s="18" t="str">
        <f>IF(AND('RAW DATA'!$L344&lt;&gt;"", 'RAW DATA'!$M344&lt;&gt;"",  'RAW DATA'!$J344="",  'RAW DATA'!$K344="", LEFT('RAW DATA'!$M344,17)&lt;&gt;"Oceanic Endeavour"), 'RAW DATA'!$L344, "")</f>
        <v/>
      </c>
      <c r="C344" s="18" t="str">
        <f>IF(AND('RAW DATA'!$L344&lt;&gt;"", 'RAW DATA'!$M344&lt;&gt;"",  'RAW DATA'!$J344="",  'RAW DATA'!$K344="", LEFT('RAW DATA'!$M344,17)&lt;&gt;"Oceanic Endeavour"), 'RAW DATA'!$M344, "")</f>
        <v/>
      </c>
      <c r="D344" s="19" t="str">
        <f t="shared" si="5"/>
        <v/>
      </c>
    </row>
    <row r="345" spans="2:4" x14ac:dyDescent="0.25">
      <c r="B345" s="18" t="str">
        <f>IF(AND('RAW DATA'!$L345&lt;&gt;"", 'RAW DATA'!$M345&lt;&gt;"",  'RAW DATA'!$J345="",  'RAW DATA'!$K345="", LEFT('RAW DATA'!$M345,17)&lt;&gt;"Oceanic Endeavour"), 'RAW DATA'!$L345, "")</f>
        <v/>
      </c>
      <c r="C345" s="18" t="str">
        <f>IF(AND('RAW DATA'!$L345&lt;&gt;"", 'RAW DATA'!$M345&lt;&gt;"",  'RAW DATA'!$J345="",  'RAW DATA'!$K345="", LEFT('RAW DATA'!$M345,17)&lt;&gt;"Oceanic Endeavour"), 'RAW DATA'!$M345, "")</f>
        <v/>
      </c>
      <c r="D345" s="19" t="str">
        <f t="shared" si="5"/>
        <v/>
      </c>
    </row>
    <row r="346" spans="2:4" x14ac:dyDescent="0.25">
      <c r="B346" s="18" t="str">
        <f>IF(AND('RAW DATA'!$L346&lt;&gt;"", 'RAW DATA'!$M346&lt;&gt;"",  'RAW DATA'!$J346="",  'RAW DATA'!$K346="", LEFT('RAW DATA'!$M346,17)&lt;&gt;"Oceanic Endeavour"), 'RAW DATA'!$L346, "")</f>
        <v/>
      </c>
      <c r="C346" s="18" t="str">
        <f>IF(AND('RAW DATA'!$L346&lt;&gt;"", 'RAW DATA'!$M346&lt;&gt;"",  'RAW DATA'!$J346="",  'RAW DATA'!$K346="", LEFT('RAW DATA'!$M346,17)&lt;&gt;"Oceanic Endeavour"), 'RAW DATA'!$M346, "")</f>
        <v/>
      </c>
      <c r="D346" s="19" t="str">
        <f t="shared" si="5"/>
        <v/>
      </c>
    </row>
    <row r="347" spans="2:4" x14ac:dyDescent="0.25">
      <c r="B347" s="18" t="str">
        <f>IF(AND('RAW DATA'!$L347&lt;&gt;"", 'RAW DATA'!$M347&lt;&gt;"",  'RAW DATA'!$J347="",  'RAW DATA'!$K347="", LEFT('RAW DATA'!$M347,17)&lt;&gt;"Oceanic Endeavour"), 'RAW DATA'!$L347, "")</f>
        <v/>
      </c>
      <c r="C347" s="18" t="str">
        <f>IF(AND('RAW DATA'!$L347&lt;&gt;"", 'RAW DATA'!$M347&lt;&gt;"",  'RAW DATA'!$J347="",  'RAW DATA'!$K347="", LEFT('RAW DATA'!$M347,17)&lt;&gt;"Oceanic Endeavour"), 'RAW DATA'!$M347, "")</f>
        <v/>
      </c>
      <c r="D347" s="19" t="str">
        <f t="shared" si="5"/>
        <v/>
      </c>
    </row>
    <row r="348" spans="2:4" x14ac:dyDescent="0.25">
      <c r="B348" s="18" t="str">
        <f>IF(AND('RAW DATA'!$L348&lt;&gt;"", 'RAW DATA'!$M348&lt;&gt;"",  'RAW DATA'!$J348="",  'RAW DATA'!$K348="", LEFT('RAW DATA'!$M348,17)&lt;&gt;"Oceanic Endeavour"), 'RAW DATA'!$L348, "")</f>
        <v/>
      </c>
      <c r="C348" s="18" t="str">
        <f>IF(AND('RAW DATA'!$L348&lt;&gt;"", 'RAW DATA'!$M348&lt;&gt;"",  'RAW DATA'!$J348="",  'RAW DATA'!$K348="", LEFT('RAW DATA'!$M348,17)&lt;&gt;"Oceanic Endeavour"), 'RAW DATA'!$M348, "")</f>
        <v/>
      </c>
      <c r="D348" s="19" t="str">
        <f t="shared" si="5"/>
        <v/>
      </c>
    </row>
    <row r="349" spans="2:4" x14ac:dyDescent="0.25">
      <c r="B349" s="18" t="str">
        <f>IF(AND('RAW DATA'!$L349&lt;&gt;"", 'RAW DATA'!$M349&lt;&gt;"",  'RAW DATA'!$J349="",  'RAW DATA'!$K349="", LEFT('RAW DATA'!$M349,17)&lt;&gt;"Oceanic Endeavour"), 'RAW DATA'!$L349, "")</f>
        <v/>
      </c>
      <c r="C349" s="18" t="str">
        <f>IF(AND('RAW DATA'!$L349&lt;&gt;"", 'RAW DATA'!$M349&lt;&gt;"",  'RAW DATA'!$J349="",  'RAW DATA'!$K349="", LEFT('RAW DATA'!$M349,17)&lt;&gt;"Oceanic Endeavour"), 'RAW DATA'!$M349, "")</f>
        <v/>
      </c>
      <c r="D349" s="19" t="str">
        <f t="shared" si="5"/>
        <v/>
      </c>
    </row>
    <row r="350" spans="2:4" x14ac:dyDescent="0.25">
      <c r="B350" s="18" t="str">
        <f>IF(AND('RAW DATA'!$L350&lt;&gt;"", 'RAW DATA'!$M350&lt;&gt;"",  'RAW DATA'!$J350="",  'RAW DATA'!$K350="", LEFT('RAW DATA'!$M350,17)&lt;&gt;"Oceanic Endeavour"), 'RAW DATA'!$L350, "")</f>
        <v/>
      </c>
      <c r="C350" s="18" t="str">
        <f>IF(AND('RAW DATA'!$L350&lt;&gt;"", 'RAW DATA'!$M350&lt;&gt;"",  'RAW DATA'!$J350="",  'RAW DATA'!$K350="", LEFT('RAW DATA'!$M350,17)&lt;&gt;"Oceanic Endeavour"), 'RAW DATA'!$M350, "")</f>
        <v/>
      </c>
      <c r="D350" s="19" t="str">
        <f t="shared" si="5"/>
        <v/>
      </c>
    </row>
    <row r="351" spans="2:4" x14ac:dyDescent="0.25">
      <c r="B351" s="18" t="str">
        <f>IF(AND('RAW DATA'!$L351&lt;&gt;"", 'RAW DATA'!$M351&lt;&gt;"",  'RAW DATA'!$J351="",  'RAW DATA'!$K351="", LEFT('RAW DATA'!$M351,17)&lt;&gt;"Oceanic Endeavour"), 'RAW DATA'!$L351, "")</f>
        <v/>
      </c>
      <c r="C351" s="18" t="str">
        <f>IF(AND('RAW DATA'!$L351&lt;&gt;"", 'RAW DATA'!$M351&lt;&gt;"",  'RAW DATA'!$J351="",  'RAW DATA'!$K351="", LEFT('RAW DATA'!$M351,17)&lt;&gt;"Oceanic Endeavour"), 'RAW DATA'!$M351, "")</f>
        <v/>
      </c>
      <c r="D351" s="19" t="str">
        <f t="shared" si="5"/>
        <v/>
      </c>
    </row>
    <row r="352" spans="2:4" x14ac:dyDescent="0.25">
      <c r="B352" s="18" t="str">
        <f>IF(AND('RAW DATA'!$L352&lt;&gt;"", 'RAW DATA'!$M352&lt;&gt;"",  'RAW DATA'!$J352="",  'RAW DATA'!$K352="", LEFT('RAW DATA'!$M352,17)&lt;&gt;"Oceanic Endeavour"), 'RAW DATA'!$L352, "")</f>
        <v/>
      </c>
      <c r="C352" s="18" t="str">
        <f>IF(AND('RAW DATA'!$L352&lt;&gt;"", 'RAW DATA'!$M352&lt;&gt;"",  'RAW DATA'!$J352="",  'RAW DATA'!$K352="", LEFT('RAW DATA'!$M352,17)&lt;&gt;"Oceanic Endeavour"), 'RAW DATA'!$M352, "")</f>
        <v/>
      </c>
      <c r="D352" s="19" t="str">
        <f t="shared" si="5"/>
        <v/>
      </c>
    </row>
    <row r="353" spans="2:4" x14ac:dyDescent="0.25">
      <c r="B353" s="18" t="str">
        <f>IF(AND('RAW DATA'!$L353&lt;&gt;"", 'RAW DATA'!$M353&lt;&gt;"",  'RAW DATA'!$J353="",  'RAW DATA'!$K353="", LEFT('RAW DATA'!$M353,17)&lt;&gt;"Oceanic Endeavour"), 'RAW DATA'!$L353, "")</f>
        <v/>
      </c>
      <c r="C353" s="18" t="str">
        <f>IF(AND('RAW DATA'!$L353&lt;&gt;"", 'RAW DATA'!$M353&lt;&gt;"",  'RAW DATA'!$J353="",  'RAW DATA'!$K353="", LEFT('RAW DATA'!$M353,17)&lt;&gt;"Oceanic Endeavour"), 'RAW DATA'!$M353, "")</f>
        <v/>
      </c>
      <c r="D353" s="19" t="str">
        <f t="shared" si="5"/>
        <v/>
      </c>
    </row>
    <row r="354" spans="2:4" x14ac:dyDescent="0.25">
      <c r="B354" s="18" t="str">
        <f>IF(AND('RAW DATA'!$L354&lt;&gt;"", 'RAW DATA'!$M354&lt;&gt;"",  'RAW DATA'!$J354="",  'RAW DATA'!$K354="", LEFT('RAW DATA'!$M354,17)&lt;&gt;"Oceanic Endeavour"), 'RAW DATA'!$L354, "")</f>
        <v/>
      </c>
      <c r="C354" s="18" t="str">
        <f>IF(AND('RAW DATA'!$L354&lt;&gt;"", 'RAW DATA'!$M354&lt;&gt;"",  'RAW DATA'!$J354="",  'RAW DATA'!$K354="", LEFT('RAW DATA'!$M354,17)&lt;&gt;"Oceanic Endeavour"), 'RAW DATA'!$M354, "")</f>
        <v/>
      </c>
      <c r="D354" s="19" t="str">
        <f t="shared" si="5"/>
        <v/>
      </c>
    </row>
    <row r="355" spans="2:4" x14ac:dyDescent="0.25">
      <c r="B355" s="18" t="str">
        <f>IF(AND('RAW DATA'!$L355&lt;&gt;"", 'RAW DATA'!$M355&lt;&gt;"",  'RAW DATA'!$J355="",  'RAW DATA'!$K355="", LEFT('RAW DATA'!$M355,17)&lt;&gt;"Oceanic Endeavour"), 'RAW DATA'!$L355, "")</f>
        <v/>
      </c>
      <c r="C355" s="18" t="str">
        <f>IF(AND('RAW DATA'!$L355&lt;&gt;"", 'RAW DATA'!$M355&lt;&gt;"",  'RAW DATA'!$J355="",  'RAW DATA'!$K355="", LEFT('RAW DATA'!$M355,17)&lt;&gt;"Oceanic Endeavour"), 'RAW DATA'!$M355, "")</f>
        <v/>
      </c>
      <c r="D355" s="19" t="str">
        <f t="shared" si="5"/>
        <v/>
      </c>
    </row>
    <row r="356" spans="2:4" x14ac:dyDescent="0.25">
      <c r="B356" s="18" t="str">
        <f>IF(AND('RAW DATA'!$L356&lt;&gt;"", 'RAW DATA'!$M356&lt;&gt;"",  'RAW DATA'!$J356="",  'RAW DATA'!$K356="", LEFT('RAW DATA'!$M356,17)&lt;&gt;"Oceanic Endeavour"), 'RAW DATA'!$L356, "")</f>
        <v/>
      </c>
      <c r="C356" s="18" t="str">
        <f>IF(AND('RAW DATA'!$L356&lt;&gt;"", 'RAW DATA'!$M356&lt;&gt;"",  'RAW DATA'!$J356="",  'RAW DATA'!$K356="", LEFT('RAW DATA'!$M356,17)&lt;&gt;"Oceanic Endeavour"), 'RAW DATA'!$M356, "")</f>
        <v/>
      </c>
      <c r="D356" s="19" t="str">
        <f t="shared" si="5"/>
        <v/>
      </c>
    </row>
    <row r="357" spans="2:4" x14ac:dyDescent="0.25">
      <c r="B357" s="18" t="str">
        <f>IF(AND('RAW DATA'!$L357&lt;&gt;"", 'RAW DATA'!$M357&lt;&gt;"",  'RAW DATA'!$J357="",  'RAW DATA'!$K357="", LEFT('RAW DATA'!$M357,17)&lt;&gt;"Oceanic Endeavour"), 'RAW DATA'!$L357, "")</f>
        <v/>
      </c>
      <c r="C357" s="18" t="str">
        <f>IF(AND('RAW DATA'!$L357&lt;&gt;"", 'RAW DATA'!$M357&lt;&gt;"",  'RAW DATA'!$J357="",  'RAW DATA'!$K357="", LEFT('RAW DATA'!$M357,17)&lt;&gt;"Oceanic Endeavour"), 'RAW DATA'!$M357, "")</f>
        <v/>
      </c>
      <c r="D357" s="19" t="str">
        <f t="shared" si="5"/>
        <v/>
      </c>
    </row>
    <row r="358" spans="2:4" x14ac:dyDescent="0.25">
      <c r="B358" s="18" t="str">
        <f>IF(AND('RAW DATA'!$L358&lt;&gt;"", 'RAW DATA'!$M358&lt;&gt;"",  'RAW DATA'!$J358="",  'RAW DATA'!$K358="", LEFT('RAW DATA'!$M358,17)&lt;&gt;"Oceanic Endeavour"), 'RAW DATA'!$L358, "")</f>
        <v/>
      </c>
      <c r="C358" s="18" t="str">
        <f>IF(AND('RAW DATA'!$L358&lt;&gt;"", 'RAW DATA'!$M358&lt;&gt;"",  'RAW DATA'!$J358="",  'RAW DATA'!$K358="", LEFT('RAW DATA'!$M358,17)&lt;&gt;"Oceanic Endeavour"), 'RAW DATA'!$M358, "")</f>
        <v/>
      </c>
      <c r="D358" s="19" t="str">
        <f t="shared" si="5"/>
        <v/>
      </c>
    </row>
    <row r="359" spans="2:4" x14ac:dyDescent="0.25">
      <c r="B359" s="18" t="str">
        <f>IF(AND('RAW DATA'!$L359&lt;&gt;"", 'RAW DATA'!$M359&lt;&gt;"",  'RAW DATA'!$J359="",  'RAW DATA'!$K359="", LEFT('RAW DATA'!$M359,17)&lt;&gt;"Oceanic Endeavour"), 'RAW DATA'!$L359, "")</f>
        <v/>
      </c>
      <c r="C359" s="18" t="str">
        <f>IF(AND('RAW DATA'!$L359&lt;&gt;"", 'RAW DATA'!$M359&lt;&gt;"",  'RAW DATA'!$J359="",  'RAW DATA'!$K359="", LEFT('RAW DATA'!$M359,17)&lt;&gt;"Oceanic Endeavour"), 'RAW DATA'!$M359, "")</f>
        <v/>
      </c>
      <c r="D359" s="19" t="str">
        <f t="shared" si="5"/>
        <v/>
      </c>
    </row>
    <row r="360" spans="2:4" x14ac:dyDescent="0.25">
      <c r="B360" s="18" t="str">
        <f>IF(AND('RAW DATA'!$L360&lt;&gt;"", 'RAW DATA'!$M360&lt;&gt;"",  'RAW DATA'!$J360="",  'RAW DATA'!$K360="", LEFT('RAW DATA'!$M360,17)&lt;&gt;"Oceanic Endeavour"), 'RAW DATA'!$L360, "")</f>
        <v/>
      </c>
      <c r="C360" s="18" t="str">
        <f>IF(AND('RAW DATA'!$L360&lt;&gt;"", 'RAW DATA'!$M360&lt;&gt;"",  'RAW DATA'!$J360="",  'RAW DATA'!$K360="", LEFT('RAW DATA'!$M360,17)&lt;&gt;"Oceanic Endeavour"), 'RAW DATA'!$M360, "")</f>
        <v/>
      </c>
      <c r="D360" s="19" t="str">
        <f t="shared" si="5"/>
        <v/>
      </c>
    </row>
    <row r="361" spans="2:4" x14ac:dyDescent="0.25">
      <c r="B361" s="18" t="str">
        <f>IF(AND('RAW DATA'!$L361&lt;&gt;"", 'RAW DATA'!$M361&lt;&gt;"",  'RAW DATA'!$J361="",  'RAW DATA'!$K361="", LEFT('RAW DATA'!$M361,17)&lt;&gt;"Oceanic Endeavour"), 'RAW DATA'!$L361, "")</f>
        <v/>
      </c>
      <c r="C361" s="18" t="str">
        <f>IF(AND('RAW DATA'!$L361&lt;&gt;"", 'RAW DATA'!$M361&lt;&gt;"",  'RAW DATA'!$J361="",  'RAW DATA'!$K361="", LEFT('RAW DATA'!$M361,17)&lt;&gt;"Oceanic Endeavour"), 'RAW DATA'!$M361, "")</f>
        <v/>
      </c>
      <c r="D361" s="19" t="str">
        <f t="shared" si="5"/>
        <v/>
      </c>
    </row>
    <row r="362" spans="2:4" x14ac:dyDescent="0.25">
      <c r="B362" s="18" t="str">
        <f>IF(AND('RAW DATA'!$L362&lt;&gt;"", 'RAW DATA'!$M362&lt;&gt;"",  'RAW DATA'!$J362="",  'RAW DATA'!$K362="", LEFT('RAW DATA'!$M362,17)&lt;&gt;"Oceanic Endeavour"), 'RAW DATA'!$L362, "")</f>
        <v/>
      </c>
      <c r="C362" s="18" t="str">
        <f>IF(AND('RAW DATA'!$L362&lt;&gt;"", 'RAW DATA'!$M362&lt;&gt;"",  'RAW DATA'!$J362="",  'RAW DATA'!$K362="", LEFT('RAW DATA'!$M362,17)&lt;&gt;"Oceanic Endeavour"), 'RAW DATA'!$M362, "")</f>
        <v/>
      </c>
      <c r="D362" s="19" t="str">
        <f t="shared" si="5"/>
        <v/>
      </c>
    </row>
    <row r="363" spans="2:4" x14ac:dyDescent="0.25">
      <c r="B363" s="18" t="str">
        <f>IF(AND('RAW DATA'!$L363&lt;&gt;"", 'RAW DATA'!$M363&lt;&gt;"",  'RAW DATA'!$J363="",  'RAW DATA'!$K363="", LEFT('RAW DATA'!$M363,17)&lt;&gt;"Oceanic Endeavour"), 'RAW DATA'!$L363, "")</f>
        <v/>
      </c>
      <c r="C363" s="18" t="str">
        <f>IF(AND('RAW DATA'!$L363&lt;&gt;"", 'RAW DATA'!$M363&lt;&gt;"",  'RAW DATA'!$J363="",  'RAW DATA'!$K363="", LEFT('RAW DATA'!$M363,17)&lt;&gt;"Oceanic Endeavour"), 'RAW DATA'!$M363, "")</f>
        <v/>
      </c>
      <c r="D363" s="19" t="str">
        <f t="shared" si="5"/>
        <v/>
      </c>
    </row>
    <row r="364" spans="2:4" x14ac:dyDescent="0.25">
      <c r="B364" s="18" t="str">
        <f>IF(AND('RAW DATA'!$L364&lt;&gt;"", 'RAW DATA'!$M364&lt;&gt;"",  'RAW DATA'!$J364="",  'RAW DATA'!$K364="", LEFT('RAW DATA'!$M364,17)&lt;&gt;"Oceanic Endeavour"), 'RAW DATA'!$L364, "")</f>
        <v/>
      </c>
      <c r="C364" s="18" t="str">
        <f>IF(AND('RAW DATA'!$L364&lt;&gt;"", 'RAW DATA'!$M364&lt;&gt;"",  'RAW DATA'!$J364="",  'RAW DATA'!$K364="", LEFT('RAW DATA'!$M364,17)&lt;&gt;"Oceanic Endeavour"), 'RAW DATA'!$M364, "")</f>
        <v/>
      </c>
      <c r="D364" s="19" t="str">
        <f t="shared" si="5"/>
        <v/>
      </c>
    </row>
    <row r="365" spans="2:4" x14ac:dyDescent="0.25">
      <c r="B365" s="18" t="str">
        <f>IF(AND('RAW DATA'!$L365&lt;&gt;"", 'RAW DATA'!$M365&lt;&gt;"",  'RAW DATA'!$J365="",  'RAW DATA'!$K365="", LEFT('RAW DATA'!$M365,17)&lt;&gt;"Oceanic Endeavour"), 'RAW DATA'!$L365, "")</f>
        <v/>
      </c>
      <c r="C365" s="18" t="str">
        <f>IF(AND('RAW DATA'!$L365&lt;&gt;"", 'RAW DATA'!$M365&lt;&gt;"",  'RAW DATA'!$J365="",  'RAW DATA'!$K365="", LEFT('RAW DATA'!$M365,17)&lt;&gt;"Oceanic Endeavour"), 'RAW DATA'!$M365, "")</f>
        <v/>
      </c>
      <c r="D365" s="19" t="str">
        <f t="shared" si="5"/>
        <v/>
      </c>
    </row>
    <row r="366" spans="2:4" x14ac:dyDescent="0.25">
      <c r="B366" s="18" t="str">
        <f>IF(AND('RAW DATA'!$L366&lt;&gt;"", 'RAW DATA'!$M366&lt;&gt;"",  'RAW DATA'!$J366="",  'RAW DATA'!$K366="", LEFT('RAW DATA'!$M366,17)&lt;&gt;"Oceanic Endeavour"), 'RAW DATA'!$L366, "")</f>
        <v/>
      </c>
      <c r="C366" s="18" t="str">
        <f>IF(AND('RAW DATA'!$L366&lt;&gt;"", 'RAW DATA'!$M366&lt;&gt;"",  'RAW DATA'!$J366="",  'RAW DATA'!$K366="", LEFT('RAW DATA'!$M366,17)&lt;&gt;"Oceanic Endeavour"), 'RAW DATA'!$M366, "")</f>
        <v/>
      </c>
      <c r="D366" s="19" t="str">
        <f t="shared" si="5"/>
        <v/>
      </c>
    </row>
    <row r="367" spans="2:4" x14ac:dyDescent="0.25">
      <c r="B367" s="18" t="str">
        <f>IF(AND('RAW DATA'!$L367&lt;&gt;"", 'RAW DATA'!$M367&lt;&gt;"",  'RAW DATA'!$J367="",  'RAW DATA'!$K367="", LEFT('RAW DATA'!$M367,17)&lt;&gt;"Oceanic Endeavour"), 'RAW DATA'!$L367, "")</f>
        <v/>
      </c>
      <c r="C367" s="18" t="str">
        <f>IF(AND('RAW DATA'!$L367&lt;&gt;"", 'RAW DATA'!$M367&lt;&gt;"",  'RAW DATA'!$J367="",  'RAW DATA'!$K367="", LEFT('RAW DATA'!$M367,17)&lt;&gt;"Oceanic Endeavour"), 'RAW DATA'!$M367, "")</f>
        <v/>
      </c>
      <c r="D367" s="19" t="str">
        <f t="shared" si="5"/>
        <v/>
      </c>
    </row>
    <row r="368" spans="2:4" x14ac:dyDescent="0.25">
      <c r="B368" s="18" t="str">
        <f>IF(AND('RAW DATA'!$L368&lt;&gt;"", 'RAW DATA'!$M368&lt;&gt;"",  'RAW DATA'!$J368="",  'RAW DATA'!$K368="", LEFT('RAW DATA'!$M368,17)&lt;&gt;"Oceanic Endeavour"), 'RAW DATA'!$L368, "")</f>
        <v/>
      </c>
      <c r="C368" s="18" t="str">
        <f>IF(AND('RAW DATA'!$L368&lt;&gt;"", 'RAW DATA'!$M368&lt;&gt;"",  'RAW DATA'!$J368="",  'RAW DATA'!$K368="", LEFT('RAW DATA'!$M368,17)&lt;&gt;"Oceanic Endeavour"), 'RAW DATA'!$M368, "")</f>
        <v/>
      </c>
      <c r="D368" s="19" t="str">
        <f t="shared" si="5"/>
        <v/>
      </c>
    </row>
    <row r="369" spans="2:4" x14ac:dyDescent="0.25">
      <c r="B369" s="18" t="str">
        <f>IF(AND('RAW DATA'!$L369&lt;&gt;"", 'RAW DATA'!$M369&lt;&gt;"",  'RAW DATA'!$J369="",  'RAW DATA'!$K369="", LEFT('RAW DATA'!$M369,17)&lt;&gt;"Oceanic Endeavour"), 'RAW DATA'!$L369, "")</f>
        <v/>
      </c>
      <c r="C369" s="18" t="str">
        <f>IF(AND('RAW DATA'!$L369&lt;&gt;"", 'RAW DATA'!$M369&lt;&gt;"",  'RAW DATA'!$J369="",  'RAW DATA'!$K369="", LEFT('RAW DATA'!$M369,17)&lt;&gt;"Oceanic Endeavour"), 'RAW DATA'!$M369, "")</f>
        <v/>
      </c>
      <c r="D369" s="19" t="str">
        <f t="shared" si="5"/>
        <v/>
      </c>
    </row>
    <row r="370" spans="2:4" x14ac:dyDescent="0.25">
      <c r="B370" s="18" t="str">
        <f>IF(AND('RAW DATA'!$L370&lt;&gt;"", 'RAW DATA'!$M370&lt;&gt;"",  'RAW DATA'!$J370="",  'RAW DATA'!$K370="", LEFT('RAW DATA'!$M370,17)&lt;&gt;"Oceanic Endeavour"), 'RAW DATA'!$L370, "")</f>
        <v/>
      </c>
      <c r="C370" s="18" t="str">
        <f>IF(AND('RAW DATA'!$L370&lt;&gt;"", 'RAW DATA'!$M370&lt;&gt;"",  'RAW DATA'!$J370="",  'RAW DATA'!$K370="", LEFT('RAW DATA'!$M370,17)&lt;&gt;"Oceanic Endeavour"), 'RAW DATA'!$M370, "")</f>
        <v/>
      </c>
      <c r="D370" s="19" t="str">
        <f t="shared" si="5"/>
        <v/>
      </c>
    </row>
    <row r="371" spans="2:4" x14ac:dyDescent="0.25">
      <c r="B371" s="18" t="str">
        <f>IF(AND('RAW DATA'!$L371&lt;&gt;"", 'RAW DATA'!$M371&lt;&gt;"",  'RAW DATA'!$J371="",  'RAW DATA'!$K371="", LEFT('RAW DATA'!$M371,17)&lt;&gt;"Oceanic Endeavour"), 'RAW DATA'!$L371, "")</f>
        <v/>
      </c>
      <c r="C371" s="18" t="str">
        <f>IF(AND('RAW DATA'!$L371&lt;&gt;"", 'RAW DATA'!$M371&lt;&gt;"",  'RAW DATA'!$J371="",  'RAW DATA'!$K371="", LEFT('RAW DATA'!$M371,17)&lt;&gt;"Oceanic Endeavour"), 'RAW DATA'!$M371, "")</f>
        <v/>
      </c>
      <c r="D371" s="19" t="str">
        <f t="shared" si="5"/>
        <v/>
      </c>
    </row>
    <row r="372" spans="2:4" x14ac:dyDescent="0.25">
      <c r="B372" s="18" t="str">
        <f>IF(AND('RAW DATA'!$L372&lt;&gt;"", 'RAW DATA'!$M372&lt;&gt;"",  'RAW DATA'!$J372="",  'RAW DATA'!$K372="", LEFT('RAW DATA'!$M372,17)&lt;&gt;"Oceanic Endeavour"), 'RAW DATA'!$L372, "")</f>
        <v/>
      </c>
      <c r="C372" s="18" t="str">
        <f>IF(AND('RAW DATA'!$L372&lt;&gt;"", 'RAW DATA'!$M372&lt;&gt;"",  'RAW DATA'!$J372="",  'RAW DATA'!$K372="", LEFT('RAW DATA'!$M372,17)&lt;&gt;"Oceanic Endeavour"), 'RAW DATA'!$M372, "")</f>
        <v/>
      </c>
      <c r="D372" s="19" t="str">
        <f t="shared" si="5"/>
        <v/>
      </c>
    </row>
    <row r="373" spans="2:4" x14ac:dyDescent="0.25">
      <c r="B373" s="18" t="str">
        <f>IF(AND('RAW DATA'!$L373&lt;&gt;"", 'RAW DATA'!$M373&lt;&gt;"",  'RAW DATA'!$J373="",  'RAW DATA'!$K373="", LEFT('RAW DATA'!$M373,17)&lt;&gt;"Oceanic Endeavour"), 'RAW DATA'!$L373, "")</f>
        <v/>
      </c>
      <c r="C373" s="18" t="str">
        <f>IF(AND('RAW DATA'!$L373&lt;&gt;"", 'RAW DATA'!$M373&lt;&gt;"",  'RAW DATA'!$J373="",  'RAW DATA'!$K373="", LEFT('RAW DATA'!$M373,17)&lt;&gt;"Oceanic Endeavour"), 'RAW DATA'!$M373, "")</f>
        <v/>
      </c>
      <c r="D373" s="19" t="str">
        <f t="shared" si="5"/>
        <v/>
      </c>
    </row>
    <row r="374" spans="2:4" x14ac:dyDescent="0.25">
      <c r="B374" s="18" t="str">
        <f>IF(AND('RAW DATA'!$L374&lt;&gt;"", 'RAW DATA'!$M374&lt;&gt;"",  'RAW DATA'!$J374="",  'RAW DATA'!$K374="", LEFT('RAW DATA'!$M374,17)&lt;&gt;"Oceanic Endeavour"), 'RAW DATA'!$L374, "")</f>
        <v/>
      </c>
      <c r="C374" s="18" t="str">
        <f>IF(AND('RAW DATA'!$L374&lt;&gt;"", 'RAW DATA'!$M374&lt;&gt;"",  'RAW DATA'!$J374="",  'RAW DATA'!$K374="", LEFT('RAW DATA'!$M374,17)&lt;&gt;"Oceanic Endeavour"), 'RAW DATA'!$M374, "")</f>
        <v/>
      </c>
      <c r="D374" s="19" t="str">
        <f t="shared" si="5"/>
        <v/>
      </c>
    </row>
    <row r="375" spans="2:4" x14ac:dyDescent="0.25">
      <c r="B375" s="18" t="str">
        <f>IF(AND('RAW DATA'!$L375&lt;&gt;"", 'RAW DATA'!$M375&lt;&gt;"",  'RAW DATA'!$J375="",  'RAW DATA'!$K375="", LEFT('RAW DATA'!$M375,17)&lt;&gt;"Oceanic Endeavour"), 'RAW DATA'!$L375, "")</f>
        <v/>
      </c>
      <c r="C375" s="18" t="str">
        <f>IF(AND('RAW DATA'!$L375&lt;&gt;"", 'RAW DATA'!$M375&lt;&gt;"",  'RAW DATA'!$J375="",  'RAW DATA'!$K375="", LEFT('RAW DATA'!$M375,17)&lt;&gt;"Oceanic Endeavour"), 'RAW DATA'!$M375, "")</f>
        <v/>
      </c>
      <c r="D375" s="19" t="str">
        <f t="shared" si="5"/>
        <v/>
      </c>
    </row>
    <row r="376" spans="2:4" x14ac:dyDescent="0.25">
      <c r="B376" s="18" t="str">
        <f>IF(AND('RAW DATA'!$L376&lt;&gt;"", 'RAW DATA'!$M376&lt;&gt;"",  'RAW DATA'!$J376="",  'RAW DATA'!$K376="", LEFT('RAW DATA'!$M376,17)&lt;&gt;"Oceanic Endeavour"), 'RAW DATA'!$L376, "")</f>
        <v/>
      </c>
      <c r="C376" s="18" t="str">
        <f>IF(AND('RAW DATA'!$L376&lt;&gt;"", 'RAW DATA'!$M376&lt;&gt;"",  'RAW DATA'!$J376="",  'RAW DATA'!$K376="", LEFT('RAW DATA'!$M376,17)&lt;&gt;"Oceanic Endeavour"), 'RAW DATA'!$M376, "")</f>
        <v/>
      </c>
      <c r="D376" s="19" t="str">
        <f t="shared" si="5"/>
        <v/>
      </c>
    </row>
    <row r="377" spans="2:4" x14ac:dyDescent="0.25">
      <c r="B377" s="18" t="str">
        <f>IF(AND('RAW DATA'!$L377&lt;&gt;"", 'RAW DATA'!$M377&lt;&gt;"",  'RAW DATA'!$J377="",  'RAW DATA'!$K377="", LEFT('RAW DATA'!$M377,17)&lt;&gt;"Oceanic Endeavour"), 'RAW DATA'!$L377, "")</f>
        <v/>
      </c>
      <c r="C377" s="18" t="str">
        <f>IF(AND('RAW DATA'!$L377&lt;&gt;"", 'RAW DATA'!$M377&lt;&gt;"",  'RAW DATA'!$J377="",  'RAW DATA'!$K377="", LEFT('RAW DATA'!$M377,17)&lt;&gt;"Oceanic Endeavour"), 'RAW DATA'!$M377, "")</f>
        <v/>
      </c>
      <c r="D377" s="19" t="str">
        <f t="shared" si="5"/>
        <v/>
      </c>
    </row>
    <row r="378" spans="2:4" x14ac:dyDescent="0.25">
      <c r="B378" s="18" t="str">
        <f>IF(AND('RAW DATA'!$L378&lt;&gt;"", 'RAW DATA'!$M378&lt;&gt;"",  'RAW DATA'!$J378="",  'RAW DATA'!$K378="", LEFT('RAW DATA'!$M378,17)&lt;&gt;"Oceanic Endeavour"), 'RAW DATA'!$L378, "")</f>
        <v/>
      </c>
      <c r="C378" s="18" t="str">
        <f>IF(AND('RAW DATA'!$L378&lt;&gt;"", 'RAW DATA'!$M378&lt;&gt;"",  'RAW DATA'!$J378="",  'RAW DATA'!$K378="", LEFT('RAW DATA'!$M378,17)&lt;&gt;"Oceanic Endeavour"), 'RAW DATA'!$M378, "")</f>
        <v/>
      </c>
      <c r="D378" s="19" t="str">
        <f t="shared" si="5"/>
        <v/>
      </c>
    </row>
    <row r="379" spans="2:4" x14ac:dyDescent="0.25">
      <c r="B379" s="18" t="str">
        <f>IF(AND('RAW DATA'!$L379&lt;&gt;"", 'RAW DATA'!$M379&lt;&gt;"",  'RAW DATA'!$J379="",  'RAW DATA'!$K379="", LEFT('RAW DATA'!$M379,17)&lt;&gt;"Oceanic Endeavour"), 'RAW DATA'!$L379, "")</f>
        <v/>
      </c>
      <c r="C379" s="18" t="str">
        <f>IF(AND('RAW DATA'!$L379&lt;&gt;"", 'RAW DATA'!$M379&lt;&gt;"",  'RAW DATA'!$J379="",  'RAW DATA'!$K379="", LEFT('RAW DATA'!$M379,17)&lt;&gt;"Oceanic Endeavour"), 'RAW DATA'!$M379, "")</f>
        <v/>
      </c>
      <c r="D379" s="19" t="str">
        <f t="shared" si="5"/>
        <v/>
      </c>
    </row>
    <row r="380" spans="2:4" x14ac:dyDescent="0.25">
      <c r="B380" s="18" t="str">
        <f>IF(AND('RAW DATA'!$L380&lt;&gt;"", 'RAW DATA'!$M380&lt;&gt;"",  'RAW DATA'!$J380="",  'RAW DATA'!$K380="", LEFT('RAW DATA'!$M380,17)&lt;&gt;"Oceanic Endeavour"), 'RAW DATA'!$L380, "")</f>
        <v/>
      </c>
      <c r="C380" s="18" t="str">
        <f>IF(AND('RAW DATA'!$L380&lt;&gt;"", 'RAW DATA'!$M380&lt;&gt;"",  'RAW DATA'!$J380="",  'RAW DATA'!$K380="", LEFT('RAW DATA'!$M380,17)&lt;&gt;"Oceanic Endeavour"), 'RAW DATA'!$M380, "")</f>
        <v/>
      </c>
      <c r="D380" s="19" t="str">
        <f t="shared" si="5"/>
        <v/>
      </c>
    </row>
    <row r="381" spans="2:4" x14ac:dyDescent="0.25">
      <c r="B381" s="18" t="str">
        <f>IF(AND('RAW DATA'!$L381&lt;&gt;"", 'RAW DATA'!$M381&lt;&gt;"",  'RAW DATA'!$J381="",  'RAW DATA'!$K381="", LEFT('RAW DATA'!$M381,17)&lt;&gt;"Oceanic Endeavour"), 'RAW DATA'!$L381, "")</f>
        <v/>
      </c>
      <c r="C381" s="18" t="str">
        <f>IF(AND('RAW DATA'!$L381&lt;&gt;"", 'RAW DATA'!$M381&lt;&gt;"",  'RAW DATA'!$J381="",  'RAW DATA'!$K381="", LEFT('RAW DATA'!$M381,17)&lt;&gt;"Oceanic Endeavour"), 'RAW DATA'!$M381, "")</f>
        <v/>
      </c>
      <c r="D381" s="19" t="str">
        <f t="shared" si="5"/>
        <v/>
      </c>
    </row>
    <row r="382" spans="2:4" x14ac:dyDescent="0.25">
      <c r="B382" s="18" t="str">
        <f>IF(AND('RAW DATA'!$L382&lt;&gt;"", 'RAW DATA'!$M382&lt;&gt;"",  'RAW DATA'!$J382="",  'RAW DATA'!$K382="", LEFT('RAW DATA'!$M382,17)&lt;&gt;"Oceanic Endeavour"), 'RAW DATA'!$L382, "")</f>
        <v/>
      </c>
      <c r="C382" s="18" t="str">
        <f>IF(AND('RAW DATA'!$L382&lt;&gt;"", 'RAW DATA'!$M382&lt;&gt;"",  'RAW DATA'!$J382="",  'RAW DATA'!$K382="", LEFT('RAW DATA'!$M382,17)&lt;&gt;"Oceanic Endeavour"), 'RAW DATA'!$M382, "")</f>
        <v/>
      </c>
      <c r="D382" s="19" t="str">
        <f t="shared" si="5"/>
        <v/>
      </c>
    </row>
    <row r="383" spans="2:4" x14ac:dyDescent="0.25">
      <c r="B383" s="18" t="str">
        <f>IF(AND('RAW DATA'!$L383&lt;&gt;"", 'RAW DATA'!$M383&lt;&gt;"",  'RAW DATA'!$J383="",  'RAW DATA'!$K383="", LEFT('RAW DATA'!$M383,17)&lt;&gt;"Oceanic Endeavour"), 'RAW DATA'!$L383, "")</f>
        <v/>
      </c>
      <c r="C383" s="18" t="str">
        <f>IF(AND('RAW DATA'!$L383&lt;&gt;"", 'RAW DATA'!$M383&lt;&gt;"",  'RAW DATA'!$J383="",  'RAW DATA'!$K383="", LEFT('RAW DATA'!$M383,17)&lt;&gt;"Oceanic Endeavour"), 'RAW DATA'!$M383, "")</f>
        <v/>
      </c>
      <c r="D383" s="19" t="str">
        <f t="shared" si="5"/>
        <v/>
      </c>
    </row>
    <row r="384" spans="2:4" x14ac:dyDescent="0.25">
      <c r="B384" s="18" t="str">
        <f>IF(AND('RAW DATA'!$L384&lt;&gt;"", 'RAW DATA'!$M384&lt;&gt;"",  'RAW DATA'!$J384="",  'RAW DATA'!$K384="", LEFT('RAW DATA'!$M384,17)&lt;&gt;"Oceanic Endeavour"), 'RAW DATA'!$L384, "")</f>
        <v/>
      </c>
      <c r="C384" s="18" t="str">
        <f>IF(AND('RAW DATA'!$L384&lt;&gt;"", 'RAW DATA'!$M384&lt;&gt;"",  'RAW DATA'!$J384="",  'RAW DATA'!$K384="", LEFT('RAW DATA'!$M384,17)&lt;&gt;"Oceanic Endeavour"), 'RAW DATA'!$M384, "")</f>
        <v/>
      </c>
      <c r="D384" s="19" t="str">
        <f t="shared" si="5"/>
        <v/>
      </c>
    </row>
    <row r="385" spans="2:4" x14ac:dyDescent="0.25">
      <c r="B385" s="18" t="str">
        <f>IF(AND('RAW DATA'!$L385&lt;&gt;"", 'RAW DATA'!$M385&lt;&gt;"",  'RAW DATA'!$J385="",  'RAW DATA'!$K385="", LEFT('RAW DATA'!$M385,17)&lt;&gt;"Oceanic Endeavour"), 'RAW DATA'!$L385, "")</f>
        <v/>
      </c>
      <c r="C385" s="18" t="str">
        <f>IF(AND('RAW DATA'!$L385&lt;&gt;"", 'RAW DATA'!$M385&lt;&gt;"",  'RAW DATA'!$J385="",  'RAW DATA'!$K385="", LEFT('RAW DATA'!$M385,17)&lt;&gt;"Oceanic Endeavour"), 'RAW DATA'!$M385, "")</f>
        <v/>
      </c>
      <c r="D385" s="19" t="str">
        <f t="shared" si="5"/>
        <v/>
      </c>
    </row>
    <row r="386" spans="2:4" x14ac:dyDescent="0.25">
      <c r="B386" s="18" t="str">
        <f>IF(AND('RAW DATA'!$L386&lt;&gt;"", 'RAW DATA'!$M386&lt;&gt;"",  'RAW DATA'!$J386="",  'RAW DATA'!$K386="", LEFT('RAW DATA'!$M386,17)&lt;&gt;"Oceanic Endeavour"), 'RAW DATA'!$L386, "")</f>
        <v/>
      </c>
      <c r="C386" s="18" t="str">
        <f>IF(AND('RAW DATA'!$L386&lt;&gt;"", 'RAW DATA'!$M386&lt;&gt;"",  'RAW DATA'!$J386="",  'RAW DATA'!$K386="", LEFT('RAW DATA'!$M386,17)&lt;&gt;"Oceanic Endeavour"), 'RAW DATA'!$M386, "")</f>
        <v/>
      </c>
      <c r="D386" s="19" t="str">
        <f t="shared" si="5"/>
        <v/>
      </c>
    </row>
    <row r="387" spans="2:4" x14ac:dyDescent="0.25">
      <c r="B387" s="18" t="str">
        <f>IF(AND('RAW DATA'!$L387&lt;&gt;"", 'RAW DATA'!$M387&lt;&gt;"",  'RAW DATA'!$J387="",  'RAW DATA'!$K387="", LEFT('RAW DATA'!$M387,17)&lt;&gt;"Oceanic Endeavour"), 'RAW DATA'!$L387, "")</f>
        <v/>
      </c>
      <c r="C387" s="18" t="str">
        <f>IF(AND('RAW DATA'!$L387&lt;&gt;"", 'RAW DATA'!$M387&lt;&gt;"",  'RAW DATA'!$J387="",  'RAW DATA'!$K387="", LEFT('RAW DATA'!$M387,17)&lt;&gt;"Oceanic Endeavour"), 'RAW DATA'!$M387, "")</f>
        <v/>
      </c>
      <c r="D387" s="19" t="str">
        <f t="shared" si="5"/>
        <v/>
      </c>
    </row>
    <row r="388" spans="2:4" x14ac:dyDescent="0.25">
      <c r="B388" s="18" t="str">
        <f>IF(AND('RAW DATA'!$L388&lt;&gt;"", 'RAW DATA'!$M388&lt;&gt;"",  'RAW DATA'!$J388="",  'RAW DATA'!$K388="", LEFT('RAW DATA'!$M388,17)&lt;&gt;"Oceanic Endeavour"), 'RAW DATA'!$L388, "")</f>
        <v/>
      </c>
      <c r="C388" s="18" t="str">
        <f>IF(AND('RAW DATA'!$L388&lt;&gt;"", 'RAW DATA'!$M388&lt;&gt;"",  'RAW DATA'!$J388="",  'RAW DATA'!$K388="", LEFT('RAW DATA'!$M388,17)&lt;&gt;"Oceanic Endeavour"), 'RAW DATA'!$M388, "")</f>
        <v/>
      </c>
      <c r="D388" s="19" t="str">
        <f t="shared" si="5"/>
        <v/>
      </c>
    </row>
    <row r="389" spans="2:4" x14ac:dyDescent="0.25">
      <c r="B389" s="18" t="str">
        <f>IF(AND('RAW DATA'!$L389&lt;&gt;"", 'RAW DATA'!$M389&lt;&gt;"",  'RAW DATA'!$J389="",  'RAW DATA'!$K389="", LEFT('RAW DATA'!$M389,17)&lt;&gt;"Oceanic Endeavour"), 'RAW DATA'!$L389, "")</f>
        <v/>
      </c>
      <c r="C389" s="18" t="str">
        <f>IF(AND('RAW DATA'!$L389&lt;&gt;"", 'RAW DATA'!$M389&lt;&gt;"",  'RAW DATA'!$J389="",  'RAW DATA'!$K389="", LEFT('RAW DATA'!$M389,17)&lt;&gt;"Oceanic Endeavour"), 'RAW DATA'!$M389, "")</f>
        <v/>
      </c>
      <c r="D389" s="19" t="str">
        <f t="shared" ref="D389:D452" si="6">IF(AND($B389&lt;&gt;"", $C389&lt;&gt;""), COUNTIF($C$4:$C$611, $C389), "")</f>
        <v/>
      </c>
    </row>
    <row r="390" spans="2:4" x14ac:dyDescent="0.25">
      <c r="B390" s="18" t="str">
        <f>IF(AND('RAW DATA'!$L390&lt;&gt;"", 'RAW DATA'!$M390&lt;&gt;"",  'RAW DATA'!$J390="",  'RAW DATA'!$K390="", LEFT('RAW DATA'!$M390,17)&lt;&gt;"Oceanic Endeavour"), 'RAW DATA'!$L390, "")</f>
        <v/>
      </c>
      <c r="C390" s="18" t="str">
        <f>IF(AND('RAW DATA'!$L390&lt;&gt;"", 'RAW DATA'!$M390&lt;&gt;"",  'RAW DATA'!$J390="",  'RAW DATA'!$K390="", LEFT('RAW DATA'!$M390,17)&lt;&gt;"Oceanic Endeavour"), 'RAW DATA'!$M390, "")</f>
        <v/>
      </c>
      <c r="D390" s="19" t="str">
        <f t="shared" si="6"/>
        <v/>
      </c>
    </row>
    <row r="391" spans="2:4" x14ac:dyDescent="0.25">
      <c r="B391" s="18" t="str">
        <f>IF(AND('RAW DATA'!$L391&lt;&gt;"", 'RAW DATA'!$M391&lt;&gt;"",  'RAW DATA'!$J391="",  'RAW DATA'!$K391="", LEFT('RAW DATA'!$M391,17)&lt;&gt;"Oceanic Endeavour"), 'RAW DATA'!$L391, "")</f>
        <v/>
      </c>
      <c r="C391" s="18" t="str">
        <f>IF(AND('RAW DATA'!$L391&lt;&gt;"", 'RAW DATA'!$M391&lt;&gt;"",  'RAW DATA'!$J391="",  'RAW DATA'!$K391="", LEFT('RAW DATA'!$M391,17)&lt;&gt;"Oceanic Endeavour"), 'RAW DATA'!$M391, "")</f>
        <v/>
      </c>
      <c r="D391" s="19" t="str">
        <f t="shared" si="6"/>
        <v/>
      </c>
    </row>
    <row r="392" spans="2:4" x14ac:dyDescent="0.25">
      <c r="B392" s="18" t="str">
        <f>IF(AND('RAW DATA'!$L392&lt;&gt;"", 'RAW DATA'!$M392&lt;&gt;"",  'RAW DATA'!$J392="",  'RAW DATA'!$K392="", LEFT('RAW DATA'!$M392,17)&lt;&gt;"Oceanic Endeavour"), 'RAW DATA'!$L392, "")</f>
        <v/>
      </c>
      <c r="C392" s="18" t="str">
        <f>IF(AND('RAW DATA'!$L392&lt;&gt;"", 'RAW DATA'!$M392&lt;&gt;"",  'RAW DATA'!$J392="",  'RAW DATA'!$K392="", LEFT('RAW DATA'!$M392,17)&lt;&gt;"Oceanic Endeavour"), 'RAW DATA'!$M392, "")</f>
        <v/>
      </c>
      <c r="D392" s="19" t="str">
        <f t="shared" si="6"/>
        <v/>
      </c>
    </row>
    <row r="393" spans="2:4" x14ac:dyDescent="0.25">
      <c r="B393" s="18" t="str">
        <f>IF(AND('RAW DATA'!$L393&lt;&gt;"", 'RAW DATA'!$M393&lt;&gt;"",  'RAW DATA'!$J393="",  'RAW DATA'!$K393="", LEFT('RAW DATA'!$M393,17)&lt;&gt;"Oceanic Endeavour"), 'RAW DATA'!$L393, "")</f>
        <v/>
      </c>
      <c r="C393" s="18" t="str">
        <f>IF(AND('RAW DATA'!$L393&lt;&gt;"", 'RAW DATA'!$M393&lt;&gt;"",  'RAW DATA'!$J393="",  'RAW DATA'!$K393="", LEFT('RAW DATA'!$M393,17)&lt;&gt;"Oceanic Endeavour"), 'RAW DATA'!$M393, "")</f>
        <v/>
      </c>
      <c r="D393" s="19" t="str">
        <f t="shared" si="6"/>
        <v/>
      </c>
    </row>
    <row r="394" spans="2:4" x14ac:dyDescent="0.25">
      <c r="B394" s="18" t="str">
        <f>IF(AND('RAW DATA'!$L394&lt;&gt;"", 'RAW DATA'!$M394&lt;&gt;"",  'RAW DATA'!$J394="",  'RAW DATA'!$K394="", LEFT('RAW DATA'!$M394,17)&lt;&gt;"Oceanic Endeavour"), 'RAW DATA'!$L394, "")</f>
        <v/>
      </c>
      <c r="C394" s="18" t="str">
        <f>IF(AND('RAW DATA'!$L394&lt;&gt;"", 'RAW DATA'!$M394&lt;&gt;"",  'RAW DATA'!$J394="",  'RAW DATA'!$K394="", LEFT('RAW DATA'!$M394,17)&lt;&gt;"Oceanic Endeavour"), 'RAW DATA'!$M394, "")</f>
        <v/>
      </c>
      <c r="D394" s="19" t="str">
        <f t="shared" si="6"/>
        <v/>
      </c>
    </row>
    <row r="395" spans="2:4" x14ac:dyDescent="0.25">
      <c r="B395" s="18" t="str">
        <f>IF(AND('RAW DATA'!$L395&lt;&gt;"", 'RAW DATA'!$M395&lt;&gt;"",  'RAW DATA'!$J395="",  'RAW DATA'!$K395="", LEFT('RAW DATA'!$M395,17)&lt;&gt;"Oceanic Endeavour"), 'RAW DATA'!$L395, "")</f>
        <v/>
      </c>
      <c r="C395" s="18" t="str">
        <f>IF(AND('RAW DATA'!$L395&lt;&gt;"", 'RAW DATA'!$M395&lt;&gt;"",  'RAW DATA'!$J395="",  'RAW DATA'!$K395="", LEFT('RAW DATA'!$M395,17)&lt;&gt;"Oceanic Endeavour"), 'RAW DATA'!$M395, "")</f>
        <v/>
      </c>
      <c r="D395" s="19" t="str">
        <f t="shared" si="6"/>
        <v/>
      </c>
    </row>
    <row r="396" spans="2:4" x14ac:dyDescent="0.25">
      <c r="B396" s="18" t="str">
        <f>IF(AND('RAW DATA'!$L396&lt;&gt;"", 'RAW DATA'!$M396&lt;&gt;"",  'RAW DATA'!$J396="",  'RAW DATA'!$K396="", LEFT('RAW DATA'!$M396,17)&lt;&gt;"Oceanic Endeavour"), 'RAW DATA'!$L396, "")</f>
        <v/>
      </c>
      <c r="C396" s="18" t="str">
        <f>IF(AND('RAW DATA'!$L396&lt;&gt;"", 'RAW DATA'!$M396&lt;&gt;"",  'RAW DATA'!$J396="",  'RAW DATA'!$K396="", LEFT('RAW DATA'!$M396,17)&lt;&gt;"Oceanic Endeavour"), 'RAW DATA'!$M396, "")</f>
        <v/>
      </c>
      <c r="D396" s="19" t="str">
        <f t="shared" si="6"/>
        <v/>
      </c>
    </row>
    <row r="397" spans="2:4" x14ac:dyDescent="0.25">
      <c r="B397" s="18" t="str">
        <f>IF(AND('RAW DATA'!$L397&lt;&gt;"", 'RAW DATA'!$M397&lt;&gt;"",  'RAW DATA'!$J397="",  'RAW DATA'!$K397="", LEFT('RAW DATA'!$M397,17)&lt;&gt;"Oceanic Endeavour"), 'RAW DATA'!$L397, "")</f>
        <v/>
      </c>
      <c r="C397" s="18" t="str">
        <f>IF(AND('RAW DATA'!$L397&lt;&gt;"", 'RAW DATA'!$M397&lt;&gt;"",  'RAW DATA'!$J397="",  'RAW DATA'!$K397="", LEFT('RAW DATA'!$M397,17)&lt;&gt;"Oceanic Endeavour"), 'RAW DATA'!$M397, "")</f>
        <v/>
      </c>
      <c r="D397" s="19" t="str">
        <f t="shared" si="6"/>
        <v/>
      </c>
    </row>
    <row r="398" spans="2:4" x14ac:dyDescent="0.25">
      <c r="B398" s="18" t="str">
        <f>IF(AND('RAW DATA'!$L398&lt;&gt;"", 'RAW DATA'!$M398&lt;&gt;"",  'RAW DATA'!$J398="",  'RAW DATA'!$K398="", LEFT('RAW DATA'!$M398,17)&lt;&gt;"Oceanic Endeavour"), 'RAW DATA'!$L398, "")</f>
        <v/>
      </c>
      <c r="C398" s="18" t="str">
        <f>IF(AND('RAW DATA'!$L398&lt;&gt;"", 'RAW DATA'!$M398&lt;&gt;"",  'RAW DATA'!$J398="",  'RAW DATA'!$K398="", LEFT('RAW DATA'!$M398,17)&lt;&gt;"Oceanic Endeavour"), 'RAW DATA'!$M398, "")</f>
        <v/>
      </c>
      <c r="D398" s="19" t="str">
        <f t="shared" si="6"/>
        <v/>
      </c>
    </row>
    <row r="399" spans="2:4" x14ac:dyDescent="0.25">
      <c r="B399" s="18" t="str">
        <f>IF(AND('RAW DATA'!$L399&lt;&gt;"", 'RAW DATA'!$M399&lt;&gt;"",  'RAW DATA'!$J399="",  'RAW DATA'!$K399="", LEFT('RAW DATA'!$M399,17)&lt;&gt;"Oceanic Endeavour"), 'RAW DATA'!$L399, "")</f>
        <v/>
      </c>
      <c r="C399" s="18" t="str">
        <f>IF(AND('RAW DATA'!$L399&lt;&gt;"", 'RAW DATA'!$M399&lt;&gt;"",  'RAW DATA'!$J399="",  'RAW DATA'!$K399="", LEFT('RAW DATA'!$M399,17)&lt;&gt;"Oceanic Endeavour"), 'RAW DATA'!$M399, "")</f>
        <v/>
      </c>
      <c r="D399" s="19" t="str">
        <f t="shared" si="6"/>
        <v/>
      </c>
    </row>
    <row r="400" spans="2:4" x14ac:dyDescent="0.25">
      <c r="B400" s="18" t="str">
        <f>IF(AND('RAW DATA'!$L400&lt;&gt;"", 'RAW DATA'!$M400&lt;&gt;"",  'RAW DATA'!$J400="",  'RAW DATA'!$K400="", LEFT('RAW DATA'!$M400,17)&lt;&gt;"Oceanic Endeavour"), 'RAW DATA'!$L400, "")</f>
        <v/>
      </c>
      <c r="C400" s="18" t="str">
        <f>IF(AND('RAW DATA'!$L400&lt;&gt;"", 'RAW DATA'!$M400&lt;&gt;"",  'RAW DATA'!$J400="",  'RAW DATA'!$K400="", LEFT('RAW DATA'!$M400,17)&lt;&gt;"Oceanic Endeavour"), 'RAW DATA'!$M400, "")</f>
        <v/>
      </c>
      <c r="D400" s="19" t="str">
        <f t="shared" si="6"/>
        <v/>
      </c>
    </row>
    <row r="401" spans="2:4" x14ac:dyDescent="0.25">
      <c r="B401" s="18" t="str">
        <f>IF(AND('RAW DATA'!$L401&lt;&gt;"", 'RAW DATA'!$M401&lt;&gt;"",  'RAW DATA'!$J401="",  'RAW DATA'!$K401="", LEFT('RAW DATA'!$M401,17)&lt;&gt;"Oceanic Endeavour"), 'RAW DATA'!$L401, "")</f>
        <v/>
      </c>
      <c r="C401" s="18" t="str">
        <f>IF(AND('RAW DATA'!$L401&lt;&gt;"", 'RAW DATA'!$M401&lt;&gt;"",  'RAW DATA'!$J401="",  'RAW DATA'!$K401="", LEFT('RAW DATA'!$M401,17)&lt;&gt;"Oceanic Endeavour"), 'RAW DATA'!$M401, "")</f>
        <v/>
      </c>
      <c r="D401" s="19" t="str">
        <f t="shared" si="6"/>
        <v/>
      </c>
    </row>
    <row r="402" spans="2:4" x14ac:dyDescent="0.25">
      <c r="B402" s="18" t="str">
        <f>IF(AND('RAW DATA'!$L402&lt;&gt;"", 'RAW DATA'!$M402&lt;&gt;"",  'RAW DATA'!$J402="",  'RAW DATA'!$K402="", LEFT('RAW DATA'!$M402,17)&lt;&gt;"Oceanic Endeavour"), 'RAW DATA'!$L402, "")</f>
        <v/>
      </c>
      <c r="C402" s="18" t="str">
        <f>IF(AND('RAW DATA'!$L402&lt;&gt;"", 'RAW DATA'!$M402&lt;&gt;"",  'RAW DATA'!$J402="",  'RAW DATA'!$K402="", LEFT('RAW DATA'!$M402,17)&lt;&gt;"Oceanic Endeavour"), 'RAW DATA'!$M402, "")</f>
        <v/>
      </c>
      <c r="D402" s="19" t="str">
        <f t="shared" si="6"/>
        <v/>
      </c>
    </row>
    <row r="403" spans="2:4" x14ac:dyDescent="0.25">
      <c r="B403" s="18" t="str">
        <f>IF(AND('RAW DATA'!$L403&lt;&gt;"", 'RAW DATA'!$M403&lt;&gt;"",  'RAW DATA'!$J403="",  'RAW DATA'!$K403="", LEFT('RAW DATA'!$M403,17)&lt;&gt;"Oceanic Endeavour"), 'RAW DATA'!$L403, "")</f>
        <v/>
      </c>
      <c r="C403" s="18" t="str">
        <f>IF(AND('RAW DATA'!$L403&lt;&gt;"", 'RAW DATA'!$M403&lt;&gt;"",  'RAW DATA'!$J403="",  'RAW DATA'!$K403="", LEFT('RAW DATA'!$M403,17)&lt;&gt;"Oceanic Endeavour"), 'RAW DATA'!$M403, "")</f>
        <v/>
      </c>
      <c r="D403" s="19" t="str">
        <f t="shared" si="6"/>
        <v/>
      </c>
    </row>
    <row r="404" spans="2:4" x14ac:dyDescent="0.25">
      <c r="B404" s="18" t="str">
        <f>IF(AND('RAW DATA'!$L404&lt;&gt;"", 'RAW DATA'!$M404&lt;&gt;"",  'RAW DATA'!$J404="",  'RAW DATA'!$K404="", LEFT('RAW DATA'!$M404,17)&lt;&gt;"Oceanic Endeavour"), 'RAW DATA'!$L404, "")</f>
        <v/>
      </c>
      <c r="C404" s="18" t="str">
        <f>IF(AND('RAW DATA'!$L404&lt;&gt;"", 'RAW DATA'!$M404&lt;&gt;"",  'RAW DATA'!$J404="",  'RAW DATA'!$K404="", LEFT('RAW DATA'!$M404,17)&lt;&gt;"Oceanic Endeavour"), 'RAW DATA'!$M404, "")</f>
        <v/>
      </c>
      <c r="D404" s="19" t="str">
        <f t="shared" si="6"/>
        <v/>
      </c>
    </row>
    <row r="405" spans="2:4" x14ac:dyDescent="0.25">
      <c r="B405" s="18" t="str">
        <f>IF(AND('RAW DATA'!$L405&lt;&gt;"", 'RAW DATA'!$M405&lt;&gt;"",  'RAW DATA'!$J405="",  'RAW DATA'!$K405="", LEFT('RAW DATA'!$M405,17)&lt;&gt;"Oceanic Endeavour"), 'RAW DATA'!$L405, "")</f>
        <v/>
      </c>
      <c r="C405" s="18" t="str">
        <f>IF(AND('RAW DATA'!$L405&lt;&gt;"", 'RAW DATA'!$M405&lt;&gt;"",  'RAW DATA'!$J405="",  'RAW DATA'!$K405="", LEFT('RAW DATA'!$M405,17)&lt;&gt;"Oceanic Endeavour"), 'RAW DATA'!$M405, "")</f>
        <v/>
      </c>
      <c r="D405" s="19" t="str">
        <f t="shared" si="6"/>
        <v/>
      </c>
    </row>
    <row r="406" spans="2:4" x14ac:dyDescent="0.25">
      <c r="B406" s="18" t="str">
        <f>IF(AND('RAW DATA'!$L406&lt;&gt;"", 'RAW DATA'!$M406&lt;&gt;"",  'RAW DATA'!$J406="",  'RAW DATA'!$K406="", LEFT('RAW DATA'!$M406,17)&lt;&gt;"Oceanic Endeavour"), 'RAW DATA'!$L406, "")</f>
        <v/>
      </c>
      <c r="C406" s="18" t="str">
        <f>IF(AND('RAW DATA'!$L406&lt;&gt;"", 'RAW DATA'!$M406&lt;&gt;"",  'RAW DATA'!$J406="",  'RAW DATA'!$K406="", LEFT('RAW DATA'!$M406,17)&lt;&gt;"Oceanic Endeavour"), 'RAW DATA'!$M406, "")</f>
        <v/>
      </c>
      <c r="D406" s="19" t="str">
        <f t="shared" si="6"/>
        <v/>
      </c>
    </row>
    <row r="407" spans="2:4" x14ac:dyDescent="0.25">
      <c r="B407" s="18" t="str">
        <f>IF(AND('RAW DATA'!$L407&lt;&gt;"", 'RAW DATA'!$M407&lt;&gt;"",  'RAW DATA'!$J407="",  'RAW DATA'!$K407="", LEFT('RAW DATA'!$M407,17)&lt;&gt;"Oceanic Endeavour"), 'RAW DATA'!$L407, "")</f>
        <v/>
      </c>
      <c r="C407" s="18" t="str">
        <f>IF(AND('RAW DATA'!$L407&lt;&gt;"", 'RAW DATA'!$M407&lt;&gt;"",  'RAW DATA'!$J407="",  'RAW DATA'!$K407="", LEFT('RAW DATA'!$M407,17)&lt;&gt;"Oceanic Endeavour"), 'RAW DATA'!$M407, "")</f>
        <v/>
      </c>
      <c r="D407" s="19" t="str">
        <f t="shared" si="6"/>
        <v/>
      </c>
    </row>
    <row r="408" spans="2:4" x14ac:dyDescent="0.25">
      <c r="B408" s="18" t="str">
        <f>IF(AND('RAW DATA'!$L408&lt;&gt;"", 'RAW DATA'!$M408&lt;&gt;"",  'RAW DATA'!$J408="",  'RAW DATA'!$K408="", LEFT('RAW DATA'!$M408,17)&lt;&gt;"Oceanic Endeavour"), 'RAW DATA'!$L408, "")</f>
        <v/>
      </c>
      <c r="C408" s="18" t="str">
        <f>IF(AND('RAW DATA'!$L408&lt;&gt;"", 'RAW DATA'!$M408&lt;&gt;"",  'RAW DATA'!$J408="",  'RAW DATA'!$K408="", LEFT('RAW DATA'!$M408,17)&lt;&gt;"Oceanic Endeavour"), 'RAW DATA'!$M408, "")</f>
        <v/>
      </c>
      <c r="D408" s="19" t="str">
        <f t="shared" si="6"/>
        <v/>
      </c>
    </row>
    <row r="409" spans="2:4" x14ac:dyDescent="0.25">
      <c r="B409" s="18" t="str">
        <f>IF(AND('RAW DATA'!$L409&lt;&gt;"", 'RAW DATA'!$M409&lt;&gt;"",  'RAW DATA'!$J409="",  'RAW DATA'!$K409="", LEFT('RAW DATA'!$M409,17)&lt;&gt;"Oceanic Endeavour"), 'RAW DATA'!$L409, "")</f>
        <v/>
      </c>
      <c r="C409" s="18" t="str">
        <f>IF(AND('RAW DATA'!$L409&lt;&gt;"", 'RAW DATA'!$M409&lt;&gt;"",  'RAW DATA'!$J409="",  'RAW DATA'!$K409="", LEFT('RAW DATA'!$M409,17)&lt;&gt;"Oceanic Endeavour"), 'RAW DATA'!$M409, "")</f>
        <v/>
      </c>
      <c r="D409" s="19" t="str">
        <f t="shared" si="6"/>
        <v/>
      </c>
    </row>
    <row r="410" spans="2:4" x14ac:dyDescent="0.25">
      <c r="B410" s="18" t="str">
        <f>IF(AND('RAW DATA'!$L410&lt;&gt;"", 'RAW DATA'!$M410&lt;&gt;"",  'RAW DATA'!$J410="",  'RAW DATA'!$K410="", LEFT('RAW DATA'!$M410,17)&lt;&gt;"Oceanic Endeavour"), 'RAW DATA'!$L410, "")</f>
        <v/>
      </c>
      <c r="C410" s="18" t="str">
        <f>IF(AND('RAW DATA'!$L410&lt;&gt;"", 'RAW DATA'!$M410&lt;&gt;"",  'RAW DATA'!$J410="",  'RAW DATA'!$K410="", LEFT('RAW DATA'!$M410,17)&lt;&gt;"Oceanic Endeavour"), 'RAW DATA'!$M410, "")</f>
        <v/>
      </c>
      <c r="D410" s="19" t="str">
        <f t="shared" si="6"/>
        <v/>
      </c>
    </row>
    <row r="411" spans="2:4" x14ac:dyDescent="0.25">
      <c r="B411" s="18" t="str">
        <f>IF(AND('RAW DATA'!$L411&lt;&gt;"", 'RAW DATA'!$M411&lt;&gt;"",  'RAW DATA'!$J411="",  'RAW DATA'!$K411="", LEFT('RAW DATA'!$M411,17)&lt;&gt;"Oceanic Endeavour"), 'RAW DATA'!$L411, "")</f>
        <v/>
      </c>
      <c r="C411" s="18" t="str">
        <f>IF(AND('RAW DATA'!$L411&lt;&gt;"", 'RAW DATA'!$M411&lt;&gt;"",  'RAW DATA'!$J411="",  'RAW DATA'!$K411="", LEFT('RAW DATA'!$M411,17)&lt;&gt;"Oceanic Endeavour"), 'RAW DATA'!$M411, "")</f>
        <v/>
      </c>
      <c r="D411" s="19" t="str">
        <f t="shared" si="6"/>
        <v/>
      </c>
    </row>
    <row r="412" spans="2:4" x14ac:dyDescent="0.25">
      <c r="B412" s="18" t="str">
        <f>IF(AND('RAW DATA'!$L412&lt;&gt;"", 'RAW DATA'!$M412&lt;&gt;"",  'RAW DATA'!$J412="",  'RAW DATA'!$K412="", LEFT('RAW DATA'!$M412,17)&lt;&gt;"Oceanic Endeavour"), 'RAW DATA'!$L412, "")</f>
        <v/>
      </c>
      <c r="C412" s="18" t="str">
        <f>IF(AND('RAW DATA'!$L412&lt;&gt;"", 'RAW DATA'!$M412&lt;&gt;"",  'RAW DATA'!$J412="",  'RAW DATA'!$K412="", LEFT('RAW DATA'!$M412,17)&lt;&gt;"Oceanic Endeavour"), 'RAW DATA'!$M412, "")</f>
        <v/>
      </c>
      <c r="D412" s="19" t="str">
        <f t="shared" si="6"/>
        <v/>
      </c>
    </row>
    <row r="413" spans="2:4" x14ac:dyDescent="0.25">
      <c r="B413" s="18" t="str">
        <f>IF(AND('RAW DATA'!$L413&lt;&gt;"", 'RAW DATA'!$M413&lt;&gt;"",  'RAW DATA'!$J413="",  'RAW DATA'!$K413="", LEFT('RAW DATA'!$M413,17)&lt;&gt;"Oceanic Endeavour"), 'RAW DATA'!$L413, "")</f>
        <v/>
      </c>
      <c r="C413" s="18" t="str">
        <f>IF(AND('RAW DATA'!$L413&lt;&gt;"", 'RAW DATA'!$M413&lt;&gt;"",  'RAW DATA'!$J413="",  'RAW DATA'!$K413="", LEFT('RAW DATA'!$M413,17)&lt;&gt;"Oceanic Endeavour"), 'RAW DATA'!$M413, "")</f>
        <v/>
      </c>
      <c r="D413" s="19" t="str">
        <f t="shared" si="6"/>
        <v/>
      </c>
    </row>
    <row r="414" spans="2:4" x14ac:dyDescent="0.25">
      <c r="B414" s="18" t="str">
        <f>IF(AND('RAW DATA'!$L414&lt;&gt;"", 'RAW DATA'!$M414&lt;&gt;"",  'RAW DATA'!$J414="",  'RAW DATA'!$K414="", LEFT('RAW DATA'!$M414,17)&lt;&gt;"Oceanic Endeavour"), 'RAW DATA'!$L414, "")</f>
        <v/>
      </c>
      <c r="C414" s="18" t="str">
        <f>IF(AND('RAW DATA'!$L414&lt;&gt;"", 'RAW DATA'!$M414&lt;&gt;"",  'RAW DATA'!$J414="",  'RAW DATA'!$K414="", LEFT('RAW DATA'!$M414,17)&lt;&gt;"Oceanic Endeavour"), 'RAW DATA'!$M414, "")</f>
        <v/>
      </c>
      <c r="D414" s="19" t="str">
        <f t="shared" si="6"/>
        <v/>
      </c>
    </row>
    <row r="415" spans="2:4" x14ac:dyDescent="0.25">
      <c r="B415" s="18" t="str">
        <f>IF(AND('RAW DATA'!$L415&lt;&gt;"", 'RAW DATA'!$M415&lt;&gt;"",  'RAW DATA'!$J415="",  'RAW DATA'!$K415="", LEFT('RAW DATA'!$M415,17)&lt;&gt;"Oceanic Endeavour"), 'RAW DATA'!$L415, "")</f>
        <v/>
      </c>
      <c r="C415" s="18" t="str">
        <f>IF(AND('RAW DATA'!$L415&lt;&gt;"", 'RAW DATA'!$M415&lt;&gt;"",  'RAW DATA'!$J415="",  'RAW DATA'!$K415="", LEFT('RAW DATA'!$M415,17)&lt;&gt;"Oceanic Endeavour"), 'RAW DATA'!$M415, "")</f>
        <v/>
      </c>
      <c r="D415" s="19" t="str">
        <f t="shared" si="6"/>
        <v/>
      </c>
    </row>
    <row r="416" spans="2:4" x14ac:dyDescent="0.25">
      <c r="B416" s="18" t="str">
        <f>IF(AND('RAW DATA'!$L416&lt;&gt;"", 'RAW DATA'!$M416&lt;&gt;"",  'RAW DATA'!$J416="",  'RAW DATA'!$K416="", LEFT('RAW DATA'!$M416,17)&lt;&gt;"Oceanic Endeavour"), 'RAW DATA'!$L416, "")</f>
        <v/>
      </c>
      <c r="C416" s="18" t="str">
        <f>IF(AND('RAW DATA'!$L416&lt;&gt;"", 'RAW DATA'!$M416&lt;&gt;"",  'RAW DATA'!$J416="",  'RAW DATA'!$K416="", LEFT('RAW DATA'!$M416,17)&lt;&gt;"Oceanic Endeavour"), 'RAW DATA'!$M416, "")</f>
        <v/>
      </c>
      <c r="D416" s="19" t="str">
        <f t="shared" si="6"/>
        <v/>
      </c>
    </row>
    <row r="417" spans="2:4" x14ac:dyDescent="0.25">
      <c r="B417" s="18" t="str">
        <f>IF(AND('RAW DATA'!$L417&lt;&gt;"", 'RAW DATA'!$M417&lt;&gt;"",  'RAW DATA'!$J417="",  'RAW DATA'!$K417="", LEFT('RAW DATA'!$M417,17)&lt;&gt;"Oceanic Endeavour"), 'RAW DATA'!$L417, "")</f>
        <v/>
      </c>
      <c r="C417" s="18" t="str">
        <f>IF(AND('RAW DATA'!$L417&lt;&gt;"", 'RAW DATA'!$M417&lt;&gt;"",  'RAW DATA'!$J417="",  'RAW DATA'!$K417="", LEFT('RAW DATA'!$M417,17)&lt;&gt;"Oceanic Endeavour"), 'RAW DATA'!$M417, "")</f>
        <v/>
      </c>
      <c r="D417" s="19" t="str">
        <f t="shared" si="6"/>
        <v/>
      </c>
    </row>
    <row r="418" spans="2:4" x14ac:dyDescent="0.25">
      <c r="B418" s="18" t="str">
        <f>IF(AND('RAW DATA'!$L418&lt;&gt;"", 'RAW DATA'!$M418&lt;&gt;"",  'RAW DATA'!$J418="",  'RAW DATA'!$K418="", LEFT('RAW DATA'!$M418,17)&lt;&gt;"Oceanic Endeavour"), 'RAW DATA'!$L418, "")</f>
        <v/>
      </c>
      <c r="C418" s="18" t="str">
        <f>IF(AND('RAW DATA'!$L418&lt;&gt;"", 'RAW DATA'!$M418&lt;&gt;"",  'RAW DATA'!$J418="",  'RAW DATA'!$K418="", LEFT('RAW DATA'!$M418,17)&lt;&gt;"Oceanic Endeavour"), 'RAW DATA'!$M418, "")</f>
        <v/>
      </c>
      <c r="D418" s="19" t="str">
        <f t="shared" si="6"/>
        <v/>
      </c>
    </row>
    <row r="419" spans="2:4" x14ac:dyDescent="0.25">
      <c r="B419" s="18" t="str">
        <f>IF(AND('RAW DATA'!$L419&lt;&gt;"", 'RAW DATA'!$M419&lt;&gt;"",  'RAW DATA'!$J419="",  'RAW DATA'!$K419="", LEFT('RAW DATA'!$M419,17)&lt;&gt;"Oceanic Endeavour"), 'RAW DATA'!$L419, "")</f>
        <v/>
      </c>
      <c r="C419" s="18" t="str">
        <f>IF(AND('RAW DATA'!$L419&lt;&gt;"", 'RAW DATA'!$M419&lt;&gt;"",  'RAW DATA'!$J419="",  'RAW DATA'!$K419="", LEFT('RAW DATA'!$M419,17)&lt;&gt;"Oceanic Endeavour"), 'RAW DATA'!$M419, "")</f>
        <v/>
      </c>
      <c r="D419" s="19" t="str">
        <f t="shared" si="6"/>
        <v/>
      </c>
    </row>
    <row r="420" spans="2:4" x14ac:dyDescent="0.25">
      <c r="B420" s="18" t="str">
        <f>IF(AND('RAW DATA'!$L420&lt;&gt;"", 'RAW DATA'!$M420&lt;&gt;"",  'RAW DATA'!$J420="",  'RAW DATA'!$K420="", LEFT('RAW DATA'!$M420,17)&lt;&gt;"Oceanic Endeavour"), 'RAW DATA'!$L420, "")</f>
        <v/>
      </c>
      <c r="C420" s="18" t="str">
        <f>IF(AND('RAW DATA'!$L420&lt;&gt;"", 'RAW DATA'!$M420&lt;&gt;"",  'RAW DATA'!$J420="",  'RAW DATA'!$K420="", LEFT('RAW DATA'!$M420,17)&lt;&gt;"Oceanic Endeavour"), 'RAW DATA'!$M420, "")</f>
        <v/>
      </c>
      <c r="D420" s="19" t="str">
        <f t="shared" si="6"/>
        <v/>
      </c>
    </row>
    <row r="421" spans="2:4" x14ac:dyDescent="0.25">
      <c r="B421" s="18" t="str">
        <f>IF(AND('RAW DATA'!$L421&lt;&gt;"", 'RAW DATA'!$M421&lt;&gt;"",  'RAW DATA'!$J421="",  'RAW DATA'!$K421="", LEFT('RAW DATA'!$M421,17)&lt;&gt;"Oceanic Endeavour"), 'RAW DATA'!$L421, "")</f>
        <v/>
      </c>
      <c r="C421" s="18" t="str">
        <f>IF(AND('RAW DATA'!$L421&lt;&gt;"", 'RAW DATA'!$M421&lt;&gt;"",  'RAW DATA'!$J421="",  'RAW DATA'!$K421="", LEFT('RAW DATA'!$M421,17)&lt;&gt;"Oceanic Endeavour"), 'RAW DATA'!$M421, "")</f>
        <v/>
      </c>
      <c r="D421" s="19" t="str">
        <f t="shared" si="6"/>
        <v/>
      </c>
    </row>
    <row r="422" spans="2:4" x14ac:dyDescent="0.25">
      <c r="B422" s="18" t="str">
        <f>IF(AND('RAW DATA'!$L422&lt;&gt;"", 'RAW DATA'!$M422&lt;&gt;"",  'RAW DATA'!$J422="",  'RAW DATA'!$K422="", LEFT('RAW DATA'!$M422,17)&lt;&gt;"Oceanic Endeavour"), 'RAW DATA'!$L422, "")</f>
        <v/>
      </c>
      <c r="C422" s="18" t="str">
        <f>IF(AND('RAW DATA'!$L422&lt;&gt;"", 'RAW DATA'!$M422&lt;&gt;"",  'RAW DATA'!$J422="",  'RAW DATA'!$K422="", LEFT('RAW DATA'!$M422,17)&lt;&gt;"Oceanic Endeavour"), 'RAW DATA'!$M422, "")</f>
        <v/>
      </c>
      <c r="D422" s="19" t="str">
        <f t="shared" si="6"/>
        <v/>
      </c>
    </row>
    <row r="423" spans="2:4" x14ac:dyDescent="0.25">
      <c r="B423" s="18" t="str">
        <f>IF(AND('RAW DATA'!$L423&lt;&gt;"", 'RAW DATA'!$M423&lt;&gt;"",  'RAW DATA'!$J423="",  'RAW DATA'!$K423="", LEFT('RAW DATA'!$M423,17)&lt;&gt;"Oceanic Endeavour"), 'RAW DATA'!$L423, "")</f>
        <v/>
      </c>
      <c r="C423" s="18" t="str">
        <f>IF(AND('RAW DATA'!$L423&lt;&gt;"", 'RAW DATA'!$M423&lt;&gt;"",  'RAW DATA'!$J423="",  'RAW DATA'!$K423="", LEFT('RAW DATA'!$M423,17)&lt;&gt;"Oceanic Endeavour"), 'RAW DATA'!$M423, "")</f>
        <v/>
      </c>
      <c r="D423" s="19" t="str">
        <f t="shared" si="6"/>
        <v/>
      </c>
    </row>
    <row r="424" spans="2:4" x14ac:dyDescent="0.25">
      <c r="B424" s="18" t="str">
        <f>IF(AND('RAW DATA'!$L424&lt;&gt;"", 'RAW DATA'!$M424&lt;&gt;"",  'RAW DATA'!$J424="",  'RAW DATA'!$K424="", LEFT('RAW DATA'!$M424,17)&lt;&gt;"Oceanic Endeavour"), 'RAW DATA'!$L424, "")</f>
        <v/>
      </c>
      <c r="C424" s="18" t="str">
        <f>IF(AND('RAW DATA'!$L424&lt;&gt;"", 'RAW DATA'!$M424&lt;&gt;"",  'RAW DATA'!$J424="",  'RAW DATA'!$K424="", LEFT('RAW DATA'!$M424,17)&lt;&gt;"Oceanic Endeavour"), 'RAW DATA'!$M424, "")</f>
        <v/>
      </c>
      <c r="D424" s="19" t="str">
        <f t="shared" si="6"/>
        <v/>
      </c>
    </row>
    <row r="425" spans="2:4" x14ac:dyDescent="0.25">
      <c r="B425" s="18" t="str">
        <f>IF(AND('RAW DATA'!$L425&lt;&gt;"", 'RAW DATA'!$M425&lt;&gt;"",  'RAW DATA'!$J425="",  'RAW DATA'!$K425="", LEFT('RAW DATA'!$M425,17)&lt;&gt;"Oceanic Endeavour"), 'RAW DATA'!$L425, "")</f>
        <v/>
      </c>
      <c r="C425" s="18" t="str">
        <f>IF(AND('RAW DATA'!$L425&lt;&gt;"", 'RAW DATA'!$M425&lt;&gt;"",  'RAW DATA'!$J425="",  'RAW DATA'!$K425="", LEFT('RAW DATA'!$M425,17)&lt;&gt;"Oceanic Endeavour"), 'RAW DATA'!$M425, "")</f>
        <v/>
      </c>
      <c r="D425" s="19" t="str">
        <f t="shared" si="6"/>
        <v/>
      </c>
    </row>
    <row r="426" spans="2:4" x14ac:dyDescent="0.25">
      <c r="B426" s="18" t="str">
        <f>IF(AND('RAW DATA'!$L426&lt;&gt;"", 'RAW DATA'!$M426&lt;&gt;"",  'RAW DATA'!$J426="",  'RAW DATA'!$K426="", LEFT('RAW DATA'!$M426,17)&lt;&gt;"Oceanic Endeavour"), 'RAW DATA'!$L426, "")</f>
        <v/>
      </c>
      <c r="C426" s="18" t="str">
        <f>IF(AND('RAW DATA'!$L426&lt;&gt;"", 'RAW DATA'!$M426&lt;&gt;"",  'RAW DATA'!$J426="",  'RAW DATA'!$K426="", LEFT('RAW DATA'!$M426,17)&lt;&gt;"Oceanic Endeavour"), 'RAW DATA'!$M426, "")</f>
        <v/>
      </c>
      <c r="D426" s="19" t="str">
        <f t="shared" si="6"/>
        <v/>
      </c>
    </row>
    <row r="427" spans="2:4" x14ac:dyDescent="0.25">
      <c r="B427" s="18" t="str">
        <f>IF(AND('RAW DATA'!$L427&lt;&gt;"", 'RAW DATA'!$M427&lt;&gt;"",  'RAW DATA'!$J427="",  'RAW DATA'!$K427="", LEFT('RAW DATA'!$M427,17)&lt;&gt;"Oceanic Endeavour"), 'RAW DATA'!$L427, "")</f>
        <v/>
      </c>
      <c r="C427" s="18" t="str">
        <f>IF(AND('RAW DATA'!$L427&lt;&gt;"", 'RAW DATA'!$M427&lt;&gt;"",  'RAW DATA'!$J427="",  'RAW DATA'!$K427="", LEFT('RAW DATA'!$M427,17)&lt;&gt;"Oceanic Endeavour"), 'RAW DATA'!$M427, "")</f>
        <v/>
      </c>
      <c r="D427" s="19" t="str">
        <f t="shared" si="6"/>
        <v/>
      </c>
    </row>
    <row r="428" spans="2:4" x14ac:dyDescent="0.25">
      <c r="B428" s="18" t="str">
        <f>IF(AND('RAW DATA'!$L428&lt;&gt;"", 'RAW DATA'!$M428&lt;&gt;"",  'RAW DATA'!$J428="",  'RAW DATA'!$K428="", LEFT('RAW DATA'!$M428,17)&lt;&gt;"Oceanic Endeavour"), 'RAW DATA'!$L428, "")</f>
        <v/>
      </c>
      <c r="C428" s="18" t="str">
        <f>IF(AND('RAW DATA'!$L428&lt;&gt;"", 'RAW DATA'!$M428&lt;&gt;"",  'RAW DATA'!$J428="",  'RAW DATA'!$K428="", LEFT('RAW DATA'!$M428,17)&lt;&gt;"Oceanic Endeavour"), 'RAW DATA'!$M428, "")</f>
        <v/>
      </c>
      <c r="D428" s="19" t="str">
        <f t="shared" si="6"/>
        <v/>
      </c>
    </row>
    <row r="429" spans="2:4" x14ac:dyDescent="0.25">
      <c r="B429" s="18" t="str">
        <f>IF(AND('RAW DATA'!$L429&lt;&gt;"", 'RAW DATA'!$M429&lt;&gt;"",  'RAW DATA'!$J429="",  'RAW DATA'!$K429="", LEFT('RAW DATA'!$M429,17)&lt;&gt;"Oceanic Endeavour"), 'RAW DATA'!$L429, "")</f>
        <v/>
      </c>
      <c r="C429" s="18" t="str">
        <f>IF(AND('RAW DATA'!$L429&lt;&gt;"", 'RAW DATA'!$M429&lt;&gt;"",  'RAW DATA'!$J429="",  'RAW DATA'!$K429="", LEFT('RAW DATA'!$M429,17)&lt;&gt;"Oceanic Endeavour"), 'RAW DATA'!$M429, "")</f>
        <v/>
      </c>
      <c r="D429" s="19" t="str">
        <f t="shared" si="6"/>
        <v/>
      </c>
    </row>
    <row r="430" spans="2:4" x14ac:dyDescent="0.25">
      <c r="B430" s="18" t="str">
        <f>IF(AND('RAW DATA'!$L430&lt;&gt;"", 'RAW DATA'!$M430&lt;&gt;"",  'RAW DATA'!$J430="",  'RAW DATA'!$K430="", LEFT('RAW DATA'!$M430,17)&lt;&gt;"Oceanic Endeavour"), 'RAW DATA'!$L430, "")</f>
        <v/>
      </c>
      <c r="C430" s="18" t="str">
        <f>IF(AND('RAW DATA'!$L430&lt;&gt;"", 'RAW DATA'!$M430&lt;&gt;"",  'RAW DATA'!$J430="",  'RAW DATA'!$K430="", LEFT('RAW DATA'!$M430,17)&lt;&gt;"Oceanic Endeavour"), 'RAW DATA'!$M430, "")</f>
        <v/>
      </c>
      <c r="D430" s="19" t="str">
        <f t="shared" si="6"/>
        <v/>
      </c>
    </row>
    <row r="431" spans="2:4" x14ac:dyDescent="0.25">
      <c r="B431" s="18" t="str">
        <f>IF(AND('RAW DATA'!$L431&lt;&gt;"", 'RAW DATA'!$M431&lt;&gt;"",  'RAW DATA'!$J431="",  'RAW DATA'!$K431="", LEFT('RAW DATA'!$M431,17)&lt;&gt;"Oceanic Endeavour"), 'RAW DATA'!$L431, "")</f>
        <v/>
      </c>
      <c r="C431" s="18" t="str">
        <f>IF(AND('RAW DATA'!$L431&lt;&gt;"", 'RAW DATA'!$M431&lt;&gt;"",  'RAW DATA'!$J431="",  'RAW DATA'!$K431="", LEFT('RAW DATA'!$M431,17)&lt;&gt;"Oceanic Endeavour"), 'RAW DATA'!$M431, "")</f>
        <v/>
      </c>
      <c r="D431" s="19" t="str">
        <f t="shared" si="6"/>
        <v/>
      </c>
    </row>
    <row r="432" spans="2:4" x14ac:dyDescent="0.25">
      <c r="B432" s="18" t="str">
        <f>IF(AND('RAW DATA'!$L432&lt;&gt;"", 'RAW DATA'!$M432&lt;&gt;"",  'RAW DATA'!$J432="",  'RAW DATA'!$K432="", LEFT('RAW DATA'!$M432,17)&lt;&gt;"Oceanic Endeavour"), 'RAW DATA'!$L432, "")</f>
        <v/>
      </c>
      <c r="C432" s="18" t="str">
        <f>IF(AND('RAW DATA'!$L432&lt;&gt;"", 'RAW DATA'!$M432&lt;&gt;"",  'RAW DATA'!$J432="",  'RAW DATA'!$K432="", LEFT('RAW DATA'!$M432,17)&lt;&gt;"Oceanic Endeavour"), 'RAW DATA'!$M432, "")</f>
        <v/>
      </c>
      <c r="D432" s="19" t="str">
        <f t="shared" si="6"/>
        <v/>
      </c>
    </row>
    <row r="433" spans="2:4" x14ac:dyDescent="0.25">
      <c r="B433" s="18" t="str">
        <f>IF(AND('RAW DATA'!$L433&lt;&gt;"", 'RAW DATA'!$M433&lt;&gt;"",  'RAW DATA'!$J433="",  'RAW DATA'!$K433="", LEFT('RAW DATA'!$M433,17)&lt;&gt;"Oceanic Endeavour"), 'RAW DATA'!$L433, "")</f>
        <v/>
      </c>
      <c r="C433" s="18" t="str">
        <f>IF(AND('RAW DATA'!$L433&lt;&gt;"", 'RAW DATA'!$M433&lt;&gt;"",  'RAW DATA'!$J433="",  'RAW DATA'!$K433="", LEFT('RAW DATA'!$M433,17)&lt;&gt;"Oceanic Endeavour"), 'RAW DATA'!$M433, "")</f>
        <v/>
      </c>
      <c r="D433" s="19" t="str">
        <f t="shared" si="6"/>
        <v/>
      </c>
    </row>
    <row r="434" spans="2:4" x14ac:dyDescent="0.25">
      <c r="B434" s="18" t="str">
        <f>IF(AND('RAW DATA'!$L434&lt;&gt;"", 'RAW DATA'!$M434&lt;&gt;"",  'RAW DATA'!$J434="",  'RAW DATA'!$K434="", LEFT('RAW DATA'!$M434,17)&lt;&gt;"Oceanic Endeavour"), 'RAW DATA'!$L434, "")</f>
        <v/>
      </c>
      <c r="C434" s="18" t="str">
        <f>IF(AND('RAW DATA'!$L434&lt;&gt;"", 'RAW DATA'!$M434&lt;&gt;"",  'RAW DATA'!$J434="",  'RAW DATA'!$K434="", LEFT('RAW DATA'!$M434,17)&lt;&gt;"Oceanic Endeavour"), 'RAW DATA'!$M434, "")</f>
        <v/>
      </c>
      <c r="D434" s="19" t="str">
        <f t="shared" si="6"/>
        <v/>
      </c>
    </row>
    <row r="435" spans="2:4" x14ac:dyDescent="0.25">
      <c r="B435" s="18" t="str">
        <f>IF(AND('RAW DATA'!$L435&lt;&gt;"", 'RAW DATA'!$M435&lt;&gt;"",  'RAW DATA'!$J435="",  'RAW DATA'!$K435="", LEFT('RAW DATA'!$M435,17)&lt;&gt;"Oceanic Endeavour"), 'RAW DATA'!$L435, "")</f>
        <v/>
      </c>
      <c r="C435" s="18" t="str">
        <f>IF(AND('RAW DATA'!$L435&lt;&gt;"", 'RAW DATA'!$M435&lt;&gt;"",  'RAW DATA'!$J435="",  'RAW DATA'!$K435="", LEFT('RAW DATA'!$M435,17)&lt;&gt;"Oceanic Endeavour"), 'RAW DATA'!$M435, "")</f>
        <v/>
      </c>
      <c r="D435" s="19" t="str">
        <f t="shared" si="6"/>
        <v/>
      </c>
    </row>
    <row r="436" spans="2:4" x14ac:dyDescent="0.25">
      <c r="B436" s="18" t="str">
        <f>IF(AND('RAW DATA'!$L436&lt;&gt;"", 'RAW DATA'!$M436&lt;&gt;"",  'RAW DATA'!$J436="",  'RAW DATA'!$K436="", LEFT('RAW DATA'!$M436,17)&lt;&gt;"Oceanic Endeavour"), 'RAW DATA'!$L436, "")</f>
        <v/>
      </c>
      <c r="C436" s="18" t="str">
        <f>IF(AND('RAW DATA'!$L436&lt;&gt;"", 'RAW DATA'!$M436&lt;&gt;"",  'RAW DATA'!$J436="",  'RAW DATA'!$K436="", LEFT('RAW DATA'!$M436,17)&lt;&gt;"Oceanic Endeavour"), 'RAW DATA'!$M436, "")</f>
        <v/>
      </c>
      <c r="D436" s="19" t="str">
        <f t="shared" si="6"/>
        <v/>
      </c>
    </row>
    <row r="437" spans="2:4" x14ac:dyDescent="0.25">
      <c r="B437" s="18" t="str">
        <f>IF(AND('RAW DATA'!$L437&lt;&gt;"", 'RAW DATA'!$M437&lt;&gt;"",  'RAW DATA'!$J437="",  'RAW DATA'!$K437="", LEFT('RAW DATA'!$M437,17)&lt;&gt;"Oceanic Endeavour"), 'RAW DATA'!$L437, "")</f>
        <v/>
      </c>
      <c r="C437" s="18" t="str">
        <f>IF(AND('RAW DATA'!$L437&lt;&gt;"", 'RAW DATA'!$M437&lt;&gt;"",  'RAW DATA'!$J437="",  'RAW DATA'!$K437="", LEFT('RAW DATA'!$M437,17)&lt;&gt;"Oceanic Endeavour"), 'RAW DATA'!$M437, "")</f>
        <v/>
      </c>
      <c r="D437" s="19" t="str">
        <f t="shared" si="6"/>
        <v/>
      </c>
    </row>
    <row r="438" spans="2:4" x14ac:dyDescent="0.25">
      <c r="B438" s="18" t="str">
        <f>IF(AND('RAW DATA'!$L438&lt;&gt;"", 'RAW DATA'!$M438&lt;&gt;"",  'RAW DATA'!$J438="",  'RAW DATA'!$K438="", LEFT('RAW DATA'!$M438,17)&lt;&gt;"Oceanic Endeavour"), 'RAW DATA'!$L438, "")</f>
        <v/>
      </c>
      <c r="C438" s="18" t="str">
        <f>IF(AND('RAW DATA'!$L438&lt;&gt;"", 'RAW DATA'!$M438&lt;&gt;"",  'RAW DATA'!$J438="",  'RAW DATA'!$K438="", LEFT('RAW DATA'!$M438,17)&lt;&gt;"Oceanic Endeavour"), 'RAW DATA'!$M438, "")</f>
        <v/>
      </c>
      <c r="D438" s="19" t="str">
        <f t="shared" si="6"/>
        <v/>
      </c>
    </row>
    <row r="439" spans="2:4" x14ac:dyDescent="0.25">
      <c r="B439" s="18" t="str">
        <f>IF(AND('RAW DATA'!$L439&lt;&gt;"", 'RAW DATA'!$M439&lt;&gt;"",  'RAW DATA'!$J439="",  'RAW DATA'!$K439="", LEFT('RAW DATA'!$M439,17)&lt;&gt;"Oceanic Endeavour"), 'RAW DATA'!$L439, "")</f>
        <v/>
      </c>
      <c r="C439" s="18" t="str">
        <f>IF(AND('RAW DATA'!$L439&lt;&gt;"", 'RAW DATA'!$M439&lt;&gt;"",  'RAW DATA'!$J439="",  'RAW DATA'!$K439="", LEFT('RAW DATA'!$M439,17)&lt;&gt;"Oceanic Endeavour"), 'RAW DATA'!$M439, "")</f>
        <v/>
      </c>
      <c r="D439" s="19" t="str">
        <f t="shared" si="6"/>
        <v/>
      </c>
    </row>
    <row r="440" spans="2:4" x14ac:dyDescent="0.25">
      <c r="B440" s="18" t="str">
        <f>IF(AND('RAW DATA'!$L440&lt;&gt;"", 'RAW DATA'!$M440&lt;&gt;"",  'RAW DATA'!$J440="",  'RAW DATA'!$K440="", LEFT('RAW DATA'!$M440,17)&lt;&gt;"Oceanic Endeavour"), 'RAW DATA'!$L440, "")</f>
        <v/>
      </c>
      <c r="C440" s="18" t="str">
        <f>IF(AND('RAW DATA'!$L440&lt;&gt;"", 'RAW DATA'!$M440&lt;&gt;"",  'RAW DATA'!$J440="",  'RAW DATA'!$K440="", LEFT('RAW DATA'!$M440,17)&lt;&gt;"Oceanic Endeavour"), 'RAW DATA'!$M440, "")</f>
        <v/>
      </c>
      <c r="D440" s="19" t="str">
        <f t="shared" si="6"/>
        <v/>
      </c>
    </row>
    <row r="441" spans="2:4" x14ac:dyDescent="0.25">
      <c r="B441" s="18" t="str">
        <f>IF(AND('RAW DATA'!$L441&lt;&gt;"", 'RAW DATA'!$M441&lt;&gt;"",  'RAW DATA'!$J441="",  'RAW DATA'!$K441="", LEFT('RAW DATA'!$M441,17)&lt;&gt;"Oceanic Endeavour"), 'RAW DATA'!$L441, "")</f>
        <v/>
      </c>
      <c r="C441" s="18" t="str">
        <f>IF(AND('RAW DATA'!$L441&lt;&gt;"", 'RAW DATA'!$M441&lt;&gt;"",  'RAW DATA'!$J441="",  'RAW DATA'!$K441="", LEFT('RAW DATA'!$M441,17)&lt;&gt;"Oceanic Endeavour"), 'RAW DATA'!$M441, "")</f>
        <v/>
      </c>
      <c r="D441" s="19" t="str">
        <f t="shared" si="6"/>
        <v/>
      </c>
    </row>
    <row r="442" spans="2:4" x14ac:dyDescent="0.25">
      <c r="B442" s="18" t="str">
        <f>IF(AND('RAW DATA'!$L442&lt;&gt;"", 'RAW DATA'!$M442&lt;&gt;"",  'RAW DATA'!$J442="",  'RAW DATA'!$K442="", LEFT('RAW DATA'!$M442,17)&lt;&gt;"Oceanic Endeavour"), 'RAW DATA'!$L442, "")</f>
        <v/>
      </c>
      <c r="C442" s="18" t="str">
        <f>IF(AND('RAW DATA'!$L442&lt;&gt;"", 'RAW DATA'!$M442&lt;&gt;"",  'RAW DATA'!$J442="",  'RAW DATA'!$K442="", LEFT('RAW DATA'!$M442,17)&lt;&gt;"Oceanic Endeavour"), 'RAW DATA'!$M442, "")</f>
        <v/>
      </c>
      <c r="D442" s="19" t="str">
        <f t="shared" si="6"/>
        <v/>
      </c>
    </row>
    <row r="443" spans="2:4" x14ac:dyDescent="0.25">
      <c r="B443" s="18" t="str">
        <f>IF(AND('RAW DATA'!$L443&lt;&gt;"", 'RAW DATA'!$M443&lt;&gt;"",  'RAW DATA'!$J443="",  'RAW DATA'!$K443="", LEFT('RAW DATA'!$M443,17)&lt;&gt;"Oceanic Endeavour"), 'RAW DATA'!$L443, "")</f>
        <v/>
      </c>
      <c r="C443" s="18" t="str">
        <f>IF(AND('RAW DATA'!$L443&lt;&gt;"", 'RAW DATA'!$M443&lt;&gt;"",  'RAW DATA'!$J443="",  'RAW DATA'!$K443="", LEFT('RAW DATA'!$M443,17)&lt;&gt;"Oceanic Endeavour"), 'RAW DATA'!$M443, "")</f>
        <v/>
      </c>
      <c r="D443" s="19" t="str">
        <f t="shared" si="6"/>
        <v/>
      </c>
    </row>
    <row r="444" spans="2:4" x14ac:dyDescent="0.25">
      <c r="B444" s="18" t="str">
        <f>IF(AND('RAW DATA'!$L444&lt;&gt;"", 'RAW DATA'!$M444&lt;&gt;"",  'RAW DATA'!$J444="",  'RAW DATA'!$K444="", LEFT('RAW DATA'!$M444,17)&lt;&gt;"Oceanic Endeavour"), 'RAW DATA'!$L444, "")</f>
        <v/>
      </c>
      <c r="C444" s="18" t="str">
        <f>IF(AND('RAW DATA'!$L444&lt;&gt;"", 'RAW DATA'!$M444&lt;&gt;"",  'RAW DATA'!$J444="",  'RAW DATA'!$K444="", LEFT('RAW DATA'!$M444,17)&lt;&gt;"Oceanic Endeavour"), 'RAW DATA'!$M444, "")</f>
        <v/>
      </c>
      <c r="D444" s="19" t="str">
        <f t="shared" si="6"/>
        <v/>
      </c>
    </row>
    <row r="445" spans="2:4" x14ac:dyDescent="0.25">
      <c r="B445" s="18" t="str">
        <f>IF(AND('RAW DATA'!$L445&lt;&gt;"", 'RAW DATA'!$M445&lt;&gt;"",  'RAW DATA'!$J445="",  'RAW DATA'!$K445="", LEFT('RAW DATA'!$M445,17)&lt;&gt;"Oceanic Endeavour"), 'RAW DATA'!$L445, "")</f>
        <v/>
      </c>
      <c r="C445" s="18" t="str">
        <f>IF(AND('RAW DATA'!$L445&lt;&gt;"", 'RAW DATA'!$M445&lt;&gt;"",  'RAW DATA'!$J445="",  'RAW DATA'!$K445="", LEFT('RAW DATA'!$M445,17)&lt;&gt;"Oceanic Endeavour"), 'RAW DATA'!$M445, "")</f>
        <v/>
      </c>
      <c r="D445" s="19" t="str">
        <f t="shared" si="6"/>
        <v/>
      </c>
    </row>
    <row r="446" spans="2:4" x14ac:dyDescent="0.25">
      <c r="B446" s="18" t="str">
        <f>IF(AND('RAW DATA'!$L446&lt;&gt;"", 'RAW DATA'!$M446&lt;&gt;"",  'RAW DATA'!$J446="",  'RAW DATA'!$K446="", LEFT('RAW DATA'!$M446,17)&lt;&gt;"Oceanic Endeavour"), 'RAW DATA'!$L446, "")</f>
        <v/>
      </c>
      <c r="C446" s="18" t="str">
        <f>IF(AND('RAW DATA'!$L446&lt;&gt;"", 'RAW DATA'!$M446&lt;&gt;"",  'RAW DATA'!$J446="",  'RAW DATA'!$K446="", LEFT('RAW DATA'!$M446,17)&lt;&gt;"Oceanic Endeavour"), 'RAW DATA'!$M446, "")</f>
        <v/>
      </c>
      <c r="D446" s="19" t="str">
        <f t="shared" si="6"/>
        <v/>
      </c>
    </row>
    <row r="447" spans="2:4" x14ac:dyDescent="0.25">
      <c r="B447" s="18" t="str">
        <f>IF(AND('RAW DATA'!$L447&lt;&gt;"", 'RAW DATA'!$M447&lt;&gt;"",  'RAW DATA'!$J447="",  'RAW DATA'!$K447="", LEFT('RAW DATA'!$M447,17)&lt;&gt;"Oceanic Endeavour"), 'RAW DATA'!$L447, "")</f>
        <v/>
      </c>
      <c r="C447" s="18" t="str">
        <f>IF(AND('RAW DATA'!$L447&lt;&gt;"", 'RAW DATA'!$M447&lt;&gt;"",  'RAW DATA'!$J447="",  'RAW DATA'!$K447="", LEFT('RAW DATA'!$M447,17)&lt;&gt;"Oceanic Endeavour"), 'RAW DATA'!$M447, "")</f>
        <v/>
      </c>
      <c r="D447" s="19" t="str">
        <f t="shared" si="6"/>
        <v/>
      </c>
    </row>
    <row r="448" spans="2:4" x14ac:dyDescent="0.25">
      <c r="B448" s="18" t="str">
        <f>IF(AND('RAW DATA'!$L448&lt;&gt;"", 'RAW DATA'!$M448&lt;&gt;"",  'RAW DATA'!$J448="",  'RAW DATA'!$K448="", LEFT('RAW DATA'!$M448,17)&lt;&gt;"Oceanic Endeavour"), 'RAW DATA'!$L448, "")</f>
        <v/>
      </c>
      <c r="C448" s="18" t="str">
        <f>IF(AND('RAW DATA'!$L448&lt;&gt;"", 'RAW DATA'!$M448&lt;&gt;"",  'RAW DATA'!$J448="",  'RAW DATA'!$K448="", LEFT('RAW DATA'!$M448,17)&lt;&gt;"Oceanic Endeavour"), 'RAW DATA'!$M448, "")</f>
        <v/>
      </c>
      <c r="D448" s="19" t="str">
        <f t="shared" si="6"/>
        <v/>
      </c>
    </row>
    <row r="449" spans="2:4" x14ac:dyDescent="0.25">
      <c r="B449" s="18" t="str">
        <f>IF(AND('RAW DATA'!$L449&lt;&gt;"", 'RAW DATA'!$M449&lt;&gt;"",  'RAW DATA'!$J449="",  'RAW DATA'!$K449="", LEFT('RAW DATA'!$M449,17)&lt;&gt;"Oceanic Endeavour"), 'RAW DATA'!$L449, "")</f>
        <v/>
      </c>
      <c r="C449" s="18" t="str">
        <f>IF(AND('RAW DATA'!$L449&lt;&gt;"", 'RAW DATA'!$M449&lt;&gt;"",  'RAW DATA'!$J449="",  'RAW DATA'!$K449="", LEFT('RAW DATA'!$M449,17)&lt;&gt;"Oceanic Endeavour"), 'RAW DATA'!$M449, "")</f>
        <v/>
      </c>
      <c r="D449" s="19" t="str">
        <f t="shared" si="6"/>
        <v/>
      </c>
    </row>
    <row r="450" spans="2:4" x14ac:dyDescent="0.25">
      <c r="B450" s="18" t="str">
        <f>IF(AND('RAW DATA'!$L450&lt;&gt;"", 'RAW DATA'!$M450&lt;&gt;"",  'RAW DATA'!$J450="",  'RAW DATA'!$K450="", LEFT('RAW DATA'!$M450,17)&lt;&gt;"Oceanic Endeavour"), 'RAW DATA'!$L450, "")</f>
        <v/>
      </c>
      <c r="C450" s="18" t="str">
        <f>IF(AND('RAW DATA'!$L450&lt;&gt;"", 'RAW DATA'!$M450&lt;&gt;"",  'RAW DATA'!$J450="",  'RAW DATA'!$K450="", LEFT('RAW DATA'!$M450,17)&lt;&gt;"Oceanic Endeavour"), 'RAW DATA'!$M450, "")</f>
        <v/>
      </c>
      <c r="D450" s="19" t="str">
        <f t="shared" si="6"/>
        <v/>
      </c>
    </row>
    <row r="451" spans="2:4" x14ac:dyDescent="0.25">
      <c r="B451" s="18" t="str">
        <f>IF(AND('RAW DATA'!$L451&lt;&gt;"", 'RAW DATA'!$M451&lt;&gt;"",  'RAW DATA'!$J451="",  'RAW DATA'!$K451="", LEFT('RAW DATA'!$M451,17)&lt;&gt;"Oceanic Endeavour"), 'RAW DATA'!$L451, "")</f>
        <v/>
      </c>
      <c r="C451" s="18" t="str">
        <f>IF(AND('RAW DATA'!$L451&lt;&gt;"", 'RAW DATA'!$M451&lt;&gt;"",  'RAW DATA'!$J451="",  'RAW DATA'!$K451="", LEFT('RAW DATA'!$M451,17)&lt;&gt;"Oceanic Endeavour"), 'RAW DATA'!$M451, "")</f>
        <v/>
      </c>
      <c r="D451" s="19" t="str">
        <f t="shared" si="6"/>
        <v/>
      </c>
    </row>
    <row r="452" spans="2:4" x14ac:dyDescent="0.25">
      <c r="B452" s="18" t="str">
        <f>IF(AND('RAW DATA'!$L452&lt;&gt;"", 'RAW DATA'!$M452&lt;&gt;"",  'RAW DATA'!$J452="",  'RAW DATA'!$K452="", LEFT('RAW DATA'!$M452,17)&lt;&gt;"Oceanic Endeavour"), 'RAW DATA'!$L452, "")</f>
        <v/>
      </c>
      <c r="C452" s="18" t="str">
        <f>IF(AND('RAW DATA'!$L452&lt;&gt;"", 'RAW DATA'!$M452&lt;&gt;"",  'RAW DATA'!$J452="",  'RAW DATA'!$K452="", LEFT('RAW DATA'!$M452,17)&lt;&gt;"Oceanic Endeavour"), 'RAW DATA'!$M452, "")</f>
        <v/>
      </c>
      <c r="D452" s="19" t="str">
        <f t="shared" si="6"/>
        <v/>
      </c>
    </row>
    <row r="453" spans="2:4" x14ac:dyDescent="0.25">
      <c r="B453" s="18" t="str">
        <f>IF(AND('RAW DATA'!$L453&lt;&gt;"", 'RAW DATA'!$M453&lt;&gt;"",  'RAW DATA'!$J453="",  'RAW DATA'!$K453="", LEFT('RAW DATA'!$M453,17)&lt;&gt;"Oceanic Endeavour"), 'RAW DATA'!$L453, "")</f>
        <v/>
      </c>
      <c r="C453" s="18" t="str">
        <f>IF(AND('RAW DATA'!$L453&lt;&gt;"", 'RAW DATA'!$M453&lt;&gt;"",  'RAW DATA'!$J453="",  'RAW DATA'!$K453="", LEFT('RAW DATA'!$M453,17)&lt;&gt;"Oceanic Endeavour"), 'RAW DATA'!$M453, "")</f>
        <v/>
      </c>
      <c r="D453" s="19" t="str">
        <f t="shared" ref="D453:D516" si="7">IF(AND($B453&lt;&gt;"", $C453&lt;&gt;""), COUNTIF($C$4:$C$611, $C453), "")</f>
        <v/>
      </c>
    </row>
    <row r="454" spans="2:4" x14ac:dyDescent="0.25">
      <c r="B454" s="18" t="str">
        <f>IF(AND('RAW DATA'!$L454&lt;&gt;"", 'RAW DATA'!$M454&lt;&gt;"",  'RAW DATA'!$J454="",  'RAW DATA'!$K454="", LEFT('RAW DATA'!$M454,17)&lt;&gt;"Oceanic Endeavour"), 'RAW DATA'!$L454, "")</f>
        <v/>
      </c>
      <c r="C454" s="18" t="str">
        <f>IF(AND('RAW DATA'!$L454&lt;&gt;"", 'RAW DATA'!$M454&lt;&gt;"",  'RAW DATA'!$J454="",  'RAW DATA'!$K454="", LEFT('RAW DATA'!$M454,17)&lt;&gt;"Oceanic Endeavour"), 'RAW DATA'!$M454, "")</f>
        <v/>
      </c>
      <c r="D454" s="19" t="str">
        <f t="shared" si="7"/>
        <v/>
      </c>
    </row>
    <row r="455" spans="2:4" x14ac:dyDescent="0.25">
      <c r="B455" s="18" t="str">
        <f>IF(AND('RAW DATA'!$L455&lt;&gt;"", 'RAW DATA'!$M455&lt;&gt;"",  'RAW DATA'!$J455="",  'RAW DATA'!$K455="", LEFT('RAW DATA'!$M455,17)&lt;&gt;"Oceanic Endeavour"), 'RAW DATA'!$L455, "")</f>
        <v/>
      </c>
      <c r="C455" s="18" t="str">
        <f>IF(AND('RAW DATA'!$L455&lt;&gt;"", 'RAW DATA'!$M455&lt;&gt;"",  'RAW DATA'!$J455="",  'RAW DATA'!$K455="", LEFT('RAW DATA'!$M455,17)&lt;&gt;"Oceanic Endeavour"), 'RAW DATA'!$M455, "")</f>
        <v/>
      </c>
      <c r="D455" s="19" t="str">
        <f t="shared" si="7"/>
        <v/>
      </c>
    </row>
    <row r="456" spans="2:4" x14ac:dyDescent="0.25">
      <c r="B456" s="18" t="str">
        <f>IF(AND('RAW DATA'!$L456&lt;&gt;"", 'RAW DATA'!$M456&lt;&gt;"",  'RAW DATA'!$J456="",  'RAW DATA'!$K456="", LEFT('RAW DATA'!$M456,17)&lt;&gt;"Oceanic Endeavour"), 'RAW DATA'!$L456, "")</f>
        <v/>
      </c>
      <c r="C456" s="18" t="str">
        <f>IF(AND('RAW DATA'!$L456&lt;&gt;"", 'RAW DATA'!$M456&lt;&gt;"",  'RAW DATA'!$J456="",  'RAW DATA'!$K456="", LEFT('RAW DATA'!$M456,17)&lt;&gt;"Oceanic Endeavour"), 'RAW DATA'!$M456, "")</f>
        <v/>
      </c>
      <c r="D456" s="19" t="str">
        <f t="shared" si="7"/>
        <v/>
      </c>
    </row>
    <row r="457" spans="2:4" x14ac:dyDescent="0.25">
      <c r="B457" s="18" t="str">
        <f>IF(AND('RAW DATA'!$L457&lt;&gt;"", 'RAW DATA'!$M457&lt;&gt;"",  'RAW DATA'!$J457="",  'RAW DATA'!$K457="", LEFT('RAW DATA'!$M457,17)&lt;&gt;"Oceanic Endeavour"), 'RAW DATA'!$L457, "")</f>
        <v/>
      </c>
      <c r="C457" s="18" t="str">
        <f>IF(AND('RAW DATA'!$L457&lt;&gt;"", 'RAW DATA'!$M457&lt;&gt;"",  'RAW DATA'!$J457="",  'RAW DATA'!$K457="", LEFT('RAW DATA'!$M457,17)&lt;&gt;"Oceanic Endeavour"), 'RAW DATA'!$M457, "")</f>
        <v/>
      </c>
      <c r="D457" s="19" t="str">
        <f t="shared" si="7"/>
        <v/>
      </c>
    </row>
    <row r="458" spans="2:4" x14ac:dyDescent="0.25">
      <c r="B458" s="18" t="str">
        <f>IF(AND('RAW DATA'!$L458&lt;&gt;"", 'RAW DATA'!$M458&lt;&gt;"",  'RAW DATA'!$J458="",  'RAW DATA'!$K458="", LEFT('RAW DATA'!$M458,17)&lt;&gt;"Oceanic Endeavour"), 'RAW DATA'!$L458, "")</f>
        <v/>
      </c>
      <c r="C458" s="18" t="str">
        <f>IF(AND('RAW DATA'!$L458&lt;&gt;"", 'RAW DATA'!$M458&lt;&gt;"",  'RAW DATA'!$J458="",  'RAW DATA'!$K458="", LEFT('RAW DATA'!$M458,17)&lt;&gt;"Oceanic Endeavour"), 'RAW DATA'!$M458, "")</f>
        <v/>
      </c>
      <c r="D458" s="19" t="str">
        <f t="shared" si="7"/>
        <v/>
      </c>
    </row>
    <row r="459" spans="2:4" x14ac:dyDescent="0.25">
      <c r="B459" s="18" t="str">
        <f>IF(AND('RAW DATA'!$L459&lt;&gt;"", 'RAW DATA'!$M459&lt;&gt;"",  'RAW DATA'!$J459="",  'RAW DATA'!$K459="", LEFT('RAW DATA'!$M459,17)&lt;&gt;"Oceanic Endeavour"), 'RAW DATA'!$L459, "")</f>
        <v/>
      </c>
      <c r="C459" s="18" t="str">
        <f>IF(AND('RAW DATA'!$L459&lt;&gt;"", 'RAW DATA'!$M459&lt;&gt;"",  'RAW DATA'!$J459="",  'RAW DATA'!$K459="", LEFT('RAW DATA'!$M459,17)&lt;&gt;"Oceanic Endeavour"), 'RAW DATA'!$M459, "")</f>
        <v/>
      </c>
      <c r="D459" s="19" t="str">
        <f t="shared" si="7"/>
        <v/>
      </c>
    </row>
    <row r="460" spans="2:4" x14ac:dyDescent="0.25">
      <c r="B460" s="18" t="str">
        <f>IF(AND('RAW DATA'!$L460&lt;&gt;"", 'RAW DATA'!$M460&lt;&gt;"",  'RAW DATA'!$J460="",  'RAW DATA'!$K460="", LEFT('RAW DATA'!$M460,17)&lt;&gt;"Oceanic Endeavour"), 'RAW DATA'!$L460, "")</f>
        <v/>
      </c>
      <c r="C460" s="18" t="str">
        <f>IF(AND('RAW DATA'!$L460&lt;&gt;"", 'RAW DATA'!$M460&lt;&gt;"",  'RAW DATA'!$J460="",  'RAW DATA'!$K460="", LEFT('RAW DATA'!$M460,17)&lt;&gt;"Oceanic Endeavour"), 'RAW DATA'!$M460, "")</f>
        <v/>
      </c>
      <c r="D460" s="19" t="str">
        <f t="shared" si="7"/>
        <v/>
      </c>
    </row>
    <row r="461" spans="2:4" x14ac:dyDescent="0.25">
      <c r="B461" s="18" t="str">
        <f>IF(AND('RAW DATA'!$L461&lt;&gt;"", 'RAW DATA'!$M461&lt;&gt;"",  'RAW DATA'!$J461="",  'RAW DATA'!$K461="", LEFT('RAW DATA'!$M461,17)&lt;&gt;"Oceanic Endeavour"), 'RAW DATA'!$L461, "")</f>
        <v/>
      </c>
      <c r="C461" s="18" t="str">
        <f>IF(AND('RAW DATA'!$L461&lt;&gt;"", 'RAW DATA'!$M461&lt;&gt;"",  'RAW DATA'!$J461="",  'RAW DATA'!$K461="", LEFT('RAW DATA'!$M461,17)&lt;&gt;"Oceanic Endeavour"), 'RAW DATA'!$M461, "")</f>
        <v/>
      </c>
      <c r="D461" s="19" t="str">
        <f t="shared" si="7"/>
        <v/>
      </c>
    </row>
    <row r="462" spans="2:4" x14ac:dyDescent="0.25">
      <c r="B462" s="18" t="str">
        <f>IF(AND('RAW DATA'!$L462&lt;&gt;"", 'RAW DATA'!$M462&lt;&gt;"",  'RAW DATA'!$J462="",  'RAW DATA'!$K462="", LEFT('RAW DATA'!$M462,17)&lt;&gt;"Oceanic Endeavour"), 'RAW DATA'!$L462, "")</f>
        <v/>
      </c>
      <c r="C462" s="18" t="str">
        <f>IF(AND('RAW DATA'!$L462&lt;&gt;"", 'RAW DATA'!$M462&lt;&gt;"",  'RAW DATA'!$J462="",  'RAW DATA'!$K462="", LEFT('RAW DATA'!$M462,17)&lt;&gt;"Oceanic Endeavour"), 'RAW DATA'!$M462, "")</f>
        <v/>
      </c>
      <c r="D462" s="19" t="str">
        <f t="shared" si="7"/>
        <v/>
      </c>
    </row>
    <row r="463" spans="2:4" x14ac:dyDescent="0.25">
      <c r="B463" s="18" t="str">
        <f>IF(AND('RAW DATA'!$L463&lt;&gt;"", 'RAW DATA'!$M463&lt;&gt;"",  'RAW DATA'!$J463="",  'RAW DATA'!$K463="", LEFT('RAW DATA'!$M463,17)&lt;&gt;"Oceanic Endeavour"), 'RAW DATA'!$L463, "")</f>
        <v/>
      </c>
      <c r="C463" s="18" t="str">
        <f>IF(AND('RAW DATA'!$L463&lt;&gt;"", 'RAW DATA'!$M463&lt;&gt;"",  'RAW DATA'!$J463="",  'RAW DATA'!$K463="", LEFT('RAW DATA'!$M463,17)&lt;&gt;"Oceanic Endeavour"), 'RAW DATA'!$M463, "")</f>
        <v/>
      </c>
      <c r="D463" s="19" t="str">
        <f t="shared" si="7"/>
        <v/>
      </c>
    </row>
    <row r="464" spans="2:4" x14ac:dyDescent="0.25">
      <c r="B464" s="18" t="str">
        <f>IF(AND('RAW DATA'!$L464&lt;&gt;"", 'RAW DATA'!$M464&lt;&gt;"",  'RAW DATA'!$J464="",  'RAW DATA'!$K464="", LEFT('RAW DATA'!$M464,17)&lt;&gt;"Oceanic Endeavour"), 'RAW DATA'!$L464, "")</f>
        <v/>
      </c>
      <c r="C464" s="18" t="str">
        <f>IF(AND('RAW DATA'!$L464&lt;&gt;"", 'RAW DATA'!$M464&lt;&gt;"",  'RAW DATA'!$J464="",  'RAW DATA'!$K464="", LEFT('RAW DATA'!$M464,17)&lt;&gt;"Oceanic Endeavour"), 'RAW DATA'!$M464, "")</f>
        <v/>
      </c>
      <c r="D464" s="19" t="str">
        <f t="shared" si="7"/>
        <v/>
      </c>
    </row>
    <row r="465" spans="2:4" x14ac:dyDescent="0.25">
      <c r="B465" s="18" t="str">
        <f>IF(AND('RAW DATA'!$L465&lt;&gt;"", 'RAW DATA'!$M465&lt;&gt;"",  'RAW DATA'!$J465="",  'RAW DATA'!$K465="", LEFT('RAW DATA'!$M465,17)&lt;&gt;"Oceanic Endeavour"), 'RAW DATA'!$L465, "")</f>
        <v/>
      </c>
      <c r="C465" s="18" t="str">
        <f>IF(AND('RAW DATA'!$L465&lt;&gt;"", 'RAW DATA'!$M465&lt;&gt;"",  'RAW DATA'!$J465="",  'RAW DATA'!$K465="", LEFT('RAW DATA'!$M465,17)&lt;&gt;"Oceanic Endeavour"), 'RAW DATA'!$M465, "")</f>
        <v/>
      </c>
      <c r="D465" s="19" t="str">
        <f t="shared" si="7"/>
        <v/>
      </c>
    </row>
    <row r="466" spans="2:4" x14ac:dyDescent="0.25">
      <c r="B466" s="18" t="str">
        <f>IF(AND('RAW DATA'!$L466&lt;&gt;"", 'RAW DATA'!$M466&lt;&gt;"",  'RAW DATA'!$J466="",  'RAW DATA'!$K466="", LEFT('RAW DATA'!$M466,17)&lt;&gt;"Oceanic Endeavour"), 'RAW DATA'!$L466, "")</f>
        <v/>
      </c>
      <c r="C466" s="18" t="str">
        <f>IF(AND('RAW DATA'!$L466&lt;&gt;"", 'RAW DATA'!$M466&lt;&gt;"",  'RAW DATA'!$J466="",  'RAW DATA'!$K466="", LEFT('RAW DATA'!$M466,17)&lt;&gt;"Oceanic Endeavour"), 'RAW DATA'!$M466, "")</f>
        <v/>
      </c>
      <c r="D466" s="19" t="str">
        <f t="shared" si="7"/>
        <v/>
      </c>
    </row>
    <row r="467" spans="2:4" x14ac:dyDescent="0.25">
      <c r="B467" s="18" t="str">
        <f>IF(AND('RAW DATA'!$L467&lt;&gt;"", 'RAW DATA'!$M467&lt;&gt;"",  'RAW DATA'!$J467="",  'RAW DATA'!$K467="", LEFT('RAW DATA'!$M467,17)&lt;&gt;"Oceanic Endeavour"), 'RAW DATA'!$L467, "")</f>
        <v/>
      </c>
      <c r="C467" s="18" t="str">
        <f>IF(AND('RAW DATA'!$L467&lt;&gt;"", 'RAW DATA'!$M467&lt;&gt;"",  'RAW DATA'!$J467="",  'RAW DATA'!$K467="", LEFT('RAW DATA'!$M467,17)&lt;&gt;"Oceanic Endeavour"), 'RAW DATA'!$M467, "")</f>
        <v/>
      </c>
      <c r="D467" s="19" t="str">
        <f t="shared" si="7"/>
        <v/>
      </c>
    </row>
    <row r="468" spans="2:4" x14ac:dyDescent="0.25">
      <c r="B468" s="18" t="str">
        <f>IF(AND('RAW DATA'!$L468&lt;&gt;"", 'RAW DATA'!$M468&lt;&gt;"",  'RAW DATA'!$J468="",  'RAW DATA'!$K468="", LEFT('RAW DATA'!$M468,17)&lt;&gt;"Oceanic Endeavour"), 'RAW DATA'!$L468, "")</f>
        <v/>
      </c>
      <c r="C468" s="18" t="str">
        <f>IF(AND('RAW DATA'!$L468&lt;&gt;"", 'RAW DATA'!$M468&lt;&gt;"",  'RAW DATA'!$J468="",  'RAW DATA'!$K468="", LEFT('RAW DATA'!$M468,17)&lt;&gt;"Oceanic Endeavour"), 'RAW DATA'!$M468, "")</f>
        <v/>
      </c>
      <c r="D468" s="19" t="str">
        <f t="shared" si="7"/>
        <v/>
      </c>
    </row>
    <row r="469" spans="2:4" x14ac:dyDescent="0.25">
      <c r="B469" s="18" t="str">
        <f>IF(AND('RAW DATA'!$L469&lt;&gt;"", 'RAW DATA'!$M469&lt;&gt;"",  'RAW DATA'!$J469="",  'RAW DATA'!$K469="", LEFT('RAW DATA'!$M469,17)&lt;&gt;"Oceanic Endeavour"), 'RAW DATA'!$L469, "")</f>
        <v/>
      </c>
      <c r="C469" s="18" t="str">
        <f>IF(AND('RAW DATA'!$L469&lt;&gt;"", 'RAW DATA'!$M469&lt;&gt;"",  'RAW DATA'!$J469="",  'RAW DATA'!$K469="", LEFT('RAW DATA'!$M469,17)&lt;&gt;"Oceanic Endeavour"), 'RAW DATA'!$M469, "")</f>
        <v/>
      </c>
      <c r="D469" s="19" t="str">
        <f t="shared" si="7"/>
        <v/>
      </c>
    </row>
    <row r="470" spans="2:4" x14ac:dyDescent="0.25">
      <c r="B470" s="18" t="str">
        <f>IF(AND('RAW DATA'!$L470&lt;&gt;"", 'RAW DATA'!$M470&lt;&gt;"",  'RAW DATA'!$J470="",  'RAW DATA'!$K470="", LEFT('RAW DATA'!$M470,17)&lt;&gt;"Oceanic Endeavour"), 'RAW DATA'!$L470, "")</f>
        <v/>
      </c>
      <c r="C470" s="18" t="str">
        <f>IF(AND('RAW DATA'!$L470&lt;&gt;"", 'RAW DATA'!$M470&lt;&gt;"",  'RAW DATA'!$J470="",  'RAW DATA'!$K470="", LEFT('RAW DATA'!$M470,17)&lt;&gt;"Oceanic Endeavour"), 'RAW DATA'!$M470, "")</f>
        <v/>
      </c>
      <c r="D470" s="19" t="str">
        <f t="shared" si="7"/>
        <v/>
      </c>
    </row>
    <row r="471" spans="2:4" x14ac:dyDescent="0.25">
      <c r="B471" s="18" t="str">
        <f>IF(AND('RAW DATA'!$L471&lt;&gt;"", 'RAW DATA'!$M471&lt;&gt;"",  'RAW DATA'!$J471="",  'RAW DATA'!$K471="", LEFT('RAW DATA'!$M471,17)&lt;&gt;"Oceanic Endeavour"), 'RAW DATA'!$L471, "")</f>
        <v/>
      </c>
      <c r="C471" s="18" t="str">
        <f>IF(AND('RAW DATA'!$L471&lt;&gt;"", 'RAW DATA'!$M471&lt;&gt;"",  'RAW DATA'!$J471="",  'RAW DATA'!$K471="", LEFT('RAW DATA'!$M471,17)&lt;&gt;"Oceanic Endeavour"), 'RAW DATA'!$M471, "")</f>
        <v/>
      </c>
      <c r="D471" s="19" t="str">
        <f t="shared" si="7"/>
        <v/>
      </c>
    </row>
    <row r="472" spans="2:4" x14ac:dyDescent="0.25">
      <c r="B472" s="18" t="str">
        <f>IF(AND('RAW DATA'!$L472&lt;&gt;"", 'RAW DATA'!$M472&lt;&gt;"",  'RAW DATA'!$J472="",  'RAW DATA'!$K472="", LEFT('RAW DATA'!$M472,17)&lt;&gt;"Oceanic Endeavour"), 'RAW DATA'!$L472, "")</f>
        <v/>
      </c>
      <c r="C472" s="18" t="str">
        <f>IF(AND('RAW DATA'!$L472&lt;&gt;"", 'RAW DATA'!$M472&lt;&gt;"",  'RAW DATA'!$J472="",  'RAW DATA'!$K472="", LEFT('RAW DATA'!$M472,17)&lt;&gt;"Oceanic Endeavour"), 'RAW DATA'!$M472, "")</f>
        <v/>
      </c>
      <c r="D472" s="19" t="str">
        <f t="shared" si="7"/>
        <v/>
      </c>
    </row>
    <row r="473" spans="2:4" x14ac:dyDescent="0.25">
      <c r="B473" s="18" t="str">
        <f>IF(AND('RAW DATA'!$L473&lt;&gt;"", 'RAW DATA'!$M473&lt;&gt;"",  'RAW DATA'!$J473="",  'RAW DATA'!$K473="", LEFT('RAW DATA'!$M473,17)&lt;&gt;"Oceanic Endeavour"), 'RAW DATA'!$L473, "")</f>
        <v/>
      </c>
      <c r="C473" s="18" t="str">
        <f>IF(AND('RAW DATA'!$L473&lt;&gt;"", 'RAW DATA'!$M473&lt;&gt;"",  'RAW DATA'!$J473="",  'RAW DATA'!$K473="", LEFT('RAW DATA'!$M473,17)&lt;&gt;"Oceanic Endeavour"), 'RAW DATA'!$M473, "")</f>
        <v/>
      </c>
      <c r="D473" s="19" t="str">
        <f t="shared" si="7"/>
        <v/>
      </c>
    </row>
    <row r="474" spans="2:4" x14ac:dyDescent="0.25">
      <c r="B474" s="18" t="str">
        <f>IF(AND('RAW DATA'!$L474&lt;&gt;"", 'RAW DATA'!$M474&lt;&gt;"",  'RAW DATA'!$J474="",  'RAW DATA'!$K474="", LEFT('RAW DATA'!$M474,17)&lt;&gt;"Oceanic Endeavour"), 'RAW DATA'!$L474, "")</f>
        <v/>
      </c>
      <c r="C474" s="18" t="str">
        <f>IF(AND('RAW DATA'!$L474&lt;&gt;"", 'RAW DATA'!$M474&lt;&gt;"",  'RAW DATA'!$J474="",  'RAW DATA'!$K474="", LEFT('RAW DATA'!$M474,17)&lt;&gt;"Oceanic Endeavour"), 'RAW DATA'!$M474, "")</f>
        <v/>
      </c>
      <c r="D474" s="19" t="str">
        <f t="shared" si="7"/>
        <v/>
      </c>
    </row>
    <row r="475" spans="2:4" x14ac:dyDescent="0.25">
      <c r="B475" s="18" t="str">
        <f>IF(AND('RAW DATA'!$L475&lt;&gt;"", 'RAW DATA'!$M475&lt;&gt;"",  'RAW DATA'!$J475="",  'RAW DATA'!$K475="", LEFT('RAW DATA'!$M475,17)&lt;&gt;"Oceanic Endeavour"), 'RAW DATA'!$L475, "")</f>
        <v/>
      </c>
      <c r="C475" s="18" t="str">
        <f>IF(AND('RAW DATA'!$L475&lt;&gt;"", 'RAW DATA'!$M475&lt;&gt;"",  'RAW DATA'!$J475="",  'RAW DATA'!$K475="", LEFT('RAW DATA'!$M475,17)&lt;&gt;"Oceanic Endeavour"), 'RAW DATA'!$M475, "")</f>
        <v/>
      </c>
      <c r="D475" s="19" t="str">
        <f t="shared" si="7"/>
        <v/>
      </c>
    </row>
    <row r="476" spans="2:4" x14ac:dyDescent="0.25">
      <c r="B476" s="18" t="str">
        <f>IF(AND('RAW DATA'!$L476&lt;&gt;"", 'RAW DATA'!$M476&lt;&gt;"",  'RAW DATA'!$J476="",  'RAW DATA'!$K476="", LEFT('RAW DATA'!$M476,17)&lt;&gt;"Oceanic Endeavour"), 'RAW DATA'!$L476, "")</f>
        <v/>
      </c>
      <c r="C476" s="18" t="str">
        <f>IF(AND('RAW DATA'!$L476&lt;&gt;"", 'RAW DATA'!$M476&lt;&gt;"",  'RAW DATA'!$J476="",  'RAW DATA'!$K476="", LEFT('RAW DATA'!$M476,17)&lt;&gt;"Oceanic Endeavour"), 'RAW DATA'!$M476, "")</f>
        <v/>
      </c>
      <c r="D476" s="19" t="str">
        <f t="shared" si="7"/>
        <v/>
      </c>
    </row>
    <row r="477" spans="2:4" x14ac:dyDescent="0.25">
      <c r="B477" s="18" t="str">
        <f>IF(AND('RAW DATA'!$L477&lt;&gt;"", 'RAW DATA'!$M477&lt;&gt;"",  'RAW DATA'!$J477="",  'RAW DATA'!$K477="", LEFT('RAW DATA'!$M477,17)&lt;&gt;"Oceanic Endeavour"), 'RAW DATA'!$L477, "")</f>
        <v/>
      </c>
      <c r="C477" s="18" t="str">
        <f>IF(AND('RAW DATA'!$L477&lt;&gt;"", 'RAW DATA'!$M477&lt;&gt;"",  'RAW DATA'!$J477="",  'RAW DATA'!$K477="", LEFT('RAW DATA'!$M477,17)&lt;&gt;"Oceanic Endeavour"), 'RAW DATA'!$M477, "")</f>
        <v/>
      </c>
      <c r="D477" s="19" t="str">
        <f t="shared" si="7"/>
        <v/>
      </c>
    </row>
    <row r="478" spans="2:4" x14ac:dyDescent="0.25">
      <c r="B478" s="18" t="str">
        <f>IF(AND('RAW DATA'!$L478&lt;&gt;"", 'RAW DATA'!$M478&lt;&gt;"",  'RAW DATA'!$J478="",  'RAW DATA'!$K478="", LEFT('RAW DATA'!$M478,17)&lt;&gt;"Oceanic Endeavour"), 'RAW DATA'!$L478, "")</f>
        <v/>
      </c>
      <c r="C478" s="18" t="str">
        <f>IF(AND('RAW DATA'!$L478&lt;&gt;"", 'RAW DATA'!$M478&lt;&gt;"",  'RAW DATA'!$J478="",  'RAW DATA'!$K478="", LEFT('RAW DATA'!$M478,17)&lt;&gt;"Oceanic Endeavour"), 'RAW DATA'!$M478, "")</f>
        <v/>
      </c>
      <c r="D478" s="19" t="str">
        <f t="shared" si="7"/>
        <v/>
      </c>
    </row>
    <row r="479" spans="2:4" x14ac:dyDescent="0.25">
      <c r="B479" s="18" t="str">
        <f>IF(AND('RAW DATA'!$L479&lt;&gt;"", 'RAW DATA'!$M479&lt;&gt;"",  'RAW DATA'!$J479="",  'RAW DATA'!$K479="", LEFT('RAW DATA'!$M479,17)&lt;&gt;"Oceanic Endeavour"), 'RAW DATA'!$L479, "")</f>
        <v/>
      </c>
      <c r="C479" s="18" t="str">
        <f>IF(AND('RAW DATA'!$L479&lt;&gt;"", 'RAW DATA'!$M479&lt;&gt;"",  'RAW DATA'!$J479="",  'RAW DATA'!$K479="", LEFT('RAW DATA'!$M479,17)&lt;&gt;"Oceanic Endeavour"), 'RAW DATA'!$M479, "")</f>
        <v/>
      </c>
      <c r="D479" s="19" t="str">
        <f t="shared" si="7"/>
        <v/>
      </c>
    </row>
    <row r="480" spans="2:4" x14ac:dyDescent="0.25">
      <c r="B480" s="18" t="str">
        <f>IF(AND('RAW DATA'!$L480&lt;&gt;"", 'RAW DATA'!$M480&lt;&gt;"",  'RAW DATA'!$J480="",  'RAW DATA'!$K480="", LEFT('RAW DATA'!$M480,17)&lt;&gt;"Oceanic Endeavour"), 'RAW DATA'!$L480, "")</f>
        <v/>
      </c>
      <c r="C480" s="18" t="str">
        <f>IF(AND('RAW DATA'!$L480&lt;&gt;"", 'RAW DATA'!$M480&lt;&gt;"",  'RAW DATA'!$J480="",  'RAW DATA'!$K480="", LEFT('RAW DATA'!$M480,17)&lt;&gt;"Oceanic Endeavour"), 'RAW DATA'!$M480, "")</f>
        <v/>
      </c>
      <c r="D480" s="19" t="str">
        <f t="shared" si="7"/>
        <v/>
      </c>
    </row>
    <row r="481" spans="2:4" x14ac:dyDescent="0.25">
      <c r="B481" s="18" t="str">
        <f>IF(AND('RAW DATA'!$L481&lt;&gt;"", 'RAW DATA'!$M481&lt;&gt;"",  'RAW DATA'!$J481="",  'RAW DATA'!$K481="", LEFT('RAW DATA'!$M481,17)&lt;&gt;"Oceanic Endeavour"), 'RAW DATA'!$L481, "")</f>
        <v/>
      </c>
      <c r="C481" s="18" t="str">
        <f>IF(AND('RAW DATA'!$L481&lt;&gt;"", 'RAW DATA'!$M481&lt;&gt;"",  'RAW DATA'!$J481="",  'RAW DATA'!$K481="", LEFT('RAW DATA'!$M481,17)&lt;&gt;"Oceanic Endeavour"), 'RAW DATA'!$M481, "")</f>
        <v/>
      </c>
      <c r="D481" s="19" t="str">
        <f t="shared" si="7"/>
        <v/>
      </c>
    </row>
    <row r="482" spans="2:4" x14ac:dyDescent="0.25">
      <c r="B482" s="18" t="str">
        <f>IF(AND('RAW DATA'!$L482&lt;&gt;"", 'RAW DATA'!$M482&lt;&gt;"",  'RAW DATA'!$J482="",  'RAW DATA'!$K482="", LEFT('RAW DATA'!$M482,17)&lt;&gt;"Oceanic Endeavour"), 'RAW DATA'!$L482, "")</f>
        <v/>
      </c>
      <c r="C482" s="18" t="str">
        <f>IF(AND('RAW DATA'!$L482&lt;&gt;"", 'RAW DATA'!$M482&lt;&gt;"",  'RAW DATA'!$J482="",  'RAW DATA'!$K482="", LEFT('RAW DATA'!$M482,17)&lt;&gt;"Oceanic Endeavour"), 'RAW DATA'!$M482, "")</f>
        <v/>
      </c>
      <c r="D482" s="19" t="str">
        <f t="shared" si="7"/>
        <v/>
      </c>
    </row>
    <row r="483" spans="2:4" x14ac:dyDescent="0.25">
      <c r="B483" s="18" t="str">
        <f>IF(AND('RAW DATA'!$L483&lt;&gt;"", 'RAW DATA'!$M483&lt;&gt;"",  'RAW DATA'!$J483="",  'RAW DATA'!$K483="", LEFT('RAW DATA'!$M483,17)&lt;&gt;"Oceanic Endeavour"), 'RAW DATA'!$L483, "")</f>
        <v/>
      </c>
      <c r="C483" s="18" t="str">
        <f>IF(AND('RAW DATA'!$L483&lt;&gt;"", 'RAW DATA'!$M483&lt;&gt;"",  'RAW DATA'!$J483="",  'RAW DATA'!$K483="", LEFT('RAW DATA'!$M483,17)&lt;&gt;"Oceanic Endeavour"), 'RAW DATA'!$M483, "")</f>
        <v/>
      </c>
      <c r="D483" s="19" t="str">
        <f t="shared" si="7"/>
        <v/>
      </c>
    </row>
    <row r="484" spans="2:4" x14ac:dyDescent="0.25">
      <c r="B484" s="18" t="str">
        <f>IF(AND('RAW DATA'!$L484&lt;&gt;"", 'RAW DATA'!$M484&lt;&gt;"",  'RAW DATA'!$J484="",  'RAW DATA'!$K484="", LEFT('RAW DATA'!$M484,17)&lt;&gt;"Oceanic Endeavour"), 'RAW DATA'!$L484, "")</f>
        <v/>
      </c>
      <c r="C484" s="18" t="str">
        <f>IF(AND('RAW DATA'!$L484&lt;&gt;"", 'RAW DATA'!$M484&lt;&gt;"",  'RAW DATA'!$J484="",  'RAW DATA'!$K484="", LEFT('RAW DATA'!$M484,17)&lt;&gt;"Oceanic Endeavour"), 'RAW DATA'!$M484, "")</f>
        <v/>
      </c>
      <c r="D484" s="19" t="str">
        <f t="shared" si="7"/>
        <v/>
      </c>
    </row>
    <row r="485" spans="2:4" x14ac:dyDescent="0.25">
      <c r="B485" s="18" t="str">
        <f>IF(AND('RAW DATA'!$L485&lt;&gt;"", 'RAW DATA'!$M485&lt;&gt;"",  'RAW DATA'!$J485="",  'RAW DATA'!$K485="", LEFT('RAW DATA'!$M485,17)&lt;&gt;"Oceanic Endeavour"), 'RAW DATA'!$L485, "")</f>
        <v/>
      </c>
      <c r="C485" s="18" t="str">
        <f>IF(AND('RAW DATA'!$L485&lt;&gt;"", 'RAW DATA'!$M485&lt;&gt;"",  'RAW DATA'!$J485="",  'RAW DATA'!$K485="", LEFT('RAW DATA'!$M485,17)&lt;&gt;"Oceanic Endeavour"), 'RAW DATA'!$M485, "")</f>
        <v/>
      </c>
      <c r="D485" s="19" t="str">
        <f t="shared" si="7"/>
        <v/>
      </c>
    </row>
    <row r="486" spans="2:4" x14ac:dyDescent="0.25">
      <c r="B486" s="18" t="str">
        <f>IF(AND('RAW DATA'!$L486&lt;&gt;"", 'RAW DATA'!$M486&lt;&gt;"",  'RAW DATA'!$J486="",  'RAW DATA'!$K486="", LEFT('RAW DATA'!$M486,17)&lt;&gt;"Oceanic Endeavour"), 'RAW DATA'!$L486, "")</f>
        <v/>
      </c>
      <c r="C486" s="18" t="str">
        <f>IF(AND('RAW DATA'!$L486&lt;&gt;"", 'RAW DATA'!$M486&lt;&gt;"",  'RAW DATA'!$J486="",  'RAW DATA'!$K486="", LEFT('RAW DATA'!$M486,17)&lt;&gt;"Oceanic Endeavour"), 'RAW DATA'!$M486, "")</f>
        <v/>
      </c>
      <c r="D486" s="19" t="str">
        <f t="shared" si="7"/>
        <v/>
      </c>
    </row>
    <row r="487" spans="2:4" x14ac:dyDescent="0.25">
      <c r="B487" s="18" t="str">
        <f>IF(AND('RAW DATA'!$L487&lt;&gt;"", 'RAW DATA'!$M487&lt;&gt;"",  'RAW DATA'!$J487="",  'RAW DATA'!$K487="", LEFT('RAW DATA'!$M487,17)&lt;&gt;"Oceanic Endeavour"), 'RAW DATA'!$L487, "")</f>
        <v/>
      </c>
      <c r="C487" s="18" t="str">
        <f>IF(AND('RAW DATA'!$L487&lt;&gt;"", 'RAW DATA'!$M487&lt;&gt;"",  'RAW DATA'!$J487="",  'RAW DATA'!$K487="", LEFT('RAW DATA'!$M487,17)&lt;&gt;"Oceanic Endeavour"), 'RAW DATA'!$M487, "")</f>
        <v/>
      </c>
      <c r="D487" s="19" t="str">
        <f t="shared" si="7"/>
        <v/>
      </c>
    </row>
    <row r="488" spans="2:4" x14ac:dyDescent="0.25">
      <c r="B488" s="18" t="str">
        <f>IF(AND('RAW DATA'!$L488&lt;&gt;"", 'RAW DATA'!$M488&lt;&gt;"",  'RAW DATA'!$J488="",  'RAW DATA'!$K488="", LEFT('RAW DATA'!$M488,17)&lt;&gt;"Oceanic Endeavour"), 'RAW DATA'!$L488, "")</f>
        <v/>
      </c>
      <c r="C488" s="18" t="str">
        <f>IF(AND('RAW DATA'!$L488&lt;&gt;"", 'RAW DATA'!$M488&lt;&gt;"",  'RAW DATA'!$J488="",  'RAW DATA'!$K488="", LEFT('RAW DATA'!$M488,17)&lt;&gt;"Oceanic Endeavour"), 'RAW DATA'!$M488, "")</f>
        <v/>
      </c>
      <c r="D488" s="19" t="str">
        <f t="shared" si="7"/>
        <v/>
      </c>
    </row>
    <row r="489" spans="2:4" x14ac:dyDescent="0.25">
      <c r="B489" s="18" t="str">
        <f>IF(AND('RAW DATA'!$L489&lt;&gt;"", 'RAW DATA'!$M489&lt;&gt;"",  'RAW DATA'!$J489="",  'RAW DATA'!$K489="", LEFT('RAW DATA'!$M489,17)&lt;&gt;"Oceanic Endeavour"), 'RAW DATA'!$L489, "")</f>
        <v/>
      </c>
      <c r="C489" s="18" t="str">
        <f>IF(AND('RAW DATA'!$L489&lt;&gt;"", 'RAW DATA'!$M489&lt;&gt;"",  'RAW DATA'!$J489="",  'RAW DATA'!$K489="", LEFT('RAW DATA'!$M489,17)&lt;&gt;"Oceanic Endeavour"), 'RAW DATA'!$M489, "")</f>
        <v/>
      </c>
      <c r="D489" s="19" t="str">
        <f t="shared" si="7"/>
        <v/>
      </c>
    </row>
    <row r="490" spans="2:4" x14ac:dyDescent="0.25">
      <c r="B490" s="18" t="str">
        <f>IF(AND('RAW DATA'!$L490&lt;&gt;"", 'RAW DATA'!$M490&lt;&gt;"",  'RAW DATA'!$J490="",  'RAW DATA'!$K490="", LEFT('RAW DATA'!$M490,17)&lt;&gt;"Oceanic Endeavour"), 'RAW DATA'!$L490, "")</f>
        <v/>
      </c>
      <c r="C490" s="18" t="str">
        <f>IF(AND('RAW DATA'!$L490&lt;&gt;"", 'RAW DATA'!$M490&lt;&gt;"",  'RAW DATA'!$J490="",  'RAW DATA'!$K490="", LEFT('RAW DATA'!$M490,17)&lt;&gt;"Oceanic Endeavour"), 'RAW DATA'!$M490, "")</f>
        <v/>
      </c>
      <c r="D490" s="19" t="str">
        <f t="shared" si="7"/>
        <v/>
      </c>
    </row>
    <row r="491" spans="2:4" x14ac:dyDescent="0.25">
      <c r="B491" s="18" t="str">
        <f>IF(AND('RAW DATA'!$L491&lt;&gt;"", 'RAW DATA'!$M491&lt;&gt;"",  'RAW DATA'!$J491="",  'RAW DATA'!$K491="", LEFT('RAW DATA'!$M491,17)&lt;&gt;"Oceanic Endeavour"), 'RAW DATA'!$L491, "")</f>
        <v/>
      </c>
      <c r="C491" s="18" t="str">
        <f>IF(AND('RAW DATA'!$L491&lt;&gt;"", 'RAW DATA'!$M491&lt;&gt;"",  'RAW DATA'!$J491="",  'RAW DATA'!$K491="", LEFT('RAW DATA'!$M491,17)&lt;&gt;"Oceanic Endeavour"), 'RAW DATA'!$M491, "")</f>
        <v/>
      </c>
      <c r="D491" s="19" t="str">
        <f t="shared" si="7"/>
        <v/>
      </c>
    </row>
    <row r="492" spans="2:4" x14ac:dyDescent="0.25">
      <c r="B492" s="18" t="str">
        <f>IF(AND('RAW DATA'!$L492&lt;&gt;"", 'RAW DATA'!$M492&lt;&gt;"",  'RAW DATA'!$J492="",  'RAW DATA'!$K492="", LEFT('RAW DATA'!$M492,17)&lt;&gt;"Oceanic Endeavour"), 'RAW DATA'!$L492, "")</f>
        <v/>
      </c>
      <c r="C492" s="18" t="str">
        <f>IF(AND('RAW DATA'!$L492&lt;&gt;"", 'RAW DATA'!$M492&lt;&gt;"",  'RAW DATA'!$J492="",  'RAW DATA'!$K492="", LEFT('RAW DATA'!$M492,17)&lt;&gt;"Oceanic Endeavour"), 'RAW DATA'!$M492, "")</f>
        <v/>
      </c>
      <c r="D492" s="19" t="str">
        <f t="shared" si="7"/>
        <v/>
      </c>
    </row>
    <row r="493" spans="2:4" x14ac:dyDescent="0.25">
      <c r="B493" s="18" t="str">
        <f>IF(AND('RAW DATA'!$L493&lt;&gt;"", 'RAW DATA'!$M493&lt;&gt;"",  'RAW DATA'!$J493="",  'RAW DATA'!$K493="", LEFT('RAW DATA'!$M493,17)&lt;&gt;"Oceanic Endeavour"), 'RAW DATA'!$L493, "")</f>
        <v/>
      </c>
      <c r="C493" s="18" t="str">
        <f>IF(AND('RAW DATA'!$L493&lt;&gt;"", 'RAW DATA'!$M493&lt;&gt;"",  'RAW DATA'!$J493="",  'RAW DATA'!$K493="", LEFT('RAW DATA'!$M493,17)&lt;&gt;"Oceanic Endeavour"), 'RAW DATA'!$M493, "")</f>
        <v/>
      </c>
      <c r="D493" s="19" t="str">
        <f t="shared" si="7"/>
        <v/>
      </c>
    </row>
    <row r="494" spans="2:4" x14ac:dyDescent="0.25">
      <c r="B494" s="18" t="str">
        <f>IF(AND('RAW DATA'!$L494&lt;&gt;"", 'RAW DATA'!$M494&lt;&gt;"",  'RAW DATA'!$J494="",  'RAW DATA'!$K494="", LEFT('RAW DATA'!$M494,17)&lt;&gt;"Oceanic Endeavour"), 'RAW DATA'!$L494, "")</f>
        <v/>
      </c>
      <c r="C494" s="18" t="str">
        <f>IF(AND('RAW DATA'!$L494&lt;&gt;"", 'RAW DATA'!$M494&lt;&gt;"",  'RAW DATA'!$J494="",  'RAW DATA'!$K494="", LEFT('RAW DATA'!$M494,17)&lt;&gt;"Oceanic Endeavour"), 'RAW DATA'!$M494, "")</f>
        <v/>
      </c>
      <c r="D494" s="19" t="str">
        <f t="shared" si="7"/>
        <v/>
      </c>
    </row>
    <row r="495" spans="2:4" x14ac:dyDescent="0.25">
      <c r="B495" s="18" t="str">
        <f>IF(AND('RAW DATA'!$L495&lt;&gt;"", 'RAW DATA'!$M495&lt;&gt;"",  'RAW DATA'!$J495="",  'RAW DATA'!$K495="", LEFT('RAW DATA'!$M495,17)&lt;&gt;"Oceanic Endeavour"), 'RAW DATA'!$L495, "")</f>
        <v/>
      </c>
      <c r="C495" s="18" t="str">
        <f>IF(AND('RAW DATA'!$L495&lt;&gt;"", 'RAW DATA'!$M495&lt;&gt;"",  'RAW DATA'!$J495="",  'RAW DATA'!$K495="", LEFT('RAW DATA'!$M495,17)&lt;&gt;"Oceanic Endeavour"), 'RAW DATA'!$M495, "")</f>
        <v/>
      </c>
      <c r="D495" s="19" t="str">
        <f t="shared" si="7"/>
        <v/>
      </c>
    </row>
    <row r="496" spans="2:4" x14ac:dyDescent="0.25">
      <c r="B496" s="18" t="str">
        <f>IF(AND('RAW DATA'!$L496&lt;&gt;"", 'RAW DATA'!$M496&lt;&gt;"",  'RAW DATA'!$J496="",  'RAW DATA'!$K496="", LEFT('RAW DATA'!$M496,17)&lt;&gt;"Oceanic Endeavour"), 'RAW DATA'!$L496, "")</f>
        <v/>
      </c>
      <c r="C496" s="18" t="str">
        <f>IF(AND('RAW DATA'!$L496&lt;&gt;"", 'RAW DATA'!$M496&lt;&gt;"",  'RAW DATA'!$J496="",  'RAW DATA'!$K496="", LEFT('RAW DATA'!$M496,17)&lt;&gt;"Oceanic Endeavour"), 'RAW DATA'!$M496, "")</f>
        <v/>
      </c>
      <c r="D496" s="19" t="str">
        <f t="shared" si="7"/>
        <v/>
      </c>
    </row>
    <row r="497" spans="2:4" x14ac:dyDescent="0.25">
      <c r="B497" s="18" t="str">
        <f>IF(AND('RAW DATA'!$L497&lt;&gt;"", 'RAW DATA'!$M497&lt;&gt;"",  'RAW DATA'!$J497="",  'RAW DATA'!$K497="", LEFT('RAW DATA'!$M497,17)&lt;&gt;"Oceanic Endeavour"), 'RAW DATA'!$L497, "")</f>
        <v/>
      </c>
      <c r="C497" s="18" t="str">
        <f>IF(AND('RAW DATA'!$L497&lt;&gt;"", 'RAW DATA'!$M497&lt;&gt;"",  'RAW DATA'!$J497="",  'RAW DATA'!$K497="", LEFT('RAW DATA'!$M497,17)&lt;&gt;"Oceanic Endeavour"), 'RAW DATA'!$M497, "")</f>
        <v/>
      </c>
      <c r="D497" s="19" t="str">
        <f t="shared" si="7"/>
        <v/>
      </c>
    </row>
    <row r="498" spans="2:4" x14ac:dyDescent="0.25">
      <c r="B498" s="18" t="str">
        <f>IF(AND('RAW DATA'!$L498&lt;&gt;"", 'RAW DATA'!$M498&lt;&gt;"",  'RAW DATA'!$J498="",  'RAW DATA'!$K498="", LEFT('RAW DATA'!$M498,17)&lt;&gt;"Oceanic Endeavour"), 'RAW DATA'!$L498, "")</f>
        <v/>
      </c>
      <c r="C498" s="18" t="str">
        <f>IF(AND('RAW DATA'!$L498&lt;&gt;"", 'RAW DATA'!$M498&lt;&gt;"",  'RAW DATA'!$J498="",  'RAW DATA'!$K498="", LEFT('RAW DATA'!$M498,17)&lt;&gt;"Oceanic Endeavour"), 'RAW DATA'!$M498, "")</f>
        <v/>
      </c>
      <c r="D498" s="19" t="str">
        <f t="shared" si="7"/>
        <v/>
      </c>
    </row>
    <row r="499" spans="2:4" x14ac:dyDescent="0.25">
      <c r="B499" s="18" t="str">
        <f>IF(AND('RAW DATA'!$L499&lt;&gt;"", 'RAW DATA'!$M499&lt;&gt;"",  'RAW DATA'!$J499="",  'RAW DATA'!$K499="", LEFT('RAW DATA'!$M499,17)&lt;&gt;"Oceanic Endeavour"), 'RAW DATA'!$L499, "")</f>
        <v/>
      </c>
      <c r="C499" s="18" t="str">
        <f>IF(AND('RAW DATA'!$L499&lt;&gt;"", 'RAW DATA'!$M499&lt;&gt;"",  'RAW DATA'!$J499="",  'RAW DATA'!$K499="", LEFT('RAW DATA'!$M499,17)&lt;&gt;"Oceanic Endeavour"), 'RAW DATA'!$M499, "")</f>
        <v/>
      </c>
      <c r="D499" s="19" t="str">
        <f t="shared" si="7"/>
        <v/>
      </c>
    </row>
    <row r="500" spans="2:4" x14ac:dyDescent="0.25">
      <c r="B500" s="18" t="str">
        <f>IF(AND('RAW DATA'!$L500&lt;&gt;"", 'RAW DATA'!$M500&lt;&gt;"",  'RAW DATA'!$J500="",  'RAW DATA'!$K500="", LEFT('RAW DATA'!$M500,17)&lt;&gt;"Oceanic Endeavour"), 'RAW DATA'!$L500, "")</f>
        <v/>
      </c>
      <c r="C500" s="18" t="str">
        <f>IF(AND('RAW DATA'!$L500&lt;&gt;"", 'RAW DATA'!$M500&lt;&gt;"",  'RAW DATA'!$J500="",  'RAW DATA'!$K500="", LEFT('RAW DATA'!$M500,17)&lt;&gt;"Oceanic Endeavour"), 'RAW DATA'!$M500, "")</f>
        <v/>
      </c>
      <c r="D500" s="19" t="str">
        <f t="shared" si="7"/>
        <v/>
      </c>
    </row>
    <row r="501" spans="2:4" x14ac:dyDescent="0.25">
      <c r="B501" s="18" t="str">
        <f>IF(AND('RAW DATA'!$L501&lt;&gt;"", 'RAW DATA'!$M501&lt;&gt;"",  'RAW DATA'!$J501="",  'RAW DATA'!$K501="", LEFT('RAW DATA'!$M501,17)&lt;&gt;"Oceanic Endeavour"), 'RAW DATA'!$L501, "")</f>
        <v/>
      </c>
      <c r="C501" s="18" t="str">
        <f>IF(AND('RAW DATA'!$L501&lt;&gt;"", 'RAW DATA'!$M501&lt;&gt;"",  'RAW DATA'!$J501="",  'RAW DATA'!$K501="", LEFT('RAW DATA'!$M501,17)&lt;&gt;"Oceanic Endeavour"), 'RAW DATA'!$M501, "")</f>
        <v/>
      </c>
      <c r="D501" s="19" t="str">
        <f t="shared" si="7"/>
        <v/>
      </c>
    </row>
    <row r="502" spans="2:4" x14ac:dyDescent="0.25">
      <c r="B502" s="18" t="str">
        <f>IF(AND('RAW DATA'!$L502&lt;&gt;"", 'RAW DATA'!$M502&lt;&gt;"",  'RAW DATA'!$J502="",  'RAW DATA'!$K502="", LEFT('RAW DATA'!$M502,17)&lt;&gt;"Oceanic Endeavour"), 'RAW DATA'!$L502, "")</f>
        <v/>
      </c>
      <c r="C502" s="18" t="str">
        <f>IF(AND('RAW DATA'!$L502&lt;&gt;"", 'RAW DATA'!$M502&lt;&gt;"",  'RAW DATA'!$J502="",  'RAW DATA'!$K502="", LEFT('RAW DATA'!$M502,17)&lt;&gt;"Oceanic Endeavour"), 'RAW DATA'!$M502, "")</f>
        <v/>
      </c>
      <c r="D502" s="19" t="str">
        <f t="shared" si="7"/>
        <v/>
      </c>
    </row>
    <row r="503" spans="2:4" x14ac:dyDescent="0.25">
      <c r="B503" s="18" t="str">
        <f>IF(AND('RAW DATA'!$L503&lt;&gt;"", 'RAW DATA'!$M503&lt;&gt;"",  'RAW DATA'!$J503="",  'RAW DATA'!$K503="", LEFT('RAW DATA'!$M503,17)&lt;&gt;"Oceanic Endeavour"), 'RAW DATA'!$L503, "")</f>
        <v/>
      </c>
      <c r="C503" s="18" t="str">
        <f>IF(AND('RAW DATA'!$L503&lt;&gt;"", 'RAW DATA'!$M503&lt;&gt;"",  'RAW DATA'!$J503="",  'RAW DATA'!$K503="", LEFT('RAW DATA'!$M503,17)&lt;&gt;"Oceanic Endeavour"), 'RAW DATA'!$M503, "")</f>
        <v/>
      </c>
      <c r="D503" s="19" t="str">
        <f t="shared" si="7"/>
        <v/>
      </c>
    </row>
    <row r="504" spans="2:4" x14ac:dyDescent="0.25">
      <c r="B504" s="18" t="str">
        <f>IF(AND('RAW DATA'!$L504&lt;&gt;"", 'RAW DATA'!$M504&lt;&gt;"",  'RAW DATA'!$J504="",  'RAW DATA'!$K504="", LEFT('RAW DATA'!$M504,17)&lt;&gt;"Oceanic Endeavour"), 'RAW DATA'!$L504, "")</f>
        <v/>
      </c>
      <c r="C504" s="18" t="str">
        <f>IF(AND('RAW DATA'!$L504&lt;&gt;"", 'RAW DATA'!$M504&lt;&gt;"",  'RAW DATA'!$J504="",  'RAW DATA'!$K504="", LEFT('RAW DATA'!$M504,17)&lt;&gt;"Oceanic Endeavour"), 'RAW DATA'!$M504, "")</f>
        <v/>
      </c>
      <c r="D504" s="19" t="str">
        <f t="shared" si="7"/>
        <v/>
      </c>
    </row>
    <row r="505" spans="2:4" x14ac:dyDescent="0.25">
      <c r="B505" s="18" t="str">
        <f>IF(AND('RAW DATA'!$L505&lt;&gt;"", 'RAW DATA'!$M505&lt;&gt;"",  'RAW DATA'!$J505="",  'RAW DATA'!$K505="", LEFT('RAW DATA'!$M505,17)&lt;&gt;"Oceanic Endeavour"), 'RAW DATA'!$L505, "")</f>
        <v/>
      </c>
      <c r="C505" s="18" t="str">
        <f>IF(AND('RAW DATA'!$L505&lt;&gt;"", 'RAW DATA'!$M505&lt;&gt;"",  'RAW DATA'!$J505="",  'RAW DATA'!$K505="", LEFT('RAW DATA'!$M505,17)&lt;&gt;"Oceanic Endeavour"), 'RAW DATA'!$M505, "")</f>
        <v/>
      </c>
      <c r="D505" s="19" t="str">
        <f t="shared" si="7"/>
        <v/>
      </c>
    </row>
    <row r="506" spans="2:4" x14ac:dyDescent="0.25">
      <c r="B506" s="18" t="str">
        <f>IF(AND('RAW DATA'!$L506&lt;&gt;"", 'RAW DATA'!$M506&lt;&gt;"",  'RAW DATA'!$J506="",  'RAW DATA'!$K506="", LEFT('RAW DATA'!$M506,17)&lt;&gt;"Oceanic Endeavour"), 'RAW DATA'!$L506, "")</f>
        <v/>
      </c>
      <c r="C506" s="18" t="str">
        <f>IF(AND('RAW DATA'!$L506&lt;&gt;"", 'RAW DATA'!$M506&lt;&gt;"",  'RAW DATA'!$J506="",  'RAW DATA'!$K506="", LEFT('RAW DATA'!$M506,17)&lt;&gt;"Oceanic Endeavour"), 'RAW DATA'!$M506, "")</f>
        <v/>
      </c>
      <c r="D506" s="19" t="str">
        <f t="shared" si="7"/>
        <v/>
      </c>
    </row>
    <row r="507" spans="2:4" x14ac:dyDescent="0.25">
      <c r="B507" s="18" t="str">
        <f>IF(AND('RAW DATA'!$L507&lt;&gt;"", 'RAW DATA'!$M507&lt;&gt;"",  'RAW DATA'!$J507="",  'RAW DATA'!$K507="", LEFT('RAW DATA'!$M507,17)&lt;&gt;"Oceanic Endeavour"), 'RAW DATA'!$L507, "")</f>
        <v/>
      </c>
      <c r="C507" s="18" t="str">
        <f>IF(AND('RAW DATA'!$L507&lt;&gt;"", 'RAW DATA'!$M507&lt;&gt;"",  'RAW DATA'!$J507="",  'RAW DATA'!$K507="", LEFT('RAW DATA'!$M507,17)&lt;&gt;"Oceanic Endeavour"), 'RAW DATA'!$M507, "")</f>
        <v/>
      </c>
      <c r="D507" s="19" t="str">
        <f t="shared" si="7"/>
        <v/>
      </c>
    </row>
    <row r="508" spans="2:4" x14ac:dyDescent="0.25">
      <c r="B508" s="18" t="str">
        <f>IF(AND('RAW DATA'!$L508&lt;&gt;"", 'RAW DATA'!$M508&lt;&gt;"",  'RAW DATA'!$J508="",  'RAW DATA'!$K508="", LEFT('RAW DATA'!$M508,17)&lt;&gt;"Oceanic Endeavour"), 'RAW DATA'!$L508, "")</f>
        <v/>
      </c>
      <c r="C508" s="18" t="str">
        <f>IF(AND('RAW DATA'!$L508&lt;&gt;"", 'RAW DATA'!$M508&lt;&gt;"",  'RAW DATA'!$J508="",  'RAW DATA'!$K508="", LEFT('RAW DATA'!$M508,17)&lt;&gt;"Oceanic Endeavour"), 'RAW DATA'!$M508, "")</f>
        <v/>
      </c>
      <c r="D508" s="19" t="str">
        <f t="shared" si="7"/>
        <v/>
      </c>
    </row>
    <row r="509" spans="2:4" x14ac:dyDescent="0.25">
      <c r="B509" s="18" t="str">
        <f>IF(AND('RAW DATA'!$L509&lt;&gt;"", 'RAW DATA'!$M509&lt;&gt;"",  'RAW DATA'!$J509="",  'RAW DATA'!$K509="", LEFT('RAW DATA'!$M509,17)&lt;&gt;"Oceanic Endeavour"), 'RAW DATA'!$L509, "")</f>
        <v/>
      </c>
      <c r="C509" s="18" t="str">
        <f>IF(AND('RAW DATA'!$L509&lt;&gt;"", 'RAW DATA'!$M509&lt;&gt;"",  'RAW DATA'!$J509="",  'RAW DATA'!$K509="", LEFT('RAW DATA'!$M509,17)&lt;&gt;"Oceanic Endeavour"), 'RAW DATA'!$M509, "")</f>
        <v/>
      </c>
      <c r="D509" s="19" t="str">
        <f t="shared" si="7"/>
        <v/>
      </c>
    </row>
    <row r="510" spans="2:4" x14ac:dyDescent="0.25">
      <c r="B510" s="18" t="str">
        <f>IF(AND('RAW DATA'!$L510&lt;&gt;"", 'RAW DATA'!$M510&lt;&gt;"",  'RAW DATA'!$J510="",  'RAW DATA'!$K510="", LEFT('RAW DATA'!$M510,17)&lt;&gt;"Oceanic Endeavour"), 'RAW DATA'!$L510, "")</f>
        <v/>
      </c>
      <c r="C510" s="18" t="str">
        <f>IF(AND('RAW DATA'!$L510&lt;&gt;"", 'RAW DATA'!$M510&lt;&gt;"",  'RAW DATA'!$J510="",  'RAW DATA'!$K510="", LEFT('RAW DATA'!$M510,17)&lt;&gt;"Oceanic Endeavour"), 'RAW DATA'!$M510, "")</f>
        <v/>
      </c>
      <c r="D510" s="19" t="str">
        <f t="shared" si="7"/>
        <v/>
      </c>
    </row>
    <row r="511" spans="2:4" x14ac:dyDescent="0.25">
      <c r="B511" s="18" t="str">
        <f>IF(AND('RAW DATA'!$L511&lt;&gt;"", 'RAW DATA'!$M511&lt;&gt;"",  'RAW DATA'!$J511="",  'RAW DATA'!$K511="", LEFT('RAW DATA'!$M511,17)&lt;&gt;"Oceanic Endeavour"), 'RAW DATA'!$L511, "")</f>
        <v/>
      </c>
      <c r="C511" s="18" t="str">
        <f>IF(AND('RAW DATA'!$L511&lt;&gt;"", 'RAW DATA'!$M511&lt;&gt;"",  'RAW DATA'!$J511="",  'RAW DATA'!$K511="", LEFT('RAW DATA'!$M511,17)&lt;&gt;"Oceanic Endeavour"), 'RAW DATA'!$M511, "")</f>
        <v/>
      </c>
      <c r="D511" s="19" t="str">
        <f t="shared" si="7"/>
        <v/>
      </c>
    </row>
    <row r="512" spans="2:4" x14ac:dyDescent="0.25">
      <c r="B512" s="18" t="str">
        <f>IF(AND('RAW DATA'!$L512&lt;&gt;"", 'RAW DATA'!$M512&lt;&gt;"",  'RAW DATA'!$J512="",  'RAW DATA'!$K512="", LEFT('RAW DATA'!$M512,17)&lt;&gt;"Oceanic Endeavour"), 'RAW DATA'!$L512, "")</f>
        <v/>
      </c>
      <c r="C512" s="18" t="str">
        <f>IF(AND('RAW DATA'!$L512&lt;&gt;"", 'RAW DATA'!$M512&lt;&gt;"",  'RAW DATA'!$J512="",  'RAW DATA'!$K512="", LEFT('RAW DATA'!$M512,17)&lt;&gt;"Oceanic Endeavour"), 'RAW DATA'!$M512, "")</f>
        <v/>
      </c>
      <c r="D512" s="19" t="str">
        <f t="shared" si="7"/>
        <v/>
      </c>
    </row>
    <row r="513" spans="2:4" x14ac:dyDescent="0.25">
      <c r="B513" s="18" t="str">
        <f>IF(AND('RAW DATA'!$L513&lt;&gt;"", 'RAW DATA'!$M513&lt;&gt;"",  'RAW DATA'!$J513="",  'RAW DATA'!$K513="", LEFT('RAW DATA'!$M513,17)&lt;&gt;"Oceanic Endeavour"), 'RAW DATA'!$L513, "")</f>
        <v/>
      </c>
      <c r="C513" s="18" t="str">
        <f>IF(AND('RAW DATA'!$L513&lt;&gt;"", 'RAW DATA'!$M513&lt;&gt;"",  'RAW DATA'!$J513="",  'RAW DATA'!$K513="", LEFT('RAW DATA'!$M513,17)&lt;&gt;"Oceanic Endeavour"), 'RAW DATA'!$M513, "")</f>
        <v/>
      </c>
      <c r="D513" s="19" t="str">
        <f t="shared" si="7"/>
        <v/>
      </c>
    </row>
    <row r="514" spans="2:4" x14ac:dyDescent="0.25">
      <c r="B514" s="18" t="str">
        <f>IF(AND('RAW DATA'!$L514&lt;&gt;"", 'RAW DATA'!$M514&lt;&gt;"",  'RAW DATA'!$J514="",  'RAW DATA'!$K514="", LEFT('RAW DATA'!$M514,17)&lt;&gt;"Oceanic Endeavour"), 'RAW DATA'!$L514, "")</f>
        <v/>
      </c>
      <c r="C514" s="18" t="str">
        <f>IF(AND('RAW DATA'!$L514&lt;&gt;"", 'RAW DATA'!$M514&lt;&gt;"",  'RAW DATA'!$J514="",  'RAW DATA'!$K514="", LEFT('RAW DATA'!$M514,17)&lt;&gt;"Oceanic Endeavour"), 'RAW DATA'!$M514, "")</f>
        <v/>
      </c>
      <c r="D514" s="19" t="str">
        <f t="shared" si="7"/>
        <v/>
      </c>
    </row>
    <row r="515" spans="2:4" x14ac:dyDescent="0.25">
      <c r="B515" s="18" t="str">
        <f>IF(AND('RAW DATA'!$L515&lt;&gt;"", 'RAW DATA'!$M515&lt;&gt;"",  'RAW DATA'!$J515="",  'RAW DATA'!$K515="", LEFT('RAW DATA'!$M515,17)&lt;&gt;"Oceanic Endeavour"), 'RAW DATA'!$L515, "")</f>
        <v/>
      </c>
      <c r="C515" s="18" t="str">
        <f>IF(AND('RAW DATA'!$L515&lt;&gt;"", 'RAW DATA'!$M515&lt;&gt;"",  'RAW DATA'!$J515="",  'RAW DATA'!$K515="", LEFT('RAW DATA'!$M515,17)&lt;&gt;"Oceanic Endeavour"), 'RAW DATA'!$M515, "")</f>
        <v/>
      </c>
      <c r="D515" s="19" t="str">
        <f t="shared" si="7"/>
        <v/>
      </c>
    </row>
    <row r="516" spans="2:4" x14ac:dyDescent="0.25">
      <c r="B516" s="18" t="str">
        <f>IF(AND('RAW DATA'!$L516&lt;&gt;"", 'RAW DATA'!$M516&lt;&gt;"",  'RAW DATA'!$J516="",  'RAW DATA'!$K516="", LEFT('RAW DATA'!$M516,17)&lt;&gt;"Oceanic Endeavour"), 'RAW DATA'!$L516, "")</f>
        <v/>
      </c>
      <c r="C516" s="18" t="str">
        <f>IF(AND('RAW DATA'!$L516&lt;&gt;"", 'RAW DATA'!$M516&lt;&gt;"",  'RAW DATA'!$J516="",  'RAW DATA'!$K516="", LEFT('RAW DATA'!$M516,17)&lt;&gt;"Oceanic Endeavour"), 'RAW DATA'!$M516, "")</f>
        <v/>
      </c>
      <c r="D516" s="19" t="str">
        <f t="shared" si="7"/>
        <v/>
      </c>
    </row>
    <row r="517" spans="2:4" x14ac:dyDescent="0.25">
      <c r="B517" s="18" t="str">
        <f>IF(AND('RAW DATA'!$L517&lt;&gt;"", 'RAW DATA'!$M517&lt;&gt;"",  'RAW DATA'!$J517="",  'RAW DATA'!$K517="", LEFT('RAW DATA'!$M517,17)&lt;&gt;"Oceanic Endeavour"), 'RAW DATA'!$L517, "")</f>
        <v/>
      </c>
      <c r="C517" s="18" t="str">
        <f>IF(AND('RAW DATA'!$L517&lt;&gt;"", 'RAW DATA'!$M517&lt;&gt;"",  'RAW DATA'!$J517="",  'RAW DATA'!$K517="", LEFT('RAW DATA'!$M517,17)&lt;&gt;"Oceanic Endeavour"), 'RAW DATA'!$M517, "")</f>
        <v/>
      </c>
      <c r="D517" s="19" t="str">
        <f t="shared" ref="D517:D580" si="8">IF(AND($B517&lt;&gt;"", $C517&lt;&gt;""), COUNTIF($C$4:$C$611, $C517), "")</f>
        <v/>
      </c>
    </row>
    <row r="518" spans="2:4" x14ac:dyDescent="0.25">
      <c r="B518" s="18" t="str">
        <f>IF(AND('RAW DATA'!$L518&lt;&gt;"", 'RAW DATA'!$M518&lt;&gt;"",  'RAW DATA'!$J518="",  'RAW DATA'!$K518="", LEFT('RAW DATA'!$M518,17)&lt;&gt;"Oceanic Endeavour"), 'RAW DATA'!$L518, "")</f>
        <v/>
      </c>
      <c r="C518" s="18" t="str">
        <f>IF(AND('RAW DATA'!$L518&lt;&gt;"", 'RAW DATA'!$M518&lt;&gt;"",  'RAW DATA'!$J518="",  'RAW DATA'!$K518="", LEFT('RAW DATA'!$M518,17)&lt;&gt;"Oceanic Endeavour"), 'RAW DATA'!$M518, "")</f>
        <v/>
      </c>
      <c r="D518" s="19" t="str">
        <f t="shared" si="8"/>
        <v/>
      </c>
    </row>
    <row r="519" spans="2:4" x14ac:dyDescent="0.25">
      <c r="B519" s="18" t="str">
        <f>IF(AND('RAW DATA'!$L519&lt;&gt;"", 'RAW DATA'!$M519&lt;&gt;"",  'RAW DATA'!$J519="",  'RAW DATA'!$K519="", LEFT('RAW DATA'!$M519,17)&lt;&gt;"Oceanic Endeavour"), 'RAW DATA'!$L519, "")</f>
        <v/>
      </c>
      <c r="C519" s="18" t="str">
        <f>IF(AND('RAW DATA'!$L519&lt;&gt;"", 'RAW DATA'!$M519&lt;&gt;"",  'RAW DATA'!$J519="",  'RAW DATA'!$K519="", LEFT('RAW DATA'!$M519,17)&lt;&gt;"Oceanic Endeavour"), 'RAW DATA'!$M519, "")</f>
        <v/>
      </c>
      <c r="D519" s="19" t="str">
        <f t="shared" si="8"/>
        <v/>
      </c>
    </row>
    <row r="520" spans="2:4" x14ac:dyDescent="0.25">
      <c r="B520" s="18" t="str">
        <f>IF(AND('RAW DATA'!$L520&lt;&gt;"", 'RAW DATA'!$M520&lt;&gt;"",  'RAW DATA'!$J520="",  'RAW DATA'!$K520="", LEFT('RAW DATA'!$M520,17)&lt;&gt;"Oceanic Endeavour"), 'RAW DATA'!$L520, "")</f>
        <v/>
      </c>
      <c r="C520" s="18" t="str">
        <f>IF(AND('RAW DATA'!$L520&lt;&gt;"", 'RAW DATA'!$M520&lt;&gt;"",  'RAW DATA'!$J520="",  'RAW DATA'!$K520="", LEFT('RAW DATA'!$M520,17)&lt;&gt;"Oceanic Endeavour"), 'RAW DATA'!$M520, "")</f>
        <v/>
      </c>
      <c r="D520" s="19" t="str">
        <f t="shared" si="8"/>
        <v/>
      </c>
    </row>
    <row r="521" spans="2:4" x14ac:dyDescent="0.25">
      <c r="B521" s="18" t="str">
        <f>IF(AND('RAW DATA'!$L521&lt;&gt;"", 'RAW DATA'!$M521&lt;&gt;"",  'RAW DATA'!$J521="",  'RAW DATA'!$K521="", LEFT('RAW DATA'!$M521,17)&lt;&gt;"Oceanic Endeavour"), 'RAW DATA'!$L521, "")</f>
        <v/>
      </c>
      <c r="C521" s="18" t="str">
        <f>IF(AND('RAW DATA'!$L521&lt;&gt;"", 'RAW DATA'!$M521&lt;&gt;"",  'RAW DATA'!$J521="",  'RAW DATA'!$K521="", LEFT('RAW DATA'!$M521,17)&lt;&gt;"Oceanic Endeavour"), 'RAW DATA'!$M521, "")</f>
        <v/>
      </c>
      <c r="D521" s="19" t="str">
        <f t="shared" si="8"/>
        <v/>
      </c>
    </row>
    <row r="522" spans="2:4" x14ac:dyDescent="0.25">
      <c r="B522" s="18" t="str">
        <f>IF(AND('RAW DATA'!$L522&lt;&gt;"", 'RAW DATA'!$M522&lt;&gt;"",  'RAW DATA'!$J522="",  'RAW DATA'!$K522="", LEFT('RAW DATA'!$M522,17)&lt;&gt;"Oceanic Endeavour"), 'RAW DATA'!$L522, "")</f>
        <v/>
      </c>
      <c r="C522" s="18" t="str">
        <f>IF(AND('RAW DATA'!$L522&lt;&gt;"", 'RAW DATA'!$M522&lt;&gt;"",  'RAW DATA'!$J522="",  'RAW DATA'!$K522="", LEFT('RAW DATA'!$M522,17)&lt;&gt;"Oceanic Endeavour"), 'RAW DATA'!$M522, "")</f>
        <v/>
      </c>
      <c r="D522" s="19" t="str">
        <f t="shared" si="8"/>
        <v/>
      </c>
    </row>
    <row r="523" spans="2:4" x14ac:dyDescent="0.25">
      <c r="B523" s="18" t="str">
        <f>IF(AND('RAW DATA'!$L523&lt;&gt;"", 'RAW DATA'!$M523&lt;&gt;"",  'RAW DATA'!$J523="",  'RAW DATA'!$K523="", LEFT('RAW DATA'!$M523,17)&lt;&gt;"Oceanic Endeavour"), 'RAW DATA'!$L523, "")</f>
        <v/>
      </c>
      <c r="C523" s="18" t="str">
        <f>IF(AND('RAW DATA'!$L523&lt;&gt;"", 'RAW DATA'!$M523&lt;&gt;"",  'RAW DATA'!$J523="",  'RAW DATA'!$K523="", LEFT('RAW DATA'!$M523,17)&lt;&gt;"Oceanic Endeavour"), 'RAW DATA'!$M523, "")</f>
        <v/>
      </c>
      <c r="D523" s="19" t="str">
        <f t="shared" si="8"/>
        <v/>
      </c>
    </row>
    <row r="524" spans="2:4" x14ac:dyDescent="0.25">
      <c r="B524" s="18" t="str">
        <f>IF(AND('RAW DATA'!$L524&lt;&gt;"", 'RAW DATA'!$M524&lt;&gt;"",  'RAW DATA'!$J524="",  'RAW DATA'!$K524="", LEFT('RAW DATA'!$M524,17)&lt;&gt;"Oceanic Endeavour"), 'RAW DATA'!$L524, "")</f>
        <v/>
      </c>
      <c r="C524" s="18" t="str">
        <f>IF(AND('RAW DATA'!$L524&lt;&gt;"", 'RAW DATA'!$M524&lt;&gt;"",  'RAW DATA'!$J524="",  'RAW DATA'!$K524="", LEFT('RAW DATA'!$M524,17)&lt;&gt;"Oceanic Endeavour"), 'RAW DATA'!$M524, "")</f>
        <v/>
      </c>
      <c r="D524" s="19" t="str">
        <f t="shared" si="8"/>
        <v/>
      </c>
    </row>
    <row r="525" spans="2:4" x14ac:dyDescent="0.25">
      <c r="B525" s="18" t="str">
        <f>IF(AND('RAW DATA'!$L525&lt;&gt;"", 'RAW DATA'!$M525&lt;&gt;"",  'RAW DATA'!$J525="",  'RAW DATA'!$K525="", LEFT('RAW DATA'!$M525,17)&lt;&gt;"Oceanic Endeavour"), 'RAW DATA'!$L525, "")</f>
        <v/>
      </c>
      <c r="C525" s="18" t="str">
        <f>IF(AND('RAW DATA'!$L525&lt;&gt;"", 'RAW DATA'!$M525&lt;&gt;"",  'RAW DATA'!$J525="",  'RAW DATA'!$K525="", LEFT('RAW DATA'!$M525,17)&lt;&gt;"Oceanic Endeavour"), 'RAW DATA'!$M525, "")</f>
        <v/>
      </c>
      <c r="D525" s="19" t="str">
        <f t="shared" si="8"/>
        <v/>
      </c>
    </row>
    <row r="526" spans="2:4" x14ac:dyDescent="0.25">
      <c r="B526" s="18" t="str">
        <f>IF(AND('RAW DATA'!$L526&lt;&gt;"", 'RAW DATA'!$M526&lt;&gt;"",  'RAW DATA'!$J526="",  'RAW DATA'!$K526="", LEFT('RAW DATA'!$M526,17)&lt;&gt;"Oceanic Endeavour"), 'RAW DATA'!$L526, "")</f>
        <v/>
      </c>
      <c r="C526" s="18" t="str">
        <f>IF(AND('RAW DATA'!$L526&lt;&gt;"", 'RAW DATA'!$M526&lt;&gt;"",  'RAW DATA'!$J526="",  'RAW DATA'!$K526="", LEFT('RAW DATA'!$M526,17)&lt;&gt;"Oceanic Endeavour"), 'RAW DATA'!$M526, "")</f>
        <v/>
      </c>
      <c r="D526" s="19" t="str">
        <f t="shared" si="8"/>
        <v/>
      </c>
    </row>
    <row r="527" spans="2:4" x14ac:dyDescent="0.25">
      <c r="B527" s="18" t="str">
        <f>IF(AND('RAW DATA'!$L527&lt;&gt;"", 'RAW DATA'!$M527&lt;&gt;"",  'RAW DATA'!$J527="",  'RAW DATA'!$K527="", LEFT('RAW DATA'!$M527,17)&lt;&gt;"Oceanic Endeavour"), 'RAW DATA'!$L527, "")</f>
        <v/>
      </c>
      <c r="C527" s="18" t="str">
        <f>IF(AND('RAW DATA'!$L527&lt;&gt;"", 'RAW DATA'!$M527&lt;&gt;"",  'RAW DATA'!$J527="",  'RAW DATA'!$K527="", LEFT('RAW DATA'!$M527,17)&lt;&gt;"Oceanic Endeavour"), 'RAW DATA'!$M527, "")</f>
        <v/>
      </c>
      <c r="D527" s="19" t="str">
        <f t="shared" si="8"/>
        <v/>
      </c>
    </row>
    <row r="528" spans="2:4" x14ac:dyDescent="0.25">
      <c r="B528" s="18" t="str">
        <f>IF(AND('RAW DATA'!$L528&lt;&gt;"", 'RAW DATA'!$M528&lt;&gt;"",  'RAW DATA'!$J528="",  'RAW DATA'!$K528="", LEFT('RAW DATA'!$M528,17)&lt;&gt;"Oceanic Endeavour"), 'RAW DATA'!$L528, "")</f>
        <v/>
      </c>
      <c r="C528" s="18" t="str">
        <f>IF(AND('RAW DATA'!$L528&lt;&gt;"", 'RAW DATA'!$M528&lt;&gt;"",  'RAW DATA'!$J528="",  'RAW DATA'!$K528="", LEFT('RAW DATA'!$M528,17)&lt;&gt;"Oceanic Endeavour"), 'RAW DATA'!$M528, "")</f>
        <v/>
      </c>
      <c r="D528" s="19" t="str">
        <f t="shared" si="8"/>
        <v/>
      </c>
    </row>
    <row r="529" spans="2:4" x14ac:dyDescent="0.25">
      <c r="B529" s="18" t="str">
        <f>IF(AND('RAW DATA'!$L529&lt;&gt;"", 'RAW DATA'!$M529&lt;&gt;"",  'RAW DATA'!$J529="",  'RAW DATA'!$K529="", LEFT('RAW DATA'!$M529,17)&lt;&gt;"Oceanic Endeavour"), 'RAW DATA'!$L529, "")</f>
        <v/>
      </c>
      <c r="C529" s="18" t="str">
        <f>IF(AND('RAW DATA'!$L529&lt;&gt;"", 'RAW DATA'!$M529&lt;&gt;"",  'RAW DATA'!$J529="",  'RAW DATA'!$K529="", LEFT('RAW DATA'!$M529,17)&lt;&gt;"Oceanic Endeavour"), 'RAW DATA'!$M529, "")</f>
        <v/>
      </c>
      <c r="D529" s="19" t="str">
        <f t="shared" si="8"/>
        <v/>
      </c>
    </row>
    <row r="530" spans="2:4" x14ac:dyDescent="0.25">
      <c r="B530" s="18" t="str">
        <f>IF(AND('RAW DATA'!$L530&lt;&gt;"", 'RAW DATA'!$M530&lt;&gt;"",  'RAW DATA'!$J530="",  'RAW DATA'!$K530="", LEFT('RAW DATA'!$M530,17)&lt;&gt;"Oceanic Endeavour"), 'RAW DATA'!$L530, "")</f>
        <v/>
      </c>
      <c r="C530" s="18" t="str">
        <f>IF(AND('RAW DATA'!$L530&lt;&gt;"", 'RAW DATA'!$M530&lt;&gt;"",  'RAW DATA'!$J530="",  'RAW DATA'!$K530="", LEFT('RAW DATA'!$M530,17)&lt;&gt;"Oceanic Endeavour"), 'RAW DATA'!$M530, "")</f>
        <v/>
      </c>
      <c r="D530" s="19" t="str">
        <f t="shared" si="8"/>
        <v/>
      </c>
    </row>
    <row r="531" spans="2:4" x14ac:dyDescent="0.25">
      <c r="B531" s="18" t="str">
        <f>IF(AND('RAW DATA'!$L531&lt;&gt;"", 'RAW DATA'!$M531&lt;&gt;"",  'RAW DATA'!$J531="",  'RAW DATA'!$K531="", LEFT('RAW DATA'!$M531,17)&lt;&gt;"Oceanic Endeavour"), 'RAW DATA'!$L531, "")</f>
        <v/>
      </c>
      <c r="C531" s="18" t="str">
        <f>IF(AND('RAW DATA'!$L531&lt;&gt;"", 'RAW DATA'!$M531&lt;&gt;"",  'RAW DATA'!$J531="",  'RAW DATA'!$K531="", LEFT('RAW DATA'!$M531,17)&lt;&gt;"Oceanic Endeavour"), 'RAW DATA'!$M531, "")</f>
        <v/>
      </c>
      <c r="D531" s="19" t="str">
        <f t="shared" si="8"/>
        <v/>
      </c>
    </row>
    <row r="532" spans="2:4" x14ac:dyDescent="0.25">
      <c r="B532" s="18" t="str">
        <f>IF(AND('RAW DATA'!$L532&lt;&gt;"", 'RAW DATA'!$M532&lt;&gt;"",  'RAW DATA'!$J532="",  'RAW DATA'!$K532="", LEFT('RAW DATA'!$M532,17)&lt;&gt;"Oceanic Endeavour"), 'RAW DATA'!$L532, "")</f>
        <v/>
      </c>
      <c r="C532" s="18" t="str">
        <f>IF(AND('RAW DATA'!$L532&lt;&gt;"", 'RAW DATA'!$M532&lt;&gt;"",  'RAW DATA'!$J532="",  'RAW DATA'!$K532="", LEFT('RAW DATA'!$M532,17)&lt;&gt;"Oceanic Endeavour"), 'RAW DATA'!$M532, "")</f>
        <v/>
      </c>
      <c r="D532" s="19" t="str">
        <f t="shared" si="8"/>
        <v/>
      </c>
    </row>
    <row r="533" spans="2:4" x14ac:dyDescent="0.25">
      <c r="B533" s="18" t="str">
        <f>IF(AND('RAW DATA'!$L533&lt;&gt;"", 'RAW DATA'!$M533&lt;&gt;"",  'RAW DATA'!$J533="",  'RAW DATA'!$K533="", LEFT('RAW DATA'!$M533,17)&lt;&gt;"Oceanic Endeavour"), 'RAW DATA'!$L533, "")</f>
        <v/>
      </c>
      <c r="C533" s="18" t="str">
        <f>IF(AND('RAW DATA'!$L533&lt;&gt;"", 'RAW DATA'!$M533&lt;&gt;"",  'RAW DATA'!$J533="",  'RAW DATA'!$K533="", LEFT('RAW DATA'!$M533,17)&lt;&gt;"Oceanic Endeavour"), 'RAW DATA'!$M533, "")</f>
        <v/>
      </c>
      <c r="D533" s="19" t="str">
        <f t="shared" si="8"/>
        <v/>
      </c>
    </row>
    <row r="534" spans="2:4" x14ac:dyDescent="0.25">
      <c r="B534" s="18" t="str">
        <f>IF(AND('RAW DATA'!$L534&lt;&gt;"", 'RAW DATA'!$M534&lt;&gt;"",  'RAW DATA'!$J534="",  'RAW DATA'!$K534="", LEFT('RAW DATA'!$M534,17)&lt;&gt;"Oceanic Endeavour"), 'RAW DATA'!$L534, "")</f>
        <v/>
      </c>
      <c r="C534" s="18" t="str">
        <f>IF(AND('RAW DATA'!$L534&lt;&gt;"", 'RAW DATA'!$M534&lt;&gt;"",  'RAW DATA'!$J534="",  'RAW DATA'!$K534="", LEFT('RAW DATA'!$M534,17)&lt;&gt;"Oceanic Endeavour"), 'RAW DATA'!$M534, "")</f>
        <v/>
      </c>
      <c r="D534" s="19" t="str">
        <f t="shared" si="8"/>
        <v/>
      </c>
    </row>
    <row r="535" spans="2:4" x14ac:dyDescent="0.25">
      <c r="B535" s="18" t="str">
        <f>IF(AND('RAW DATA'!$L535&lt;&gt;"", 'RAW DATA'!$M535&lt;&gt;"",  'RAW DATA'!$J535="",  'RAW DATA'!$K535="", LEFT('RAW DATA'!$M535,17)&lt;&gt;"Oceanic Endeavour"), 'RAW DATA'!$L535, "")</f>
        <v/>
      </c>
      <c r="C535" s="18" t="str">
        <f>IF(AND('RAW DATA'!$L535&lt;&gt;"", 'RAW DATA'!$M535&lt;&gt;"",  'RAW DATA'!$J535="",  'RAW DATA'!$K535="", LEFT('RAW DATA'!$M535,17)&lt;&gt;"Oceanic Endeavour"), 'RAW DATA'!$M535, "")</f>
        <v/>
      </c>
      <c r="D535" s="19" t="str">
        <f t="shared" si="8"/>
        <v/>
      </c>
    </row>
    <row r="536" spans="2:4" x14ac:dyDescent="0.25">
      <c r="B536" s="18" t="str">
        <f>IF(AND('RAW DATA'!$L536&lt;&gt;"", 'RAW DATA'!$M536&lt;&gt;"",  'RAW DATA'!$J536="",  'RAW DATA'!$K536="", LEFT('RAW DATA'!$M536,17)&lt;&gt;"Oceanic Endeavour"), 'RAW DATA'!$L536, "")</f>
        <v/>
      </c>
      <c r="C536" s="18" t="str">
        <f>IF(AND('RAW DATA'!$L536&lt;&gt;"", 'RAW DATA'!$M536&lt;&gt;"",  'RAW DATA'!$J536="",  'RAW DATA'!$K536="", LEFT('RAW DATA'!$M536,17)&lt;&gt;"Oceanic Endeavour"), 'RAW DATA'!$M536, "")</f>
        <v/>
      </c>
      <c r="D536" s="19" t="str">
        <f t="shared" si="8"/>
        <v/>
      </c>
    </row>
    <row r="537" spans="2:4" x14ac:dyDescent="0.25">
      <c r="B537" s="18" t="str">
        <f>IF(AND('RAW DATA'!$L537&lt;&gt;"", 'RAW DATA'!$M537&lt;&gt;"",  'RAW DATA'!$J537="",  'RAW DATA'!$K537="", LEFT('RAW DATA'!$M537,17)&lt;&gt;"Oceanic Endeavour"), 'RAW DATA'!$L537, "")</f>
        <v/>
      </c>
      <c r="C537" s="18" t="str">
        <f>IF(AND('RAW DATA'!$L537&lt;&gt;"", 'RAW DATA'!$M537&lt;&gt;"",  'RAW DATA'!$J537="",  'RAW DATA'!$K537="", LEFT('RAW DATA'!$M537,17)&lt;&gt;"Oceanic Endeavour"), 'RAW DATA'!$M537, "")</f>
        <v/>
      </c>
      <c r="D537" s="19" t="str">
        <f t="shared" si="8"/>
        <v/>
      </c>
    </row>
    <row r="538" spans="2:4" x14ac:dyDescent="0.25">
      <c r="B538" s="18" t="str">
        <f>IF(AND('RAW DATA'!$L538&lt;&gt;"", 'RAW DATA'!$M538&lt;&gt;"",  'RAW DATA'!$J538="",  'RAW DATA'!$K538="", LEFT('RAW DATA'!$M538,17)&lt;&gt;"Oceanic Endeavour"), 'RAW DATA'!$L538, "")</f>
        <v/>
      </c>
      <c r="C538" s="18" t="str">
        <f>IF(AND('RAW DATA'!$L538&lt;&gt;"", 'RAW DATA'!$M538&lt;&gt;"",  'RAW DATA'!$J538="",  'RAW DATA'!$K538="", LEFT('RAW DATA'!$M538,17)&lt;&gt;"Oceanic Endeavour"), 'RAW DATA'!$M538, "")</f>
        <v/>
      </c>
      <c r="D538" s="19" t="str">
        <f t="shared" si="8"/>
        <v/>
      </c>
    </row>
    <row r="539" spans="2:4" x14ac:dyDescent="0.25">
      <c r="B539" s="18" t="str">
        <f>IF(AND('RAW DATA'!$L539&lt;&gt;"", 'RAW DATA'!$M539&lt;&gt;"",  'RAW DATA'!$J539="",  'RAW DATA'!$K539="", LEFT('RAW DATA'!$M539,17)&lt;&gt;"Oceanic Endeavour"), 'RAW DATA'!$L539, "")</f>
        <v/>
      </c>
      <c r="C539" s="18" t="str">
        <f>IF(AND('RAW DATA'!$L539&lt;&gt;"", 'RAW DATA'!$M539&lt;&gt;"",  'RAW DATA'!$J539="",  'RAW DATA'!$K539="", LEFT('RAW DATA'!$M539,17)&lt;&gt;"Oceanic Endeavour"), 'RAW DATA'!$M539, "")</f>
        <v/>
      </c>
      <c r="D539" s="19" t="str">
        <f t="shared" si="8"/>
        <v/>
      </c>
    </row>
    <row r="540" spans="2:4" x14ac:dyDescent="0.25">
      <c r="B540" s="18" t="str">
        <f>IF(AND('RAW DATA'!$L540&lt;&gt;"", 'RAW DATA'!$M540&lt;&gt;"",  'RAW DATA'!$J540="",  'RAW DATA'!$K540="", LEFT('RAW DATA'!$M540,17)&lt;&gt;"Oceanic Endeavour"), 'RAW DATA'!$L540, "")</f>
        <v/>
      </c>
      <c r="C540" s="18" t="str">
        <f>IF(AND('RAW DATA'!$L540&lt;&gt;"", 'RAW DATA'!$M540&lt;&gt;"",  'RAW DATA'!$J540="",  'RAW DATA'!$K540="", LEFT('RAW DATA'!$M540,17)&lt;&gt;"Oceanic Endeavour"), 'RAW DATA'!$M540, "")</f>
        <v/>
      </c>
      <c r="D540" s="19" t="str">
        <f t="shared" si="8"/>
        <v/>
      </c>
    </row>
    <row r="541" spans="2:4" x14ac:dyDescent="0.25">
      <c r="B541" s="18" t="str">
        <f>IF(AND('RAW DATA'!$L541&lt;&gt;"", 'RAW DATA'!$M541&lt;&gt;"",  'RAW DATA'!$J541="",  'RAW DATA'!$K541="", LEFT('RAW DATA'!$M541,17)&lt;&gt;"Oceanic Endeavour"), 'RAW DATA'!$L541, "")</f>
        <v/>
      </c>
      <c r="C541" s="18" t="str">
        <f>IF(AND('RAW DATA'!$L541&lt;&gt;"", 'RAW DATA'!$M541&lt;&gt;"",  'RAW DATA'!$J541="",  'RAW DATA'!$K541="", LEFT('RAW DATA'!$M541,17)&lt;&gt;"Oceanic Endeavour"), 'RAW DATA'!$M541, "")</f>
        <v/>
      </c>
      <c r="D541" s="19" t="str">
        <f t="shared" si="8"/>
        <v/>
      </c>
    </row>
    <row r="542" spans="2:4" x14ac:dyDescent="0.25">
      <c r="B542" s="18" t="str">
        <f>IF(AND('RAW DATA'!$L542&lt;&gt;"", 'RAW DATA'!$M542&lt;&gt;"",  'RAW DATA'!$J542="",  'RAW DATA'!$K542="", LEFT('RAW DATA'!$M542,17)&lt;&gt;"Oceanic Endeavour"), 'RAW DATA'!$L542, "")</f>
        <v/>
      </c>
      <c r="C542" s="18" t="str">
        <f>IF(AND('RAW DATA'!$L542&lt;&gt;"", 'RAW DATA'!$M542&lt;&gt;"",  'RAW DATA'!$J542="",  'RAW DATA'!$K542="", LEFT('RAW DATA'!$M542,17)&lt;&gt;"Oceanic Endeavour"), 'RAW DATA'!$M542, "")</f>
        <v/>
      </c>
      <c r="D542" s="19" t="str">
        <f t="shared" si="8"/>
        <v/>
      </c>
    </row>
    <row r="543" spans="2:4" x14ac:dyDescent="0.25">
      <c r="B543" s="18" t="str">
        <f>IF(AND('RAW DATA'!$L543&lt;&gt;"", 'RAW DATA'!$M543&lt;&gt;"",  'RAW DATA'!$J543="",  'RAW DATA'!$K543="", LEFT('RAW DATA'!$M543,17)&lt;&gt;"Oceanic Endeavour"), 'RAW DATA'!$L543, "")</f>
        <v/>
      </c>
      <c r="C543" s="18" t="str">
        <f>IF(AND('RAW DATA'!$L543&lt;&gt;"", 'RAW DATA'!$M543&lt;&gt;"",  'RAW DATA'!$J543="",  'RAW DATA'!$K543="", LEFT('RAW DATA'!$M543,17)&lt;&gt;"Oceanic Endeavour"), 'RAW DATA'!$M543, "")</f>
        <v/>
      </c>
      <c r="D543" s="19" t="str">
        <f t="shared" si="8"/>
        <v/>
      </c>
    </row>
    <row r="544" spans="2:4" x14ac:dyDescent="0.25">
      <c r="B544" s="18" t="str">
        <f>IF(AND('RAW DATA'!$L544&lt;&gt;"", 'RAW DATA'!$M544&lt;&gt;"",  'RAW DATA'!$J544="",  'RAW DATA'!$K544="", LEFT('RAW DATA'!$M544,17)&lt;&gt;"Oceanic Endeavour"), 'RAW DATA'!$L544, "")</f>
        <v/>
      </c>
      <c r="C544" s="18" t="str">
        <f>IF(AND('RAW DATA'!$L544&lt;&gt;"", 'RAW DATA'!$M544&lt;&gt;"",  'RAW DATA'!$J544="",  'RAW DATA'!$K544="", LEFT('RAW DATA'!$M544,17)&lt;&gt;"Oceanic Endeavour"), 'RAW DATA'!$M544, "")</f>
        <v/>
      </c>
      <c r="D544" s="19" t="str">
        <f t="shared" si="8"/>
        <v/>
      </c>
    </row>
    <row r="545" spans="2:4" x14ac:dyDescent="0.25">
      <c r="B545" s="18" t="str">
        <f>IF(AND('RAW DATA'!$L545&lt;&gt;"", 'RAW DATA'!$M545&lt;&gt;"",  'RAW DATA'!$J545="",  'RAW DATA'!$K545="", LEFT('RAW DATA'!$M545,17)&lt;&gt;"Oceanic Endeavour"), 'RAW DATA'!$L545, "")</f>
        <v/>
      </c>
      <c r="C545" s="18" t="str">
        <f>IF(AND('RAW DATA'!$L545&lt;&gt;"", 'RAW DATA'!$M545&lt;&gt;"",  'RAW DATA'!$J545="",  'RAW DATA'!$K545="", LEFT('RAW DATA'!$M545,17)&lt;&gt;"Oceanic Endeavour"), 'RAW DATA'!$M545, "")</f>
        <v/>
      </c>
      <c r="D545" s="19" t="str">
        <f t="shared" si="8"/>
        <v/>
      </c>
    </row>
    <row r="546" spans="2:4" x14ac:dyDescent="0.25">
      <c r="B546" s="18" t="str">
        <f>IF(AND('RAW DATA'!$L546&lt;&gt;"", 'RAW DATA'!$M546&lt;&gt;"",  'RAW DATA'!$J546="",  'RAW DATA'!$K546="", LEFT('RAW DATA'!$M546,17)&lt;&gt;"Oceanic Endeavour"), 'RAW DATA'!$L546, "")</f>
        <v/>
      </c>
      <c r="C546" s="18" t="str">
        <f>IF(AND('RAW DATA'!$L546&lt;&gt;"", 'RAW DATA'!$M546&lt;&gt;"",  'RAW DATA'!$J546="",  'RAW DATA'!$K546="", LEFT('RAW DATA'!$M546,17)&lt;&gt;"Oceanic Endeavour"), 'RAW DATA'!$M546, "")</f>
        <v/>
      </c>
      <c r="D546" s="19" t="str">
        <f t="shared" si="8"/>
        <v/>
      </c>
    </row>
    <row r="547" spans="2:4" x14ac:dyDescent="0.25">
      <c r="B547" s="18" t="str">
        <f>IF(AND('RAW DATA'!$L547&lt;&gt;"", 'RAW DATA'!$M547&lt;&gt;"",  'RAW DATA'!$J547="",  'RAW DATA'!$K547="", LEFT('RAW DATA'!$M547,17)&lt;&gt;"Oceanic Endeavour"), 'RAW DATA'!$L547, "")</f>
        <v/>
      </c>
      <c r="C547" s="18" t="str">
        <f>IF(AND('RAW DATA'!$L547&lt;&gt;"", 'RAW DATA'!$M547&lt;&gt;"",  'RAW DATA'!$J547="",  'RAW DATA'!$K547="", LEFT('RAW DATA'!$M547,17)&lt;&gt;"Oceanic Endeavour"), 'RAW DATA'!$M547, "")</f>
        <v/>
      </c>
      <c r="D547" s="19" t="str">
        <f t="shared" si="8"/>
        <v/>
      </c>
    </row>
    <row r="548" spans="2:4" x14ac:dyDescent="0.25">
      <c r="B548" s="18" t="str">
        <f>IF(AND('RAW DATA'!$L548&lt;&gt;"", 'RAW DATA'!$M548&lt;&gt;"",  'RAW DATA'!$J548="",  'RAW DATA'!$K548="", LEFT('RAW DATA'!$M548,17)&lt;&gt;"Oceanic Endeavour"), 'RAW DATA'!$L548, "")</f>
        <v/>
      </c>
      <c r="C548" s="18" t="str">
        <f>IF(AND('RAW DATA'!$L548&lt;&gt;"", 'RAW DATA'!$M548&lt;&gt;"",  'RAW DATA'!$J548="",  'RAW DATA'!$K548="", LEFT('RAW DATA'!$M548,17)&lt;&gt;"Oceanic Endeavour"), 'RAW DATA'!$M548, "")</f>
        <v/>
      </c>
      <c r="D548" s="19" t="str">
        <f t="shared" si="8"/>
        <v/>
      </c>
    </row>
    <row r="549" spans="2:4" x14ac:dyDescent="0.25">
      <c r="B549" s="18" t="str">
        <f>IF(AND('RAW DATA'!$L549&lt;&gt;"", 'RAW DATA'!$M549&lt;&gt;"",  'RAW DATA'!$J549="",  'RAW DATA'!$K549="", LEFT('RAW DATA'!$M549,17)&lt;&gt;"Oceanic Endeavour"), 'RAW DATA'!$L549, "")</f>
        <v/>
      </c>
      <c r="C549" s="18" t="str">
        <f>IF(AND('RAW DATA'!$L549&lt;&gt;"", 'RAW DATA'!$M549&lt;&gt;"",  'RAW DATA'!$J549="",  'RAW DATA'!$K549="", LEFT('RAW DATA'!$M549,17)&lt;&gt;"Oceanic Endeavour"), 'RAW DATA'!$M549, "")</f>
        <v/>
      </c>
      <c r="D549" s="19" t="str">
        <f t="shared" si="8"/>
        <v/>
      </c>
    </row>
    <row r="550" spans="2:4" x14ac:dyDescent="0.25">
      <c r="B550" s="18" t="str">
        <f>IF(AND('RAW DATA'!$L550&lt;&gt;"", 'RAW DATA'!$M550&lt;&gt;"",  'RAW DATA'!$J550="",  'RAW DATA'!$K550="", LEFT('RAW DATA'!$M550,17)&lt;&gt;"Oceanic Endeavour"), 'RAW DATA'!$L550, "")</f>
        <v/>
      </c>
      <c r="C550" s="18" t="str">
        <f>IF(AND('RAW DATA'!$L550&lt;&gt;"", 'RAW DATA'!$M550&lt;&gt;"",  'RAW DATA'!$J550="",  'RAW DATA'!$K550="", LEFT('RAW DATA'!$M550,17)&lt;&gt;"Oceanic Endeavour"), 'RAW DATA'!$M550, "")</f>
        <v/>
      </c>
      <c r="D550" s="19" t="str">
        <f t="shared" si="8"/>
        <v/>
      </c>
    </row>
    <row r="551" spans="2:4" x14ac:dyDescent="0.25">
      <c r="B551" s="18" t="str">
        <f>IF(AND('RAW DATA'!$L551&lt;&gt;"", 'RAW DATA'!$M551&lt;&gt;"",  'RAW DATA'!$J551="",  'RAW DATA'!$K551="", LEFT('RAW DATA'!$M551,17)&lt;&gt;"Oceanic Endeavour"), 'RAW DATA'!$L551, "")</f>
        <v/>
      </c>
      <c r="C551" s="18" t="str">
        <f>IF(AND('RAW DATA'!$L551&lt;&gt;"", 'RAW DATA'!$M551&lt;&gt;"",  'RAW DATA'!$J551="",  'RAW DATA'!$K551="", LEFT('RAW DATA'!$M551,17)&lt;&gt;"Oceanic Endeavour"), 'RAW DATA'!$M551, "")</f>
        <v/>
      </c>
      <c r="D551" s="19" t="str">
        <f t="shared" si="8"/>
        <v/>
      </c>
    </row>
    <row r="552" spans="2:4" x14ac:dyDescent="0.25">
      <c r="B552" s="18" t="str">
        <f>IF(AND('RAW DATA'!$L552&lt;&gt;"", 'RAW DATA'!$M552&lt;&gt;"",  'RAW DATA'!$J552="",  'RAW DATA'!$K552="", LEFT('RAW DATA'!$M552,17)&lt;&gt;"Oceanic Endeavour"), 'RAW DATA'!$L552, "")</f>
        <v/>
      </c>
      <c r="C552" s="18" t="str">
        <f>IF(AND('RAW DATA'!$L552&lt;&gt;"", 'RAW DATA'!$M552&lt;&gt;"",  'RAW DATA'!$J552="",  'RAW DATA'!$K552="", LEFT('RAW DATA'!$M552,17)&lt;&gt;"Oceanic Endeavour"), 'RAW DATA'!$M552, "")</f>
        <v/>
      </c>
      <c r="D552" s="19" t="str">
        <f t="shared" si="8"/>
        <v/>
      </c>
    </row>
    <row r="553" spans="2:4" x14ac:dyDescent="0.25">
      <c r="B553" s="18" t="str">
        <f>IF(AND('RAW DATA'!$L553&lt;&gt;"", 'RAW DATA'!$M553&lt;&gt;"",  'RAW DATA'!$J553="",  'RAW DATA'!$K553="", LEFT('RAW DATA'!$M553,17)&lt;&gt;"Oceanic Endeavour"), 'RAW DATA'!$L553, "")</f>
        <v/>
      </c>
      <c r="C553" s="18" t="str">
        <f>IF(AND('RAW DATA'!$L553&lt;&gt;"", 'RAW DATA'!$M553&lt;&gt;"",  'RAW DATA'!$J553="",  'RAW DATA'!$K553="", LEFT('RAW DATA'!$M553,17)&lt;&gt;"Oceanic Endeavour"), 'RAW DATA'!$M553, "")</f>
        <v/>
      </c>
      <c r="D553" s="19" t="str">
        <f t="shared" si="8"/>
        <v/>
      </c>
    </row>
    <row r="554" spans="2:4" x14ac:dyDescent="0.25">
      <c r="B554" s="18" t="str">
        <f>IF(AND('RAW DATA'!$L554&lt;&gt;"", 'RAW DATA'!$M554&lt;&gt;"",  'RAW DATA'!$J554="",  'RAW DATA'!$K554="", LEFT('RAW DATA'!$M554,17)&lt;&gt;"Oceanic Endeavour"), 'RAW DATA'!$L554, "")</f>
        <v/>
      </c>
      <c r="C554" s="18" t="str">
        <f>IF(AND('RAW DATA'!$L554&lt;&gt;"", 'RAW DATA'!$M554&lt;&gt;"",  'RAW DATA'!$J554="",  'RAW DATA'!$K554="", LEFT('RAW DATA'!$M554,17)&lt;&gt;"Oceanic Endeavour"), 'RAW DATA'!$M554, "")</f>
        <v/>
      </c>
      <c r="D554" s="19" t="str">
        <f t="shared" si="8"/>
        <v/>
      </c>
    </row>
    <row r="555" spans="2:4" x14ac:dyDescent="0.25">
      <c r="B555" s="18" t="str">
        <f>IF(AND('RAW DATA'!$L555&lt;&gt;"", 'RAW DATA'!$M555&lt;&gt;"",  'RAW DATA'!$J555="",  'RAW DATA'!$K555="", LEFT('RAW DATA'!$M555,17)&lt;&gt;"Oceanic Endeavour"), 'RAW DATA'!$L555, "")</f>
        <v/>
      </c>
      <c r="C555" s="18" t="str">
        <f>IF(AND('RAW DATA'!$L555&lt;&gt;"", 'RAW DATA'!$M555&lt;&gt;"",  'RAW DATA'!$J555="",  'RAW DATA'!$K555="", LEFT('RAW DATA'!$M555,17)&lt;&gt;"Oceanic Endeavour"), 'RAW DATA'!$M555, "")</f>
        <v/>
      </c>
      <c r="D555" s="19" t="str">
        <f t="shared" si="8"/>
        <v/>
      </c>
    </row>
    <row r="556" spans="2:4" x14ac:dyDescent="0.25">
      <c r="B556" s="18" t="str">
        <f>IF(AND('RAW DATA'!$L556&lt;&gt;"", 'RAW DATA'!$M556&lt;&gt;"",  'RAW DATA'!$J556="",  'RAW DATA'!$K556="", LEFT('RAW DATA'!$M556,17)&lt;&gt;"Oceanic Endeavour"), 'RAW DATA'!$L556, "")</f>
        <v/>
      </c>
      <c r="C556" s="18" t="str">
        <f>IF(AND('RAW DATA'!$L556&lt;&gt;"", 'RAW DATA'!$M556&lt;&gt;"",  'RAW DATA'!$J556="",  'RAW DATA'!$K556="", LEFT('RAW DATA'!$M556,17)&lt;&gt;"Oceanic Endeavour"), 'RAW DATA'!$M556, "")</f>
        <v/>
      </c>
      <c r="D556" s="19" t="str">
        <f t="shared" si="8"/>
        <v/>
      </c>
    </row>
    <row r="557" spans="2:4" x14ac:dyDescent="0.25">
      <c r="B557" s="18" t="str">
        <f>IF(AND('RAW DATA'!$L557&lt;&gt;"", 'RAW DATA'!$M557&lt;&gt;"",  'RAW DATA'!$J557="",  'RAW DATA'!$K557="", LEFT('RAW DATA'!$M557,17)&lt;&gt;"Oceanic Endeavour"), 'RAW DATA'!$L557, "")</f>
        <v/>
      </c>
      <c r="C557" s="18" t="str">
        <f>IF(AND('RAW DATA'!$L557&lt;&gt;"", 'RAW DATA'!$M557&lt;&gt;"",  'RAW DATA'!$J557="",  'RAW DATA'!$K557="", LEFT('RAW DATA'!$M557,17)&lt;&gt;"Oceanic Endeavour"), 'RAW DATA'!$M557, "")</f>
        <v/>
      </c>
      <c r="D557" s="19" t="str">
        <f t="shared" si="8"/>
        <v/>
      </c>
    </row>
    <row r="558" spans="2:4" x14ac:dyDescent="0.25">
      <c r="B558" s="18" t="str">
        <f>IF(AND('RAW DATA'!$L558&lt;&gt;"", 'RAW DATA'!$M558&lt;&gt;"",  'RAW DATA'!$J558="",  'RAW DATA'!$K558="", LEFT('RAW DATA'!$M558,17)&lt;&gt;"Oceanic Endeavour"), 'RAW DATA'!$L558, "")</f>
        <v/>
      </c>
      <c r="C558" s="18" t="str">
        <f>IF(AND('RAW DATA'!$L558&lt;&gt;"", 'RAW DATA'!$M558&lt;&gt;"",  'RAW DATA'!$J558="",  'RAW DATA'!$K558="", LEFT('RAW DATA'!$M558,17)&lt;&gt;"Oceanic Endeavour"), 'RAW DATA'!$M558, "")</f>
        <v/>
      </c>
      <c r="D558" s="19" t="str">
        <f t="shared" si="8"/>
        <v/>
      </c>
    </row>
    <row r="559" spans="2:4" x14ac:dyDescent="0.25">
      <c r="B559" s="18" t="str">
        <f>IF(AND('RAW DATA'!$L559&lt;&gt;"", 'RAW DATA'!$M559&lt;&gt;"",  'RAW DATA'!$J559="",  'RAW DATA'!$K559="", LEFT('RAW DATA'!$M559,17)&lt;&gt;"Oceanic Endeavour"), 'RAW DATA'!$L559, "")</f>
        <v/>
      </c>
      <c r="C559" s="18" t="str">
        <f>IF(AND('RAW DATA'!$L559&lt;&gt;"", 'RAW DATA'!$M559&lt;&gt;"",  'RAW DATA'!$J559="",  'RAW DATA'!$K559="", LEFT('RAW DATA'!$M559,17)&lt;&gt;"Oceanic Endeavour"), 'RAW DATA'!$M559, "")</f>
        <v/>
      </c>
      <c r="D559" s="19" t="str">
        <f t="shared" si="8"/>
        <v/>
      </c>
    </row>
    <row r="560" spans="2:4" x14ac:dyDescent="0.25">
      <c r="B560" s="18" t="str">
        <f>IF(AND('RAW DATA'!$L560&lt;&gt;"", 'RAW DATA'!$M560&lt;&gt;"",  'RAW DATA'!$J560="",  'RAW DATA'!$K560="", LEFT('RAW DATA'!$M560,17)&lt;&gt;"Oceanic Endeavour"), 'RAW DATA'!$L560, "")</f>
        <v/>
      </c>
      <c r="C560" s="18" t="str">
        <f>IF(AND('RAW DATA'!$L560&lt;&gt;"", 'RAW DATA'!$M560&lt;&gt;"",  'RAW DATA'!$J560="",  'RAW DATA'!$K560="", LEFT('RAW DATA'!$M560,17)&lt;&gt;"Oceanic Endeavour"), 'RAW DATA'!$M560, "")</f>
        <v/>
      </c>
      <c r="D560" s="19" t="str">
        <f t="shared" si="8"/>
        <v/>
      </c>
    </row>
    <row r="561" spans="2:4" x14ac:dyDescent="0.25">
      <c r="B561" s="18" t="str">
        <f>IF(AND('RAW DATA'!$L561&lt;&gt;"", 'RAW DATA'!$M561&lt;&gt;"",  'RAW DATA'!$J561="",  'RAW DATA'!$K561="", LEFT('RAW DATA'!$M561,17)&lt;&gt;"Oceanic Endeavour"), 'RAW DATA'!$L561, "")</f>
        <v/>
      </c>
      <c r="C561" s="18" t="str">
        <f>IF(AND('RAW DATA'!$L561&lt;&gt;"", 'RAW DATA'!$M561&lt;&gt;"",  'RAW DATA'!$J561="",  'RAW DATA'!$K561="", LEFT('RAW DATA'!$M561,17)&lt;&gt;"Oceanic Endeavour"), 'RAW DATA'!$M561, "")</f>
        <v/>
      </c>
      <c r="D561" s="19" t="str">
        <f t="shared" si="8"/>
        <v/>
      </c>
    </row>
    <row r="562" spans="2:4" x14ac:dyDescent="0.25">
      <c r="B562" s="18" t="str">
        <f>IF(AND('RAW DATA'!$L562&lt;&gt;"", 'RAW DATA'!$M562&lt;&gt;"",  'RAW DATA'!$J562="",  'RAW DATA'!$K562="", LEFT('RAW DATA'!$M562,17)&lt;&gt;"Oceanic Endeavour"), 'RAW DATA'!$L562, "")</f>
        <v/>
      </c>
      <c r="C562" s="18" t="str">
        <f>IF(AND('RAW DATA'!$L562&lt;&gt;"", 'RAW DATA'!$M562&lt;&gt;"",  'RAW DATA'!$J562="",  'RAW DATA'!$K562="", LEFT('RAW DATA'!$M562,17)&lt;&gt;"Oceanic Endeavour"), 'RAW DATA'!$M562, "")</f>
        <v/>
      </c>
      <c r="D562" s="19" t="str">
        <f t="shared" si="8"/>
        <v/>
      </c>
    </row>
    <row r="563" spans="2:4" x14ac:dyDescent="0.25">
      <c r="B563" s="18" t="str">
        <f>IF(AND('RAW DATA'!$L563&lt;&gt;"", 'RAW DATA'!$M563&lt;&gt;"",  'RAW DATA'!$J563="",  'RAW DATA'!$K563="", LEFT('RAW DATA'!$M563,17)&lt;&gt;"Oceanic Endeavour"), 'RAW DATA'!$L563, "")</f>
        <v/>
      </c>
      <c r="C563" s="18" t="str">
        <f>IF(AND('RAW DATA'!$L563&lt;&gt;"", 'RAW DATA'!$M563&lt;&gt;"",  'RAW DATA'!$J563="",  'RAW DATA'!$K563="", LEFT('RAW DATA'!$M563,17)&lt;&gt;"Oceanic Endeavour"), 'RAW DATA'!$M563, "")</f>
        <v/>
      </c>
      <c r="D563" s="19" t="str">
        <f t="shared" si="8"/>
        <v/>
      </c>
    </row>
    <row r="564" spans="2:4" x14ac:dyDescent="0.25">
      <c r="B564" s="18" t="str">
        <f>IF(AND('RAW DATA'!$L564&lt;&gt;"", 'RAW DATA'!$M564&lt;&gt;"",  'RAW DATA'!$J564="",  'RAW DATA'!$K564="", LEFT('RAW DATA'!$M564,17)&lt;&gt;"Oceanic Endeavour"), 'RAW DATA'!$L564, "")</f>
        <v/>
      </c>
      <c r="C564" s="18" t="str">
        <f>IF(AND('RAW DATA'!$L564&lt;&gt;"", 'RAW DATA'!$M564&lt;&gt;"",  'RAW DATA'!$J564="",  'RAW DATA'!$K564="", LEFT('RAW DATA'!$M564,17)&lt;&gt;"Oceanic Endeavour"), 'RAW DATA'!$M564, "")</f>
        <v/>
      </c>
      <c r="D564" s="19" t="str">
        <f t="shared" si="8"/>
        <v/>
      </c>
    </row>
    <row r="565" spans="2:4" x14ac:dyDescent="0.25">
      <c r="B565" s="18" t="str">
        <f>IF(AND('RAW DATA'!$L565&lt;&gt;"", 'RAW DATA'!$M565&lt;&gt;"",  'RAW DATA'!$J565="",  'RAW DATA'!$K565="", LEFT('RAW DATA'!$M565,17)&lt;&gt;"Oceanic Endeavour"), 'RAW DATA'!$L565, "")</f>
        <v/>
      </c>
      <c r="C565" s="18" t="str">
        <f>IF(AND('RAW DATA'!$L565&lt;&gt;"", 'RAW DATA'!$M565&lt;&gt;"",  'RAW DATA'!$J565="",  'RAW DATA'!$K565="", LEFT('RAW DATA'!$M565,17)&lt;&gt;"Oceanic Endeavour"), 'RAW DATA'!$M565, "")</f>
        <v/>
      </c>
      <c r="D565" s="19" t="str">
        <f t="shared" si="8"/>
        <v/>
      </c>
    </row>
    <row r="566" spans="2:4" x14ac:dyDescent="0.25">
      <c r="B566" s="18" t="str">
        <f>IF(AND('RAW DATA'!$L566&lt;&gt;"", 'RAW DATA'!$M566&lt;&gt;"",  'RAW DATA'!$J566="",  'RAW DATA'!$K566="", LEFT('RAW DATA'!$M566,17)&lt;&gt;"Oceanic Endeavour"), 'RAW DATA'!$L566, "")</f>
        <v/>
      </c>
      <c r="C566" s="18" t="str">
        <f>IF(AND('RAW DATA'!$L566&lt;&gt;"", 'RAW DATA'!$M566&lt;&gt;"",  'RAW DATA'!$J566="",  'RAW DATA'!$K566="", LEFT('RAW DATA'!$M566,17)&lt;&gt;"Oceanic Endeavour"), 'RAW DATA'!$M566, "")</f>
        <v/>
      </c>
      <c r="D566" s="19" t="str">
        <f t="shared" si="8"/>
        <v/>
      </c>
    </row>
    <row r="567" spans="2:4" x14ac:dyDescent="0.25">
      <c r="B567" s="18" t="str">
        <f>IF(AND('RAW DATA'!$L567&lt;&gt;"", 'RAW DATA'!$M567&lt;&gt;"",  'RAW DATA'!$J567="",  'RAW DATA'!$K567="", LEFT('RAW DATA'!$M567,17)&lt;&gt;"Oceanic Endeavour"), 'RAW DATA'!$L567, "")</f>
        <v/>
      </c>
      <c r="C567" s="18" t="str">
        <f>IF(AND('RAW DATA'!$L567&lt;&gt;"", 'RAW DATA'!$M567&lt;&gt;"",  'RAW DATA'!$J567="",  'RAW DATA'!$K567="", LEFT('RAW DATA'!$M567,17)&lt;&gt;"Oceanic Endeavour"), 'RAW DATA'!$M567, "")</f>
        <v/>
      </c>
      <c r="D567" s="19" t="str">
        <f t="shared" si="8"/>
        <v/>
      </c>
    </row>
    <row r="568" spans="2:4" x14ac:dyDescent="0.25">
      <c r="B568" s="18" t="str">
        <f>IF(AND('RAW DATA'!$L568&lt;&gt;"", 'RAW DATA'!$M568&lt;&gt;"",  'RAW DATA'!$J568="",  'RAW DATA'!$K568="", LEFT('RAW DATA'!$M568,17)&lt;&gt;"Oceanic Endeavour"), 'RAW DATA'!$L568, "")</f>
        <v/>
      </c>
      <c r="C568" s="18" t="str">
        <f>IF(AND('RAW DATA'!$L568&lt;&gt;"", 'RAW DATA'!$M568&lt;&gt;"",  'RAW DATA'!$J568="",  'RAW DATA'!$K568="", LEFT('RAW DATA'!$M568,17)&lt;&gt;"Oceanic Endeavour"), 'RAW DATA'!$M568, "")</f>
        <v/>
      </c>
      <c r="D568" s="19" t="str">
        <f t="shared" si="8"/>
        <v/>
      </c>
    </row>
    <row r="569" spans="2:4" x14ac:dyDescent="0.25">
      <c r="B569" s="18" t="str">
        <f>IF(AND('RAW DATA'!$L569&lt;&gt;"", 'RAW DATA'!$M569&lt;&gt;"",  'RAW DATA'!$J569="",  'RAW DATA'!$K569="", LEFT('RAW DATA'!$M569,17)&lt;&gt;"Oceanic Endeavour"), 'RAW DATA'!$L569, "")</f>
        <v/>
      </c>
      <c r="C569" s="18" t="str">
        <f>IF(AND('RAW DATA'!$L569&lt;&gt;"", 'RAW DATA'!$M569&lt;&gt;"",  'RAW DATA'!$J569="",  'RAW DATA'!$K569="", LEFT('RAW DATA'!$M569,17)&lt;&gt;"Oceanic Endeavour"), 'RAW DATA'!$M569, "")</f>
        <v/>
      </c>
      <c r="D569" s="19" t="str">
        <f t="shared" si="8"/>
        <v/>
      </c>
    </row>
    <row r="570" spans="2:4" x14ac:dyDescent="0.25">
      <c r="B570" s="18" t="str">
        <f>IF(AND('RAW DATA'!$L570&lt;&gt;"", 'RAW DATA'!$M570&lt;&gt;"",  'RAW DATA'!$J570="",  'RAW DATA'!$K570="", LEFT('RAW DATA'!$M570,17)&lt;&gt;"Oceanic Endeavour"), 'RAW DATA'!$L570, "")</f>
        <v/>
      </c>
      <c r="C570" s="18" t="str">
        <f>IF(AND('RAW DATA'!$L570&lt;&gt;"", 'RAW DATA'!$M570&lt;&gt;"",  'RAW DATA'!$J570="",  'RAW DATA'!$K570="", LEFT('RAW DATA'!$M570,17)&lt;&gt;"Oceanic Endeavour"), 'RAW DATA'!$M570, "")</f>
        <v/>
      </c>
      <c r="D570" s="19" t="str">
        <f t="shared" si="8"/>
        <v/>
      </c>
    </row>
    <row r="571" spans="2:4" x14ac:dyDescent="0.25">
      <c r="B571" s="18" t="str">
        <f>IF(AND('RAW DATA'!$L571&lt;&gt;"", 'RAW DATA'!$M571&lt;&gt;"",  'RAW DATA'!$J571="",  'RAW DATA'!$K571="", LEFT('RAW DATA'!$M571,17)&lt;&gt;"Oceanic Endeavour"), 'RAW DATA'!$L571, "")</f>
        <v/>
      </c>
      <c r="C571" s="18" t="str">
        <f>IF(AND('RAW DATA'!$L571&lt;&gt;"", 'RAW DATA'!$M571&lt;&gt;"",  'RAW DATA'!$J571="",  'RAW DATA'!$K571="", LEFT('RAW DATA'!$M571,17)&lt;&gt;"Oceanic Endeavour"), 'RAW DATA'!$M571, "")</f>
        <v/>
      </c>
      <c r="D571" s="19" t="str">
        <f t="shared" si="8"/>
        <v/>
      </c>
    </row>
    <row r="572" spans="2:4" x14ac:dyDescent="0.25">
      <c r="B572" s="18" t="str">
        <f>IF(AND('RAW DATA'!$L572&lt;&gt;"", 'RAW DATA'!$M572&lt;&gt;"",  'RAW DATA'!$J572="",  'RAW DATA'!$K572="", LEFT('RAW DATA'!$M572,17)&lt;&gt;"Oceanic Endeavour"), 'RAW DATA'!$L572, "")</f>
        <v/>
      </c>
      <c r="C572" s="18" t="str">
        <f>IF(AND('RAW DATA'!$L572&lt;&gt;"", 'RAW DATA'!$M572&lt;&gt;"",  'RAW DATA'!$J572="",  'RAW DATA'!$K572="", LEFT('RAW DATA'!$M572,17)&lt;&gt;"Oceanic Endeavour"), 'RAW DATA'!$M572, "")</f>
        <v/>
      </c>
      <c r="D572" s="19" t="str">
        <f t="shared" si="8"/>
        <v/>
      </c>
    </row>
    <row r="573" spans="2:4" x14ac:dyDescent="0.25">
      <c r="B573" s="18" t="str">
        <f>IF(AND('RAW DATA'!$L573&lt;&gt;"", 'RAW DATA'!$M573&lt;&gt;"",  'RAW DATA'!$J573="",  'RAW DATA'!$K573="", LEFT('RAW DATA'!$M573,17)&lt;&gt;"Oceanic Endeavour"), 'RAW DATA'!$L573, "")</f>
        <v/>
      </c>
      <c r="C573" s="18" t="str">
        <f>IF(AND('RAW DATA'!$L573&lt;&gt;"", 'RAW DATA'!$M573&lt;&gt;"",  'RAW DATA'!$J573="",  'RAW DATA'!$K573="", LEFT('RAW DATA'!$M573,17)&lt;&gt;"Oceanic Endeavour"), 'RAW DATA'!$M573, "")</f>
        <v/>
      </c>
      <c r="D573" s="19" t="str">
        <f t="shared" si="8"/>
        <v/>
      </c>
    </row>
    <row r="574" spans="2:4" x14ac:dyDescent="0.25">
      <c r="B574" s="18" t="str">
        <f>IF(AND('RAW DATA'!$L574&lt;&gt;"", 'RAW DATA'!$M574&lt;&gt;"",  'RAW DATA'!$J574="",  'RAW DATA'!$K574="", LEFT('RAW DATA'!$M574,17)&lt;&gt;"Oceanic Endeavour"), 'RAW DATA'!$L574, "")</f>
        <v/>
      </c>
      <c r="C574" s="18" t="str">
        <f>IF(AND('RAW DATA'!$L574&lt;&gt;"", 'RAW DATA'!$M574&lt;&gt;"",  'RAW DATA'!$J574="",  'RAW DATA'!$K574="", LEFT('RAW DATA'!$M574,17)&lt;&gt;"Oceanic Endeavour"), 'RAW DATA'!$M574, "")</f>
        <v/>
      </c>
      <c r="D574" s="19" t="str">
        <f t="shared" si="8"/>
        <v/>
      </c>
    </row>
    <row r="575" spans="2:4" x14ac:dyDescent="0.25">
      <c r="B575" s="18" t="str">
        <f>IF(AND('RAW DATA'!$L575&lt;&gt;"", 'RAW DATA'!$M575&lt;&gt;"",  'RAW DATA'!$J575="",  'RAW DATA'!$K575="", LEFT('RAW DATA'!$M575,17)&lt;&gt;"Oceanic Endeavour"), 'RAW DATA'!$L575, "")</f>
        <v/>
      </c>
      <c r="C575" s="18" t="str">
        <f>IF(AND('RAW DATA'!$L575&lt;&gt;"", 'RAW DATA'!$M575&lt;&gt;"",  'RAW DATA'!$J575="",  'RAW DATA'!$K575="", LEFT('RAW DATA'!$M575,17)&lt;&gt;"Oceanic Endeavour"), 'RAW DATA'!$M575, "")</f>
        <v/>
      </c>
      <c r="D575" s="19" t="str">
        <f t="shared" si="8"/>
        <v/>
      </c>
    </row>
    <row r="576" spans="2:4" x14ac:dyDescent="0.25">
      <c r="B576" s="18" t="str">
        <f>IF(AND('RAW DATA'!$L576&lt;&gt;"", 'RAW DATA'!$M576&lt;&gt;"",  'RAW DATA'!$J576="",  'RAW DATA'!$K576="", LEFT('RAW DATA'!$M576,17)&lt;&gt;"Oceanic Endeavour"), 'RAW DATA'!$L576, "")</f>
        <v/>
      </c>
      <c r="C576" s="18" t="str">
        <f>IF(AND('RAW DATA'!$L576&lt;&gt;"", 'RAW DATA'!$M576&lt;&gt;"",  'RAW DATA'!$J576="",  'RAW DATA'!$K576="", LEFT('RAW DATA'!$M576,17)&lt;&gt;"Oceanic Endeavour"), 'RAW DATA'!$M576, "")</f>
        <v/>
      </c>
      <c r="D576" s="19" t="str">
        <f t="shared" si="8"/>
        <v/>
      </c>
    </row>
    <row r="577" spans="2:4" x14ac:dyDescent="0.25">
      <c r="B577" s="18" t="str">
        <f>IF(AND('RAW DATA'!$L577&lt;&gt;"", 'RAW DATA'!$M577&lt;&gt;"",  'RAW DATA'!$J577="",  'RAW DATA'!$K577="", LEFT('RAW DATA'!$M577,17)&lt;&gt;"Oceanic Endeavour"), 'RAW DATA'!$L577, "")</f>
        <v/>
      </c>
      <c r="C577" s="18" t="str">
        <f>IF(AND('RAW DATA'!$L577&lt;&gt;"", 'RAW DATA'!$M577&lt;&gt;"",  'RAW DATA'!$J577="",  'RAW DATA'!$K577="", LEFT('RAW DATA'!$M577,17)&lt;&gt;"Oceanic Endeavour"), 'RAW DATA'!$M577, "")</f>
        <v/>
      </c>
      <c r="D577" s="19" t="str">
        <f t="shared" si="8"/>
        <v/>
      </c>
    </row>
    <row r="578" spans="2:4" x14ac:dyDescent="0.25">
      <c r="B578" s="18" t="str">
        <f>IF(AND('RAW DATA'!$L578&lt;&gt;"", 'RAW DATA'!$M578&lt;&gt;"",  'RAW DATA'!$J578="",  'RAW DATA'!$K578="", LEFT('RAW DATA'!$M578,17)&lt;&gt;"Oceanic Endeavour"), 'RAW DATA'!$L578, "")</f>
        <v/>
      </c>
      <c r="C578" s="18" t="str">
        <f>IF(AND('RAW DATA'!$L578&lt;&gt;"", 'RAW DATA'!$M578&lt;&gt;"",  'RAW DATA'!$J578="",  'RAW DATA'!$K578="", LEFT('RAW DATA'!$M578,17)&lt;&gt;"Oceanic Endeavour"), 'RAW DATA'!$M578, "")</f>
        <v/>
      </c>
      <c r="D578" s="19" t="str">
        <f t="shared" si="8"/>
        <v/>
      </c>
    </row>
    <row r="579" spans="2:4" x14ac:dyDescent="0.25">
      <c r="B579" s="18" t="str">
        <f>IF(AND('RAW DATA'!$L579&lt;&gt;"", 'RAW DATA'!$M579&lt;&gt;"",  'RAW DATA'!$J579="",  'RAW DATA'!$K579="", LEFT('RAW DATA'!$M579,17)&lt;&gt;"Oceanic Endeavour"), 'RAW DATA'!$L579, "")</f>
        <v/>
      </c>
      <c r="C579" s="18" t="str">
        <f>IF(AND('RAW DATA'!$L579&lt;&gt;"", 'RAW DATA'!$M579&lt;&gt;"",  'RAW DATA'!$J579="",  'RAW DATA'!$K579="", LEFT('RAW DATA'!$M579,17)&lt;&gt;"Oceanic Endeavour"), 'RAW DATA'!$M579, "")</f>
        <v/>
      </c>
      <c r="D579" s="19" t="str">
        <f t="shared" si="8"/>
        <v/>
      </c>
    </row>
    <row r="580" spans="2:4" x14ac:dyDescent="0.25">
      <c r="B580" s="18" t="str">
        <f>IF(AND('RAW DATA'!$L580&lt;&gt;"", 'RAW DATA'!$M580&lt;&gt;"",  'RAW DATA'!$J580="",  'RAW DATA'!$K580="", LEFT('RAW DATA'!$M580,17)&lt;&gt;"Oceanic Endeavour"), 'RAW DATA'!$L580, "")</f>
        <v/>
      </c>
      <c r="C580" s="18" t="str">
        <f>IF(AND('RAW DATA'!$L580&lt;&gt;"", 'RAW DATA'!$M580&lt;&gt;"",  'RAW DATA'!$J580="",  'RAW DATA'!$K580="", LEFT('RAW DATA'!$M580,17)&lt;&gt;"Oceanic Endeavour"), 'RAW DATA'!$M580, "")</f>
        <v/>
      </c>
      <c r="D580" s="19" t="str">
        <f t="shared" si="8"/>
        <v/>
      </c>
    </row>
    <row r="581" spans="2:4" x14ac:dyDescent="0.25">
      <c r="B581" s="18" t="str">
        <f>IF(AND('RAW DATA'!$L581&lt;&gt;"", 'RAW DATA'!$M581&lt;&gt;"",  'RAW DATA'!$J581="",  'RAW DATA'!$K581="", LEFT('RAW DATA'!$M581,17)&lt;&gt;"Oceanic Endeavour"), 'RAW DATA'!$L581, "")</f>
        <v/>
      </c>
      <c r="C581" s="18" t="str">
        <f>IF(AND('RAW DATA'!$L581&lt;&gt;"", 'RAW DATA'!$M581&lt;&gt;"",  'RAW DATA'!$J581="",  'RAW DATA'!$K581="", LEFT('RAW DATA'!$M581,17)&lt;&gt;"Oceanic Endeavour"), 'RAW DATA'!$M581, "")</f>
        <v/>
      </c>
      <c r="D581" s="19" t="str">
        <f t="shared" ref="D581:D611" si="9">IF(AND($B581&lt;&gt;"", $C581&lt;&gt;""), COUNTIF($C$4:$C$611, $C581), "")</f>
        <v/>
      </c>
    </row>
    <row r="582" spans="2:4" x14ac:dyDescent="0.25">
      <c r="B582" s="18" t="str">
        <f>IF(AND('RAW DATA'!$L582&lt;&gt;"", 'RAW DATA'!$M582&lt;&gt;"",  'RAW DATA'!$J582="",  'RAW DATA'!$K582="", LEFT('RAW DATA'!$M582,17)&lt;&gt;"Oceanic Endeavour"), 'RAW DATA'!$L582, "")</f>
        <v/>
      </c>
      <c r="C582" s="18" t="str">
        <f>IF(AND('RAW DATA'!$L582&lt;&gt;"", 'RAW DATA'!$M582&lt;&gt;"",  'RAW DATA'!$J582="",  'RAW DATA'!$K582="", LEFT('RAW DATA'!$M582,17)&lt;&gt;"Oceanic Endeavour"), 'RAW DATA'!$M582, "")</f>
        <v/>
      </c>
      <c r="D582" s="19" t="str">
        <f t="shared" si="9"/>
        <v/>
      </c>
    </row>
    <row r="583" spans="2:4" x14ac:dyDescent="0.25">
      <c r="B583" s="18" t="str">
        <f>IF(AND('RAW DATA'!$L583&lt;&gt;"", 'RAW DATA'!$M583&lt;&gt;"",  'RAW DATA'!$J583="",  'RAW DATA'!$K583="", LEFT('RAW DATA'!$M583,17)&lt;&gt;"Oceanic Endeavour"), 'RAW DATA'!$L583, "")</f>
        <v/>
      </c>
      <c r="C583" s="18" t="str">
        <f>IF(AND('RAW DATA'!$L583&lt;&gt;"", 'RAW DATA'!$M583&lt;&gt;"",  'RAW DATA'!$J583="",  'RAW DATA'!$K583="", LEFT('RAW DATA'!$M583,17)&lt;&gt;"Oceanic Endeavour"), 'RAW DATA'!$M583, "")</f>
        <v/>
      </c>
      <c r="D583" s="19" t="str">
        <f t="shared" si="9"/>
        <v/>
      </c>
    </row>
    <row r="584" spans="2:4" x14ac:dyDescent="0.25">
      <c r="B584" s="18" t="str">
        <f>IF(AND('RAW DATA'!$L584&lt;&gt;"", 'RAW DATA'!$M584&lt;&gt;"",  'RAW DATA'!$J584="",  'RAW DATA'!$K584="", LEFT('RAW DATA'!$M584,17)&lt;&gt;"Oceanic Endeavour"), 'RAW DATA'!$L584, "")</f>
        <v/>
      </c>
      <c r="C584" s="18" t="str">
        <f>IF(AND('RAW DATA'!$L584&lt;&gt;"", 'RAW DATA'!$M584&lt;&gt;"",  'RAW DATA'!$J584="",  'RAW DATA'!$K584="", LEFT('RAW DATA'!$M584,17)&lt;&gt;"Oceanic Endeavour"), 'RAW DATA'!$M584, "")</f>
        <v/>
      </c>
      <c r="D584" s="19" t="str">
        <f t="shared" si="9"/>
        <v/>
      </c>
    </row>
    <row r="585" spans="2:4" x14ac:dyDescent="0.25">
      <c r="B585" s="18" t="str">
        <f>IF(AND('RAW DATA'!$L585&lt;&gt;"", 'RAW DATA'!$M585&lt;&gt;"",  'RAW DATA'!$J585="",  'RAW DATA'!$K585="", LEFT('RAW DATA'!$M585,17)&lt;&gt;"Oceanic Endeavour"), 'RAW DATA'!$L585, "")</f>
        <v/>
      </c>
      <c r="C585" s="18" t="str">
        <f>IF(AND('RAW DATA'!$L585&lt;&gt;"", 'RAW DATA'!$M585&lt;&gt;"",  'RAW DATA'!$J585="",  'RAW DATA'!$K585="", LEFT('RAW DATA'!$M585,17)&lt;&gt;"Oceanic Endeavour"), 'RAW DATA'!$M585, "")</f>
        <v/>
      </c>
      <c r="D585" s="19" t="str">
        <f t="shared" si="9"/>
        <v/>
      </c>
    </row>
    <row r="586" spans="2:4" x14ac:dyDescent="0.25">
      <c r="B586" s="18" t="str">
        <f>IF(AND('RAW DATA'!$L586&lt;&gt;"", 'RAW DATA'!$M586&lt;&gt;"",  'RAW DATA'!$J586="",  'RAW DATA'!$K586="", LEFT('RAW DATA'!$M586,17)&lt;&gt;"Oceanic Endeavour"), 'RAW DATA'!$L586, "")</f>
        <v/>
      </c>
      <c r="C586" s="18" t="str">
        <f>IF(AND('RAW DATA'!$L586&lt;&gt;"", 'RAW DATA'!$M586&lt;&gt;"",  'RAW DATA'!$J586="",  'RAW DATA'!$K586="", LEFT('RAW DATA'!$M586,17)&lt;&gt;"Oceanic Endeavour"), 'RAW DATA'!$M586, "")</f>
        <v/>
      </c>
      <c r="D586" s="19" t="str">
        <f t="shared" si="9"/>
        <v/>
      </c>
    </row>
    <row r="587" spans="2:4" x14ac:dyDescent="0.25">
      <c r="B587" s="18" t="str">
        <f>IF(AND('RAW DATA'!$L587&lt;&gt;"", 'RAW DATA'!$M587&lt;&gt;"",  'RAW DATA'!$J587="",  'RAW DATA'!$K587="", LEFT('RAW DATA'!$M587,17)&lt;&gt;"Oceanic Endeavour"), 'RAW DATA'!$L587, "")</f>
        <v/>
      </c>
      <c r="C587" s="18" t="str">
        <f>IF(AND('RAW DATA'!$L587&lt;&gt;"", 'RAW DATA'!$M587&lt;&gt;"",  'RAW DATA'!$J587="",  'RAW DATA'!$K587="", LEFT('RAW DATA'!$M587,17)&lt;&gt;"Oceanic Endeavour"), 'RAW DATA'!$M587, "")</f>
        <v/>
      </c>
      <c r="D587" s="19" t="str">
        <f t="shared" si="9"/>
        <v/>
      </c>
    </row>
    <row r="588" spans="2:4" x14ac:dyDescent="0.25">
      <c r="B588" s="18" t="str">
        <f>IF(AND('RAW DATA'!$L588&lt;&gt;"", 'RAW DATA'!$M588&lt;&gt;"",  'RAW DATA'!$J588="",  'RAW DATA'!$K588="", LEFT('RAW DATA'!$M588,17)&lt;&gt;"Oceanic Endeavour"), 'RAW DATA'!$L588, "")</f>
        <v/>
      </c>
      <c r="C588" s="18" t="str">
        <f>IF(AND('RAW DATA'!$L588&lt;&gt;"", 'RAW DATA'!$M588&lt;&gt;"",  'RAW DATA'!$J588="",  'RAW DATA'!$K588="", LEFT('RAW DATA'!$M588,17)&lt;&gt;"Oceanic Endeavour"), 'RAW DATA'!$M588, "")</f>
        <v/>
      </c>
      <c r="D588" s="19" t="str">
        <f t="shared" si="9"/>
        <v/>
      </c>
    </row>
    <row r="589" spans="2:4" x14ac:dyDescent="0.25">
      <c r="B589" s="18" t="str">
        <f>IF(AND('RAW DATA'!$L589&lt;&gt;"", 'RAW DATA'!$M589&lt;&gt;"",  'RAW DATA'!$J589="",  'RAW DATA'!$K589="", LEFT('RAW DATA'!$M589,17)&lt;&gt;"Oceanic Endeavour"), 'RAW DATA'!$L589, "")</f>
        <v/>
      </c>
      <c r="C589" s="18" t="str">
        <f>IF(AND('RAW DATA'!$L589&lt;&gt;"", 'RAW DATA'!$M589&lt;&gt;"",  'RAW DATA'!$J589="",  'RAW DATA'!$K589="", LEFT('RAW DATA'!$M589,17)&lt;&gt;"Oceanic Endeavour"), 'RAW DATA'!$M589, "")</f>
        <v/>
      </c>
      <c r="D589" s="19" t="str">
        <f t="shared" si="9"/>
        <v/>
      </c>
    </row>
    <row r="590" spans="2:4" x14ac:dyDescent="0.25">
      <c r="B590" s="18" t="str">
        <f>IF(AND('RAW DATA'!$L590&lt;&gt;"", 'RAW DATA'!$M590&lt;&gt;"",  'RAW DATA'!$J590="",  'RAW DATA'!$K590="", LEFT('RAW DATA'!$M590,17)&lt;&gt;"Oceanic Endeavour"), 'RAW DATA'!$L590, "")</f>
        <v/>
      </c>
      <c r="C590" s="18" t="str">
        <f>IF(AND('RAW DATA'!$L590&lt;&gt;"", 'RAW DATA'!$M590&lt;&gt;"",  'RAW DATA'!$J590="",  'RAW DATA'!$K590="", LEFT('RAW DATA'!$M590,17)&lt;&gt;"Oceanic Endeavour"), 'RAW DATA'!$M590, "")</f>
        <v/>
      </c>
      <c r="D590" s="19" t="str">
        <f t="shared" si="9"/>
        <v/>
      </c>
    </row>
    <row r="591" spans="2:4" x14ac:dyDescent="0.25">
      <c r="B591" s="18" t="str">
        <f>IF(AND('RAW DATA'!$L591&lt;&gt;"", 'RAW DATA'!$M591&lt;&gt;"",  'RAW DATA'!$J591="",  'RAW DATA'!$K591="", LEFT('RAW DATA'!$M591,17)&lt;&gt;"Oceanic Endeavour"), 'RAW DATA'!$L591, "")</f>
        <v/>
      </c>
      <c r="C591" s="18" t="str">
        <f>IF(AND('RAW DATA'!$L591&lt;&gt;"", 'RAW DATA'!$M591&lt;&gt;"",  'RAW DATA'!$J591="",  'RAW DATA'!$K591="", LEFT('RAW DATA'!$M591,17)&lt;&gt;"Oceanic Endeavour"), 'RAW DATA'!$M591, "")</f>
        <v/>
      </c>
      <c r="D591" s="19" t="str">
        <f t="shared" si="9"/>
        <v/>
      </c>
    </row>
    <row r="592" spans="2:4" x14ac:dyDescent="0.25">
      <c r="B592" s="18" t="str">
        <f>IF(AND('RAW DATA'!$L592&lt;&gt;"", 'RAW DATA'!$M592&lt;&gt;"",  'RAW DATA'!$J592="",  'RAW DATA'!$K592="", LEFT('RAW DATA'!$M592,17)&lt;&gt;"Oceanic Endeavour"), 'RAW DATA'!$L592, "")</f>
        <v/>
      </c>
      <c r="C592" s="18" t="str">
        <f>IF(AND('RAW DATA'!$L592&lt;&gt;"", 'RAW DATA'!$M592&lt;&gt;"",  'RAW DATA'!$J592="",  'RAW DATA'!$K592="", LEFT('RAW DATA'!$M592,17)&lt;&gt;"Oceanic Endeavour"), 'RAW DATA'!$M592, "")</f>
        <v/>
      </c>
      <c r="D592" s="19" t="str">
        <f t="shared" si="9"/>
        <v/>
      </c>
    </row>
    <row r="593" spans="2:4" x14ac:dyDescent="0.25">
      <c r="B593" s="18" t="str">
        <f>IF(AND('RAW DATA'!$L593&lt;&gt;"", 'RAW DATA'!$M593&lt;&gt;"",  'RAW DATA'!$J593="",  'RAW DATA'!$K593="", LEFT('RAW DATA'!$M593,17)&lt;&gt;"Oceanic Endeavour"), 'RAW DATA'!$L593, "")</f>
        <v/>
      </c>
      <c r="C593" s="18" t="str">
        <f>IF(AND('RAW DATA'!$L593&lt;&gt;"", 'RAW DATA'!$M593&lt;&gt;"",  'RAW DATA'!$J593="",  'RAW DATA'!$K593="", LEFT('RAW DATA'!$M593,17)&lt;&gt;"Oceanic Endeavour"), 'RAW DATA'!$M593, "")</f>
        <v/>
      </c>
      <c r="D593" s="19" t="str">
        <f t="shared" si="9"/>
        <v/>
      </c>
    </row>
    <row r="594" spans="2:4" x14ac:dyDescent="0.25">
      <c r="B594" s="18" t="str">
        <f>IF(AND('RAW DATA'!$L594&lt;&gt;"", 'RAW DATA'!$M594&lt;&gt;"",  'RAW DATA'!$J594="",  'RAW DATA'!$K594="", LEFT('RAW DATA'!$M594,17)&lt;&gt;"Oceanic Endeavour"), 'RAW DATA'!$L594, "")</f>
        <v/>
      </c>
      <c r="C594" s="18" t="str">
        <f>IF(AND('RAW DATA'!$L594&lt;&gt;"", 'RAW DATA'!$M594&lt;&gt;"",  'RAW DATA'!$J594="",  'RAW DATA'!$K594="", LEFT('RAW DATA'!$M594,17)&lt;&gt;"Oceanic Endeavour"), 'RAW DATA'!$M594, "")</f>
        <v/>
      </c>
      <c r="D594" s="19" t="str">
        <f t="shared" si="9"/>
        <v/>
      </c>
    </row>
    <row r="595" spans="2:4" x14ac:dyDescent="0.25">
      <c r="B595" s="18" t="str">
        <f>IF(AND('RAW DATA'!$L595&lt;&gt;"", 'RAW DATA'!$M595&lt;&gt;"",  'RAW DATA'!$J595="",  'RAW DATA'!$K595="", LEFT('RAW DATA'!$M595,17)&lt;&gt;"Oceanic Endeavour"), 'RAW DATA'!$L595, "")</f>
        <v/>
      </c>
      <c r="C595" s="18" t="str">
        <f>IF(AND('RAW DATA'!$L595&lt;&gt;"", 'RAW DATA'!$M595&lt;&gt;"",  'RAW DATA'!$J595="",  'RAW DATA'!$K595="", LEFT('RAW DATA'!$M595,17)&lt;&gt;"Oceanic Endeavour"), 'RAW DATA'!$M595, "")</f>
        <v/>
      </c>
      <c r="D595" s="19" t="str">
        <f t="shared" si="9"/>
        <v/>
      </c>
    </row>
    <row r="596" spans="2:4" x14ac:dyDescent="0.25">
      <c r="B596" s="18" t="str">
        <f>IF(AND('RAW DATA'!$L596&lt;&gt;"", 'RAW DATA'!$M596&lt;&gt;"",  'RAW DATA'!$J596="",  'RAW DATA'!$K596="", LEFT('RAW DATA'!$M596,17)&lt;&gt;"Oceanic Endeavour"), 'RAW DATA'!$L596, "")</f>
        <v/>
      </c>
      <c r="C596" s="18" t="str">
        <f>IF(AND('RAW DATA'!$L596&lt;&gt;"", 'RAW DATA'!$M596&lt;&gt;"",  'RAW DATA'!$J596="",  'RAW DATA'!$K596="", LEFT('RAW DATA'!$M596,17)&lt;&gt;"Oceanic Endeavour"), 'RAW DATA'!$M596, "")</f>
        <v/>
      </c>
      <c r="D596" s="19" t="str">
        <f t="shared" si="9"/>
        <v/>
      </c>
    </row>
    <row r="597" spans="2:4" x14ac:dyDescent="0.25">
      <c r="B597" s="18" t="str">
        <f>IF(AND('RAW DATA'!$L597&lt;&gt;"", 'RAW DATA'!$M597&lt;&gt;"",  'RAW DATA'!$J597="",  'RAW DATA'!$K597="", LEFT('RAW DATA'!$M597,17)&lt;&gt;"Oceanic Endeavour"), 'RAW DATA'!$L597, "")</f>
        <v/>
      </c>
      <c r="C597" s="18" t="str">
        <f>IF(AND('RAW DATA'!$L597&lt;&gt;"", 'RAW DATA'!$M597&lt;&gt;"",  'RAW DATA'!$J597="",  'RAW DATA'!$K597="", LEFT('RAW DATA'!$M597,17)&lt;&gt;"Oceanic Endeavour"), 'RAW DATA'!$M597, "")</f>
        <v/>
      </c>
      <c r="D597" s="19" t="str">
        <f t="shared" si="9"/>
        <v/>
      </c>
    </row>
    <row r="598" spans="2:4" x14ac:dyDescent="0.25">
      <c r="B598" s="18" t="str">
        <f>IF(AND('RAW DATA'!$L598&lt;&gt;"", 'RAW DATA'!$M598&lt;&gt;"",  'RAW DATA'!$J598="",  'RAW DATA'!$K598="", LEFT('RAW DATA'!$M598,17)&lt;&gt;"Oceanic Endeavour"), 'RAW DATA'!$L598, "")</f>
        <v/>
      </c>
      <c r="C598" s="18" t="str">
        <f>IF(AND('RAW DATA'!$L598&lt;&gt;"", 'RAW DATA'!$M598&lt;&gt;"",  'RAW DATA'!$J598="",  'RAW DATA'!$K598="", LEFT('RAW DATA'!$M598,17)&lt;&gt;"Oceanic Endeavour"), 'RAW DATA'!$M598, "")</f>
        <v/>
      </c>
      <c r="D598" s="19" t="str">
        <f t="shared" si="9"/>
        <v/>
      </c>
    </row>
    <row r="599" spans="2:4" x14ac:dyDescent="0.25">
      <c r="B599" s="18" t="str">
        <f>IF(AND('RAW DATA'!$L599&lt;&gt;"", 'RAW DATA'!$M599&lt;&gt;"",  'RAW DATA'!$J599="",  'RAW DATA'!$K599="", LEFT('RAW DATA'!$M599,17)&lt;&gt;"Oceanic Endeavour"), 'RAW DATA'!$L599, "")</f>
        <v/>
      </c>
      <c r="C599" s="18" t="str">
        <f>IF(AND('RAW DATA'!$L599&lt;&gt;"", 'RAW DATA'!$M599&lt;&gt;"",  'RAW DATA'!$J599="",  'RAW DATA'!$K599="", LEFT('RAW DATA'!$M599,17)&lt;&gt;"Oceanic Endeavour"), 'RAW DATA'!$M599, "")</f>
        <v/>
      </c>
      <c r="D599" s="19" t="str">
        <f t="shared" si="9"/>
        <v/>
      </c>
    </row>
    <row r="600" spans="2:4" x14ac:dyDescent="0.25">
      <c r="B600" s="18" t="str">
        <f>IF(AND('RAW DATA'!$L600&lt;&gt;"", 'RAW DATA'!$M600&lt;&gt;"",  'RAW DATA'!$J600="",  'RAW DATA'!$K600="", LEFT('RAW DATA'!$M600,17)&lt;&gt;"Oceanic Endeavour"), 'RAW DATA'!$L600, "")</f>
        <v/>
      </c>
      <c r="C600" s="18" t="str">
        <f>IF(AND('RAW DATA'!$L600&lt;&gt;"", 'RAW DATA'!$M600&lt;&gt;"",  'RAW DATA'!$J600="",  'RAW DATA'!$K600="", LEFT('RAW DATA'!$M600,17)&lt;&gt;"Oceanic Endeavour"), 'RAW DATA'!$M600, "")</f>
        <v/>
      </c>
      <c r="D600" s="19" t="str">
        <f t="shared" si="9"/>
        <v/>
      </c>
    </row>
    <row r="601" spans="2:4" x14ac:dyDescent="0.25">
      <c r="B601" s="18" t="str">
        <f>IF(AND('RAW DATA'!$L601&lt;&gt;"", 'RAW DATA'!$M601&lt;&gt;"",  'RAW DATA'!$J601="",  'RAW DATA'!$K601="", LEFT('RAW DATA'!$M601,17)&lt;&gt;"Oceanic Endeavour"), 'RAW DATA'!$L601, "")</f>
        <v/>
      </c>
      <c r="C601" s="18" t="str">
        <f>IF(AND('RAW DATA'!$L601&lt;&gt;"", 'RAW DATA'!$M601&lt;&gt;"",  'RAW DATA'!$J601="",  'RAW DATA'!$K601="", LEFT('RAW DATA'!$M601,17)&lt;&gt;"Oceanic Endeavour"), 'RAW DATA'!$M601, "")</f>
        <v/>
      </c>
      <c r="D601" s="19" t="str">
        <f t="shared" si="9"/>
        <v/>
      </c>
    </row>
    <row r="602" spans="2:4" x14ac:dyDescent="0.25">
      <c r="B602" s="18" t="str">
        <f>IF(AND('RAW DATA'!$L602&lt;&gt;"", 'RAW DATA'!$M602&lt;&gt;"",  'RAW DATA'!$J602="",  'RAW DATA'!$K602="", LEFT('RAW DATA'!$M602,17)&lt;&gt;"Oceanic Endeavour"), 'RAW DATA'!$L602, "")</f>
        <v/>
      </c>
      <c r="C602" s="18" t="str">
        <f>IF(AND('RAW DATA'!$L602&lt;&gt;"", 'RAW DATA'!$M602&lt;&gt;"",  'RAW DATA'!$J602="",  'RAW DATA'!$K602="", LEFT('RAW DATA'!$M602,17)&lt;&gt;"Oceanic Endeavour"), 'RAW DATA'!$M602, "")</f>
        <v/>
      </c>
      <c r="D602" s="19" t="str">
        <f t="shared" si="9"/>
        <v/>
      </c>
    </row>
    <row r="603" spans="2:4" x14ac:dyDescent="0.25">
      <c r="B603" s="18" t="str">
        <f>IF(AND('RAW DATA'!$L603&lt;&gt;"", 'RAW DATA'!$M603&lt;&gt;"",  'RAW DATA'!$J603="",  'RAW DATA'!$K603="", LEFT('RAW DATA'!$M603,17)&lt;&gt;"Oceanic Endeavour"), 'RAW DATA'!$L603, "")</f>
        <v/>
      </c>
      <c r="C603" s="18" t="str">
        <f>IF(AND('RAW DATA'!$L603&lt;&gt;"", 'RAW DATA'!$M603&lt;&gt;"",  'RAW DATA'!$J603="",  'RAW DATA'!$K603="", LEFT('RAW DATA'!$M603,17)&lt;&gt;"Oceanic Endeavour"), 'RAW DATA'!$M603, "")</f>
        <v/>
      </c>
      <c r="D603" s="19" t="str">
        <f t="shared" si="9"/>
        <v/>
      </c>
    </row>
    <row r="604" spans="2:4" x14ac:dyDescent="0.25">
      <c r="B604" s="18" t="str">
        <f>IF(AND('RAW DATA'!$L604&lt;&gt;"", 'RAW DATA'!$M604&lt;&gt;"",  'RAW DATA'!$J604="",  'RAW DATA'!$K604="", LEFT('RAW DATA'!$M604,17)&lt;&gt;"Oceanic Endeavour"), 'RAW DATA'!$L604, "")</f>
        <v/>
      </c>
      <c r="C604" s="18" t="str">
        <f>IF(AND('RAW DATA'!$L604&lt;&gt;"", 'RAW DATA'!$M604&lt;&gt;"",  'RAW DATA'!$J604="",  'RAW DATA'!$K604="", LEFT('RAW DATA'!$M604,17)&lt;&gt;"Oceanic Endeavour"), 'RAW DATA'!$M604, "")</f>
        <v/>
      </c>
      <c r="D604" s="19" t="str">
        <f t="shared" si="9"/>
        <v/>
      </c>
    </row>
    <row r="605" spans="2:4" x14ac:dyDescent="0.25">
      <c r="B605" s="18" t="str">
        <f>IF(AND('RAW DATA'!$L605&lt;&gt;"", 'RAW DATA'!$M605&lt;&gt;"",  'RAW DATA'!$J605="",  'RAW DATA'!$K605="", LEFT('RAW DATA'!$M605,17)&lt;&gt;"Oceanic Endeavour"), 'RAW DATA'!$L605, "")</f>
        <v/>
      </c>
      <c r="C605" s="18" t="str">
        <f>IF(AND('RAW DATA'!$L605&lt;&gt;"", 'RAW DATA'!$M605&lt;&gt;"",  'RAW DATA'!$J605="",  'RAW DATA'!$K605="", LEFT('RAW DATA'!$M605,17)&lt;&gt;"Oceanic Endeavour"), 'RAW DATA'!$M605, "")</f>
        <v/>
      </c>
      <c r="D605" s="19" t="str">
        <f t="shared" si="9"/>
        <v/>
      </c>
    </row>
    <row r="606" spans="2:4" x14ac:dyDescent="0.25">
      <c r="B606" s="18" t="str">
        <f>IF(AND('RAW DATA'!$L606&lt;&gt;"", 'RAW DATA'!$M606&lt;&gt;"",  'RAW DATA'!$J606="",  'RAW DATA'!$K606="", LEFT('RAW DATA'!$M606,17)&lt;&gt;"Oceanic Endeavour"), 'RAW DATA'!$L606, "")</f>
        <v/>
      </c>
      <c r="C606" s="18" t="str">
        <f>IF(AND('RAW DATA'!$L606&lt;&gt;"", 'RAW DATA'!$M606&lt;&gt;"",  'RAW DATA'!$J606="",  'RAW DATA'!$K606="", LEFT('RAW DATA'!$M606,17)&lt;&gt;"Oceanic Endeavour"), 'RAW DATA'!$M606, "")</f>
        <v/>
      </c>
      <c r="D606" s="19" t="str">
        <f t="shared" si="9"/>
        <v/>
      </c>
    </row>
    <row r="607" spans="2:4" x14ac:dyDescent="0.25">
      <c r="B607" s="18" t="str">
        <f>IF(AND('RAW DATA'!$L607&lt;&gt;"", 'RAW DATA'!$M607&lt;&gt;"",  'RAW DATA'!$J607="",  'RAW DATA'!$K607="", LEFT('RAW DATA'!$M607,17)&lt;&gt;"Oceanic Endeavour"), 'RAW DATA'!$L607, "")</f>
        <v/>
      </c>
      <c r="C607" s="18" t="str">
        <f>IF(AND('RAW DATA'!$L607&lt;&gt;"", 'RAW DATA'!$M607&lt;&gt;"",  'RAW DATA'!$J607="",  'RAW DATA'!$K607="", LEFT('RAW DATA'!$M607,17)&lt;&gt;"Oceanic Endeavour"), 'RAW DATA'!$M607, "")</f>
        <v/>
      </c>
      <c r="D607" s="19" t="str">
        <f t="shared" si="9"/>
        <v/>
      </c>
    </row>
    <row r="608" spans="2:4" x14ac:dyDescent="0.25">
      <c r="B608" s="18" t="str">
        <f>IF(AND('RAW DATA'!$L608&lt;&gt;"", 'RAW DATA'!$M608&lt;&gt;"",  'RAW DATA'!$J608="",  'RAW DATA'!$K608="", LEFT('RAW DATA'!$M608,17)&lt;&gt;"Oceanic Endeavour"), 'RAW DATA'!$L608, "")</f>
        <v/>
      </c>
      <c r="C608" s="18" t="str">
        <f>IF(AND('RAW DATA'!$L608&lt;&gt;"", 'RAW DATA'!$M608&lt;&gt;"",  'RAW DATA'!$J608="",  'RAW DATA'!$K608="", LEFT('RAW DATA'!$M608,17)&lt;&gt;"Oceanic Endeavour"), 'RAW DATA'!$M608, "")</f>
        <v/>
      </c>
      <c r="D608" s="19" t="str">
        <f t="shared" si="9"/>
        <v/>
      </c>
    </row>
    <row r="609" spans="2:4" x14ac:dyDescent="0.25">
      <c r="B609" s="18" t="str">
        <f>IF(AND('RAW DATA'!$L609&lt;&gt;"", 'RAW DATA'!$M609&lt;&gt;"",  'RAW DATA'!$J609="",  'RAW DATA'!$K609="", LEFT('RAW DATA'!$M609,17)&lt;&gt;"Oceanic Endeavour"), 'RAW DATA'!$L609, "")</f>
        <v/>
      </c>
      <c r="C609" s="18" t="str">
        <f>IF(AND('RAW DATA'!$L609&lt;&gt;"", 'RAW DATA'!$M609&lt;&gt;"",  'RAW DATA'!$J609="",  'RAW DATA'!$K609="", LEFT('RAW DATA'!$M609,17)&lt;&gt;"Oceanic Endeavour"), 'RAW DATA'!$M609, "")</f>
        <v/>
      </c>
      <c r="D609" s="19" t="str">
        <f t="shared" si="9"/>
        <v/>
      </c>
    </row>
    <row r="610" spans="2:4" x14ac:dyDescent="0.25">
      <c r="B610" s="18" t="str">
        <f>IF(AND('RAW DATA'!$L610&lt;&gt;"", 'RAW DATA'!$M610&lt;&gt;"",  'RAW DATA'!$J610="",  'RAW DATA'!$K610="", LEFT('RAW DATA'!$M610,17)&lt;&gt;"Oceanic Endeavour"), 'RAW DATA'!$L610, "")</f>
        <v/>
      </c>
      <c r="C610" s="18" t="str">
        <f>IF(AND('RAW DATA'!$L610&lt;&gt;"", 'RAW DATA'!$M610&lt;&gt;"",  'RAW DATA'!$J610="",  'RAW DATA'!$K610="", LEFT('RAW DATA'!$M610,17)&lt;&gt;"Oceanic Endeavour"), 'RAW DATA'!$M610, "")</f>
        <v/>
      </c>
      <c r="D610" s="19" t="str">
        <f t="shared" si="9"/>
        <v/>
      </c>
    </row>
    <row r="611" spans="2:4" x14ac:dyDescent="0.25">
      <c r="B611" s="18" t="str">
        <f>IF(AND('RAW DATA'!$L611&lt;&gt;"", 'RAW DATA'!$M611&lt;&gt;"",  'RAW DATA'!$J611="",  'RAW DATA'!$K611="", LEFT('RAW DATA'!$M611,17)&lt;&gt;"Oceanic Endeavour"), 'RAW DATA'!$L611, "")</f>
        <v/>
      </c>
      <c r="C611" s="18" t="str">
        <f>IF(AND('RAW DATA'!$L611&lt;&gt;"", 'RAW DATA'!$M611&lt;&gt;"",  'RAW DATA'!$J611="",  'RAW DATA'!$K611="", LEFT('RAW DATA'!$M611,17)&lt;&gt;"Oceanic Endeavour"), 'RAW DATA'!$M611, "")</f>
        <v/>
      </c>
      <c r="D611" s="19" t="str">
        <f t="shared" si="9"/>
        <v/>
      </c>
    </row>
  </sheetData>
  <autoFilter ref="C3:D611"/>
  <mergeCells count="2">
    <mergeCell ref="B2:D2"/>
    <mergeCell ref="F2:G3"/>
  </mergeCells>
  <conditionalFormatting sqref="B3:D3">
    <cfRule type="expression" dxfId="7" priority="2">
      <formula>$D$3="Different Inputs"</formula>
    </cfRule>
  </conditionalFormatting>
  <conditionalFormatting sqref="D1:D1048576">
    <cfRule type="iconSet" priority="1">
      <iconSet reverse="1">
        <cfvo type="percent" val="0"/>
        <cfvo type="num" val="2"/>
        <cfvo type="formula" val="IF(MAX($D:$D)=1, 2,67%*(MAX($D:$D)) )"/>
      </iconSet>
    </cfRule>
  </conditionalFormatting>
  <conditionalFormatting sqref="B4:D611">
    <cfRule type="expression" dxfId="6" priority="3">
      <formula>$B4&lt;&gt;""</formula>
    </cfRule>
    <cfRule type="expression" dxfId="5" priority="69">
      <formula>AND($D4&gt;1, $B4&lt;&gt;"")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RAW DATA</vt:lpstr>
      <vt:lpstr>PRISM REPORT</vt:lpstr>
      <vt:lpstr>SHORT LIST</vt:lpstr>
      <vt:lpstr>VISA CARDS (LIBRI CSV)</vt:lpstr>
      <vt:lpstr>VISA CARDS (SIGN LIST)</vt:lpstr>
      <vt:lpstr>TOP LOCATIONS</vt:lpstr>
      <vt:lpstr>LOGS@PRISM</vt:lpstr>
    </vt:vector>
  </TitlesOfParts>
  <Company>CGGVeritas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itmarine</dc:creator>
  <cp:lastModifiedBy>geo2</cp:lastModifiedBy>
  <dcterms:created xsi:type="dcterms:W3CDTF">2014-11-12T00:48:24Z</dcterms:created>
  <dcterms:modified xsi:type="dcterms:W3CDTF">2016-04-26T19:15:49Z</dcterms:modified>
</cp:coreProperties>
</file>